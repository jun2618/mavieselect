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chi\Desktop\"/>
    </mc:Choice>
  </mc:AlternateContent>
  <xr:revisionPtr revIDLastSave="0" documentId="8_{F77A2802-51AF-4133-AE31-63FBEB31AE26}" xr6:coauthVersionLast="47" xr6:coauthVersionMax="47" xr10:uidLastSave="{00000000-0000-0000-0000-000000000000}"/>
  <bookViews>
    <workbookView xWindow="-120" yWindow="-120" windowWidth="51840" windowHeight="21120" xr2:uid="{C2786BA8-2E99-4D5B-8671-913269AF0671}"/>
  </bookViews>
  <sheets>
    <sheet name="見積書" sheetId="1" r:id="rId1"/>
  </sheets>
  <externalReferences>
    <externalReference r:id="rId2"/>
    <externalReference r:id="rId3"/>
    <externalReference r:id="rId4"/>
    <externalReference r:id="rId5"/>
  </externalReferences>
  <definedNames>
    <definedName name="_xlnm.Print_Area" localSheetId="0">'見積書'!$B$3:$K$57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54" i="1" l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55" i="1" s="1"/>
  <c r="D14" i="1"/>
  <c r="G13" i="1"/>
  <c r="F13" i="1"/>
  <c r="D13" i="1"/>
  <c r="B6" i="1"/>
  <c r="J5" i="1"/>
  <c r="B5" i="1"/>
  <c r="K56" i="1" l="1"/>
  <c r="K57" i="1" s="1"/>
  <c r="E19" i="1" s="1"/>
</calcChain>
</file>

<file path=xl/sharedStrings.xml><?xml version="1.0" encoding="utf-8"?>
<sst xmlns="http://schemas.openxmlformats.org/spreadsheetml/2006/main" count="38" uniqueCount="29">
  <si>
    <t>　</t>
    <phoneticPr fontId="4"/>
  </si>
  <si>
    <t xml:space="preserve"> 御　　見　　積　　書</t>
    <rPh sb="1" eb="2">
      <t>オ</t>
    </rPh>
    <rPh sb="4" eb="11">
      <t>オミツモリショ</t>
    </rPh>
    <phoneticPr fontId="4"/>
  </si>
  <si>
    <t>日付</t>
    <phoneticPr fontId="4"/>
  </si>
  <si>
    <t>株式会社</t>
    <rPh sb="0" eb="4">
      <t>カブシキカイシャ</t>
    </rPh>
    <phoneticPr fontId="4"/>
  </si>
  <si>
    <t>Mavie Select</t>
  </si>
  <si>
    <t xml:space="preserve"> </t>
    <phoneticPr fontId="3"/>
  </si>
  <si>
    <t>様</t>
    <rPh sb="0" eb="1">
      <t>サマ</t>
    </rPh>
    <phoneticPr fontId="4"/>
  </si>
  <si>
    <t>〒060-0007</t>
    <phoneticPr fontId="4"/>
  </si>
  <si>
    <t>　　　　　　　　　</t>
    <phoneticPr fontId="4"/>
  </si>
  <si>
    <t>札幌市中央区北7条西22丁目1-12-201</t>
    <rPh sb="0" eb="3">
      <t>サッポロシ</t>
    </rPh>
    <rPh sb="3" eb="6">
      <t>チュウオウク</t>
    </rPh>
    <rPh sb="6" eb="7">
      <t>キタ</t>
    </rPh>
    <rPh sb="8" eb="9">
      <t>ジョウ</t>
    </rPh>
    <rPh sb="9" eb="10">
      <t>ニシ</t>
    </rPh>
    <rPh sb="12" eb="14">
      <t>チョウメ</t>
    </rPh>
    <phoneticPr fontId="4"/>
  </si>
  <si>
    <t>TEL：</t>
    <phoneticPr fontId="4"/>
  </si>
  <si>
    <t>011-699-6492</t>
    <phoneticPr fontId="4"/>
  </si>
  <si>
    <t>FAX：</t>
    <phoneticPr fontId="4"/>
  </si>
  <si>
    <t>011-699-6493</t>
    <phoneticPr fontId="4"/>
  </si>
  <si>
    <t>物件名：</t>
    <rPh sb="0" eb="2">
      <t>ブッケン</t>
    </rPh>
    <rPh sb="2" eb="3">
      <t>メイ</t>
    </rPh>
    <phoneticPr fontId="4"/>
  </si>
  <si>
    <t>住所：</t>
    <phoneticPr fontId="4"/>
  </si>
  <si>
    <t>下記の通りお見積申し上げます。</t>
    <rPh sb="0" eb="2">
      <t>カキ</t>
    </rPh>
    <rPh sb="3" eb="4">
      <t>トオ</t>
    </rPh>
    <rPh sb="5" eb="8">
      <t>オミツモリ</t>
    </rPh>
    <rPh sb="8" eb="9">
      <t>モウ</t>
    </rPh>
    <rPh sb="10" eb="11">
      <t>ア</t>
    </rPh>
    <phoneticPr fontId="4"/>
  </si>
  <si>
    <t>御見積金額</t>
    <rPh sb="0" eb="3">
      <t>オミツモリ</t>
    </rPh>
    <rPh sb="3" eb="5">
      <t>キンガク</t>
    </rPh>
    <phoneticPr fontId="4"/>
  </si>
  <si>
    <t>単位：円</t>
    <rPh sb="0" eb="2">
      <t>タンイ</t>
    </rPh>
    <rPh sb="3" eb="4">
      <t>エン</t>
    </rPh>
    <phoneticPr fontId="4"/>
  </si>
  <si>
    <t>名称</t>
    <rPh sb="0" eb="2">
      <t>メイショウ</t>
    </rPh>
    <phoneticPr fontId="4"/>
  </si>
  <si>
    <t>仕様・規格</t>
    <rPh sb="0" eb="2">
      <t>シヨウ</t>
    </rPh>
    <rPh sb="3" eb="5">
      <t>キカク</t>
    </rPh>
    <phoneticPr fontId="4"/>
  </si>
  <si>
    <t>数量</t>
    <rPh sb="0" eb="2">
      <t>スウリョウ</t>
    </rPh>
    <phoneticPr fontId="4"/>
  </si>
  <si>
    <t>単位</t>
    <rPh sb="0" eb="2">
      <t>タンイ</t>
    </rPh>
    <phoneticPr fontId="4"/>
  </si>
  <si>
    <t>単価</t>
    <rPh sb="0" eb="2">
      <t>タンカ</t>
    </rPh>
    <phoneticPr fontId="4"/>
  </si>
  <si>
    <t>金額</t>
    <rPh sb="0" eb="2">
      <t>キンガク</t>
    </rPh>
    <phoneticPr fontId="4"/>
  </si>
  <si>
    <t>備考　　</t>
    <phoneticPr fontId="4"/>
  </si>
  <si>
    <t>小計</t>
    <phoneticPr fontId="4"/>
  </si>
  <si>
    <t>消費税（10％）</t>
    <phoneticPr fontId="4"/>
  </si>
  <si>
    <t>合計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</si>
</sst>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_ "/>
    <numFmt numFmtId="177" formatCode="[$-411]ggge&quot;年&quot;m&quot;月&quot;d&quot;日&quot;;@"/>
    <numFmt numFmtId="178" formatCode="###0&quot;号室&quot;"/>
    <numFmt numFmtId="179" formatCode="&quot;¥&quot;#,##0_);\(&quot;¥&quot;#,##0\)"/>
  </numFmts>
  <fonts count="16" x14ac:knownFonts="1"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b/>
      <sz val="11"/>
      <name val="BIZ UDPゴシック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b/>
      <sz val="18"/>
      <color theme="0"/>
      <name val="BIZ UDPゴシック"/>
      <family val="3"/>
      <charset val="128"/>
    </font>
    <font>
      <b/>
      <u/>
      <sz val="20"/>
      <name val="BIZ UDPゴシック"/>
      <family val="3"/>
      <charset val="128"/>
    </font>
    <font>
      <b/>
      <u/>
      <sz val="18"/>
      <name val="BIZ UDPゴシック"/>
      <family val="3"/>
      <charset val="128"/>
    </font>
    <font>
      <b/>
      <sz val="14"/>
      <name val="BIZ UDPゴシック"/>
      <family val="3"/>
      <charset val="128"/>
    </font>
    <font>
      <b/>
      <sz val="20"/>
      <name val="BIZ UDPゴシック"/>
      <family val="3"/>
      <charset val="128"/>
    </font>
    <font>
      <b/>
      <sz val="16"/>
      <color theme="1"/>
      <name val="BIZ UDPゴシック"/>
      <family val="3"/>
      <charset val="128"/>
    </font>
    <font>
      <b/>
      <sz val="26"/>
      <color theme="1"/>
      <name val="BIZ UDPゴシック"/>
      <family val="3"/>
      <charset val="128"/>
    </font>
    <font>
      <b/>
      <sz val="9"/>
      <name val="BIZ UDPゴシック"/>
      <family val="3"/>
      <charset val="128"/>
    </font>
    <font>
      <b/>
      <sz val="11"/>
      <color theme="0"/>
      <name val="BIZ UDPゴシック"/>
      <family val="3"/>
      <charset val="128"/>
    </font>
    <font>
      <sz val="11"/>
      <name val="BIZ UDPゴシック"/>
      <family val="3"/>
      <charset val="128"/>
    </font>
    <font>
      <b/>
      <sz val="12"/>
      <name val="BIZ UDP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83">
    <xf numFmtId="0" fontId="0" fillId="0" borderId="0" xfId="0">
      <alignment vertical="center"/>
    </xf>
    <xf numFmtId="0" fontId="2" fillId="0" borderId="0" xfId="1" applyFont="1"/>
    <xf numFmtId="176" fontId="2" fillId="0" borderId="0" xfId="1" applyNumberFormat="1" applyFont="1"/>
    <xf numFmtId="31" fontId="2" fillId="0" borderId="0" xfId="1" applyNumberFormat="1" applyFont="1" applyAlignment="1">
      <alignment horizontal="left" vertical="center"/>
    </xf>
    <xf numFmtId="0" fontId="2" fillId="0" borderId="0" xfId="1" applyFont="1" applyAlignment="1">
      <alignment horizontal="left" vertical="center"/>
    </xf>
    <xf numFmtId="0" fontId="5" fillId="2" borderId="1" xfId="1" applyFont="1" applyFill="1" applyBorder="1" applyAlignment="1">
      <alignment horizontal="left" vertical="center"/>
    </xf>
    <xf numFmtId="0" fontId="5" fillId="2" borderId="2" xfId="1" applyFont="1" applyFill="1" applyBorder="1" applyAlignment="1">
      <alignment horizontal="left" vertical="center"/>
    </xf>
    <xf numFmtId="0" fontId="5" fillId="2" borderId="3" xfId="1" applyFont="1" applyFill="1" applyBorder="1" applyAlignment="1">
      <alignment horizontal="left" vertical="center"/>
    </xf>
    <xf numFmtId="0" fontId="6" fillId="0" borderId="0" xfId="1" applyFont="1" applyAlignment="1">
      <alignment horizontal="left" shrinkToFit="1"/>
    </xf>
    <xf numFmtId="0" fontId="7" fillId="0" borderId="0" xfId="1" applyFont="1" applyAlignment="1">
      <alignment horizontal="left" shrinkToFit="1"/>
    </xf>
    <xf numFmtId="176" fontId="8" fillId="0" borderId="4" xfId="1" applyNumberFormat="1" applyFont="1" applyBorder="1" applyAlignment="1">
      <alignment horizontal="right"/>
    </xf>
    <xf numFmtId="177" fontId="2" fillId="0" borderId="4" xfId="1" applyNumberFormat="1" applyFont="1" applyBorder="1" applyAlignment="1">
      <alignment horizontal="center"/>
    </xf>
    <xf numFmtId="0" fontId="9" fillId="0" borderId="0" xfId="1" applyFont="1" applyAlignment="1">
      <alignment horizontal="left" wrapText="1"/>
    </xf>
    <xf numFmtId="0" fontId="2" fillId="0" borderId="0" xfId="1" applyFont="1" applyAlignment="1">
      <alignment wrapText="1"/>
    </xf>
    <xf numFmtId="176" fontId="8" fillId="0" borderId="0" xfId="1" applyNumberFormat="1" applyFont="1"/>
    <xf numFmtId="0" fontId="2" fillId="0" borderId="0" xfId="1" applyFont="1" applyAlignment="1">
      <alignment horizontal="center" wrapText="1"/>
    </xf>
    <xf numFmtId="176" fontId="10" fillId="0" borderId="0" xfId="1" applyNumberFormat="1" applyFont="1" applyAlignment="1">
      <alignment horizontal="right" vertical="center" shrinkToFit="1"/>
    </xf>
    <xf numFmtId="176" fontId="11" fillId="0" borderId="0" xfId="1" applyNumberFormat="1" applyFont="1" applyAlignment="1">
      <alignment horizontal="left" vertical="center" shrinkToFit="1"/>
    </xf>
    <xf numFmtId="0" fontId="2" fillId="0" borderId="4" xfId="1" applyFont="1" applyBorder="1" applyAlignment="1">
      <alignment horizontal="right"/>
    </xf>
    <xf numFmtId="0" fontId="2" fillId="0" borderId="4" xfId="1" applyFont="1" applyBorder="1" applyAlignment="1">
      <alignment horizontal="center"/>
    </xf>
    <xf numFmtId="0" fontId="2" fillId="0" borderId="0" xfId="1" applyFont="1" applyAlignment="1">
      <alignment horizontal="left"/>
    </xf>
    <xf numFmtId="0" fontId="12" fillId="0" borderId="0" xfId="1" applyFont="1"/>
    <xf numFmtId="0" fontId="2" fillId="0" borderId="0" xfId="1" applyFont="1" applyAlignment="1">
      <alignment vertical="top" wrapText="1"/>
    </xf>
    <xf numFmtId="0" fontId="2" fillId="0" borderId="5" xfId="1" applyFont="1" applyBorder="1" applyAlignment="1">
      <alignment horizontal="left" vertical="center"/>
    </xf>
    <xf numFmtId="0" fontId="2" fillId="0" borderId="5" xfId="1" applyFont="1" applyBorder="1" applyAlignment="1">
      <alignment horizontal="center" shrinkToFit="1"/>
    </xf>
    <xf numFmtId="0" fontId="2" fillId="0" borderId="5" xfId="1" applyFont="1" applyBorder="1" applyAlignment="1">
      <alignment horizontal="center" shrinkToFit="1"/>
    </xf>
    <xf numFmtId="178" fontId="2" fillId="0" borderId="5" xfId="1" applyNumberFormat="1" applyFont="1" applyBorder="1" applyAlignment="1">
      <alignment horizontal="center" shrinkToFit="1"/>
    </xf>
    <xf numFmtId="0" fontId="2" fillId="0" borderId="0" xfId="1" applyFont="1" applyAlignment="1">
      <alignment wrapText="1"/>
    </xf>
    <xf numFmtId="0" fontId="2" fillId="0" borderId="6" xfId="1" applyFont="1" applyBorder="1" applyAlignment="1">
      <alignment horizontal="left"/>
    </xf>
    <xf numFmtId="0" fontId="2" fillId="0" borderId="6" xfId="1" applyFont="1" applyBorder="1" applyAlignment="1">
      <alignment horizontal="center" shrinkToFit="1"/>
    </xf>
    <xf numFmtId="0" fontId="8" fillId="0" borderId="4" xfId="1" applyFont="1" applyBorder="1" applyAlignment="1">
      <alignment vertical="center"/>
    </xf>
    <xf numFmtId="0" fontId="2" fillId="0" borderId="4" xfId="1" applyFont="1" applyBorder="1"/>
    <xf numFmtId="179" fontId="8" fillId="0" borderId="4" xfId="1" applyNumberFormat="1" applyFont="1" applyBorder="1" applyAlignment="1">
      <alignment horizontal="left" vertical="center"/>
    </xf>
    <xf numFmtId="0" fontId="2" fillId="0" borderId="0" xfId="1" applyFont="1" applyAlignment="1">
      <alignment horizontal="right"/>
    </xf>
    <xf numFmtId="0" fontId="13" fillId="2" borderId="7" xfId="1" applyFont="1" applyFill="1" applyBorder="1" applyAlignment="1">
      <alignment horizontal="center" vertical="center"/>
    </xf>
    <xf numFmtId="0" fontId="13" fillId="2" borderId="7" xfId="1" applyFont="1" applyFill="1" applyBorder="1" applyAlignment="1">
      <alignment horizontal="center" vertical="center"/>
    </xf>
    <xf numFmtId="0" fontId="13" fillId="2" borderId="8" xfId="1" applyFont="1" applyFill="1" applyBorder="1" applyAlignment="1">
      <alignment horizontal="center" vertical="center"/>
    </xf>
    <xf numFmtId="0" fontId="13" fillId="2" borderId="9" xfId="1" applyFont="1" applyFill="1" applyBorder="1" applyAlignment="1">
      <alignment horizontal="center" vertical="center"/>
    </xf>
    <xf numFmtId="176" fontId="13" fillId="2" borderId="10" xfId="1" applyNumberFormat="1" applyFont="1" applyFill="1" applyBorder="1" applyAlignment="1">
      <alignment horizontal="center" vertical="center"/>
    </xf>
    <xf numFmtId="0" fontId="13" fillId="2" borderId="8" xfId="1" applyFont="1" applyFill="1" applyBorder="1" applyAlignment="1">
      <alignment horizontal="center" vertical="center"/>
    </xf>
    <xf numFmtId="0" fontId="13" fillId="2" borderId="10" xfId="1" applyFont="1" applyFill="1" applyBorder="1" applyAlignment="1">
      <alignment horizontal="center" vertical="center"/>
    </xf>
    <xf numFmtId="0" fontId="14" fillId="0" borderId="10" xfId="1" applyFont="1" applyBorder="1" applyAlignment="1">
      <alignment vertical="center" shrinkToFit="1"/>
    </xf>
    <xf numFmtId="0" fontId="2" fillId="0" borderId="11" xfId="1" applyFont="1" applyBorder="1" applyAlignment="1">
      <alignment vertical="center"/>
    </xf>
    <xf numFmtId="0" fontId="2" fillId="0" borderId="4" xfId="1" applyFont="1" applyBorder="1" applyAlignment="1">
      <alignment vertical="center"/>
    </xf>
    <xf numFmtId="0" fontId="2" fillId="0" borderId="8" xfId="1" applyFont="1" applyBorder="1" applyAlignment="1">
      <alignment vertical="center"/>
    </xf>
    <xf numFmtId="0" fontId="2" fillId="0" borderId="12" xfId="1" applyFont="1" applyBorder="1" applyAlignment="1">
      <alignment vertical="center"/>
    </xf>
    <xf numFmtId="176" fontId="2" fillId="0" borderId="12" xfId="1" applyNumberFormat="1" applyFont="1" applyBorder="1" applyAlignment="1">
      <alignment vertical="center"/>
    </xf>
    <xf numFmtId="0" fontId="2" fillId="0" borderId="13" xfId="1" applyFont="1" applyBorder="1" applyAlignment="1">
      <alignment horizontal="center" vertical="center"/>
    </xf>
    <xf numFmtId="3" fontId="2" fillId="0" borderId="10" xfId="1" applyNumberFormat="1" applyFont="1" applyBorder="1" applyAlignment="1">
      <alignment vertical="center"/>
    </xf>
    <xf numFmtId="3" fontId="2" fillId="0" borderId="13" xfId="1" applyNumberFormat="1" applyFont="1" applyBorder="1" applyAlignment="1">
      <alignment vertical="center"/>
    </xf>
    <xf numFmtId="0" fontId="2" fillId="0" borderId="7" xfId="1" applyFont="1" applyBorder="1"/>
    <xf numFmtId="0" fontId="14" fillId="0" borderId="10" xfId="1" applyFont="1" applyBorder="1" applyAlignment="1">
      <alignment horizontal="center" vertical="center" shrinkToFit="1"/>
    </xf>
    <xf numFmtId="0" fontId="2" fillId="0" borderId="10" xfId="1" applyFont="1" applyBorder="1" applyAlignment="1">
      <alignment horizontal="center" vertical="center"/>
    </xf>
    <xf numFmtId="176" fontId="2" fillId="0" borderId="9" xfId="1" applyNumberFormat="1" applyFont="1" applyBorder="1" applyAlignment="1">
      <alignment vertical="center"/>
    </xf>
    <xf numFmtId="0" fontId="2" fillId="0" borderId="7" xfId="1" applyFont="1" applyBorder="1" applyAlignment="1">
      <alignment vertical="center"/>
    </xf>
    <xf numFmtId="0" fontId="2" fillId="0" borderId="9" xfId="1" applyFont="1" applyBorder="1" applyAlignment="1">
      <alignment vertical="center"/>
    </xf>
    <xf numFmtId="0" fontId="14" fillId="0" borderId="14" xfId="1" applyFont="1" applyBorder="1" applyAlignment="1">
      <alignment horizontal="center" vertical="center" shrinkToFit="1"/>
    </xf>
    <xf numFmtId="0" fontId="2" fillId="0" borderId="15" xfId="1" applyFont="1" applyBorder="1" applyAlignment="1">
      <alignment vertical="center"/>
    </xf>
    <xf numFmtId="0" fontId="2" fillId="0" borderId="16" xfId="1" applyFont="1" applyBorder="1" applyAlignment="1">
      <alignment vertical="center"/>
    </xf>
    <xf numFmtId="0" fontId="2" fillId="0" borderId="16" xfId="1" applyFont="1" applyBorder="1" applyAlignment="1">
      <alignment horizontal="left" vertical="center" shrinkToFit="1"/>
    </xf>
    <xf numFmtId="0" fontId="2" fillId="0" borderId="16" xfId="1" applyFont="1" applyBorder="1" applyAlignment="1">
      <alignment vertical="center" shrinkToFit="1"/>
    </xf>
    <xf numFmtId="0" fontId="2" fillId="0" borderId="17" xfId="1" applyFont="1" applyBorder="1" applyAlignment="1">
      <alignment vertical="center" shrinkToFit="1"/>
    </xf>
    <xf numFmtId="176" fontId="2" fillId="0" borderId="14" xfId="1" applyNumberFormat="1" applyFont="1" applyBorder="1" applyAlignment="1">
      <alignment vertical="center"/>
    </xf>
    <xf numFmtId="0" fontId="2" fillId="0" borderId="14" xfId="1" applyFont="1" applyBorder="1" applyAlignment="1">
      <alignment horizontal="center" vertical="center"/>
    </xf>
    <xf numFmtId="3" fontId="2" fillId="0" borderId="14" xfId="1" applyNumberFormat="1" applyFont="1" applyBorder="1" applyAlignment="1">
      <alignment vertical="center"/>
    </xf>
    <xf numFmtId="0" fontId="15" fillId="0" borderId="18" xfId="1" applyFont="1" applyBorder="1" applyAlignment="1">
      <alignment vertical="top"/>
    </xf>
    <xf numFmtId="0" fontId="15" fillId="0" borderId="19" xfId="1" applyFont="1" applyBorder="1"/>
    <xf numFmtId="0" fontId="15" fillId="0" borderId="20" xfId="1" applyFont="1" applyBorder="1"/>
    <xf numFmtId="0" fontId="15" fillId="0" borderId="21" xfId="1" applyFont="1" applyBorder="1" applyAlignment="1">
      <alignment horizontal="center" vertical="center"/>
    </xf>
    <xf numFmtId="0" fontId="15" fillId="0" borderId="22" xfId="1" applyFont="1" applyBorder="1" applyAlignment="1">
      <alignment horizontal="center" vertical="center"/>
    </xf>
    <xf numFmtId="3" fontId="15" fillId="0" borderId="23" xfId="1" applyNumberFormat="1" applyFont="1" applyBorder="1"/>
    <xf numFmtId="0" fontId="15" fillId="0" borderId="24" xfId="1" applyFont="1" applyBorder="1"/>
    <xf numFmtId="0" fontId="15" fillId="0" borderId="0" xfId="1" applyFont="1"/>
    <xf numFmtId="0" fontId="15" fillId="0" borderId="25" xfId="1" applyFont="1" applyBorder="1"/>
    <xf numFmtId="0" fontId="15" fillId="0" borderId="26" xfId="1" applyFont="1" applyBorder="1" applyAlignment="1">
      <alignment horizontal="center" vertical="center"/>
    </xf>
    <xf numFmtId="0" fontId="15" fillId="0" borderId="9" xfId="1" applyFont="1" applyBorder="1" applyAlignment="1">
      <alignment horizontal="center" vertical="center"/>
    </xf>
    <xf numFmtId="3" fontId="15" fillId="0" borderId="27" xfId="1" applyNumberFormat="1" applyFont="1" applyBorder="1"/>
    <xf numFmtId="0" fontId="15" fillId="0" borderId="28" xfId="1" applyFont="1" applyBorder="1"/>
    <xf numFmtId="0" fontId="15" fillId="0" borderId="29" xfId="1" applyFont="1" applyBorder="1"/>
    <xf numFmtId="0" fontId="15" fillId="0" borderId="30" xfId="1" applyFont="1" applyBorder="1"/>
    <xf numFmtId="0" fontId="15" fillId="0" borderId="31" xfId="1" applyFont="1" applyBorder="1" applyAlignment="1">
      <alignment horizontal="center" vertical="center"/>
    </xf>
    <xf numFmtId="0" fontId="15" fillId="0" borderId="17" xfId="1" applyFont="1" applyBorder="1" applyAlignment="1">
      <alignment horizontal="center" vertical="center"/>
    </xf>
    <xf numFmtId="3" fontId="15" fillId="0" borderId="32" xfId="1" applyNumberFormat="1" applyFont="1" applyBorder="1"/>
  </cellXfs>
  <cellStyles count="2">
    <cellStyle name="標準" xfId="0" builtinId="0"/>
    <cellStyle name="標準 2" xfId="1" xr:uid="{19E57FEA-BF62-4835-BD59-57D168B3212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323850</xdr:colOff>
      <xdr:row>5</xdr:row>
      <xdr:rowOff>177634</xdr:rowOff>
    </xdr:from>
    <xdr:to>
      <xdr:col>7</xdr:col>
      <xdr:colOff>240700</xdr:colOff>
      <xdr:row>6</xdr:row>
      <xdr:rowOff>304800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B603C287-B579-4F54-8F8E-B3D76527AC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304" t="20715" r="27663" b="19109"/>
        <a:stretch>
          <a:fillRect/>
        </a:stretch>
      </xdr:blipFill>
      <xdr:spPr bwMode="auto">
        <a:xfrm>
          <a:off x="5657850" y="1263484"/>
          <a:ext cx="469300" cy="4510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chi\Desktop\&#12510;&#12532;&#12451;&#12475;&#12524;&#12463;&#12488;&#24037;&#20107;&#12501;&#12457;&#12523;&#12480;\&#24037;&#20107;&#12459;&#12540;&#12489;New3.xlsm" TargetMode="External"/><Relationship Id="rId1" Type="http://schemas.openxmlformats.org/officeDocument/2006/relationships/externalLinkPath" Target="&#12510;&#12532;&#12451;&#12475;&#12524;&#12463;&#12488;&#24037;&#20107;&#12501;&#12457;&#12523;&#12480;/&#24037;&#20107;&#12459;&#12540;&#12489;New3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vieselect\&#20181;&#20107;\&#28310;&#24179;\Desktop\&#20849;&#26377;\&#24037;&#20107;&#12459;&#12540;&#12489;\&#24037;&#20107;&#12459;&#12540;&#12489;&#12288;access.xls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mavieselect-my.sharepoint.com/personal/machida_mavieselect_onmicrosoft_com/Documents/&#12487;&#12473;&#12463;&#12488;&#12483;&#12503;/&#24037;&#20107;&#12459;&#12540;&#12489;/&#24037;&#20107;&#12459;&#12540;&#12489;&#65288;&#26032;&#65289;/&#26666;&#24335;&#20250;&#31038;&#12495;&#12454;&#12473;&#12513;&#12452;&#12488;&#12510;&#12493;&#12472;&#12513;&#12531;&#12488;&#27096;&#29992;.xls" TargetMode="External"/><Relationship Id="rId1" Type="http://schemas.openxmlformats.org/officeDocument/2006/relationships/externalLinkPath" Target="https://mavieselect-my.sharepoint.com/personal/machida_mavieselect_onmicrosoft_com/Documents/&#12487;&#12473;&#12463;&#12488;&#12483;&#12503;/&#24037;&#20107;&#12459;&#12540;&#12489;/&#24037;&#20107;&#12459;&#12540;&#12489;&#65288;&#26032;&#65289;/&#26666;&#24335;&#20250;&#31038;&#12495;&#12454;&#12473;&#12513;&#12452;&#12488;&#12510;&#12493;&#12472;&#12513;&#12531;&#12488;&#27096;&#29992;.xls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chi\Desktop\&#24037;&#20107;&#12459;&#12540;&#12489;\&#24037;&#20107;&#20381;&#38972;&#12501;&#12457;&#12540;&#12512;.xlsm" TargetMode="External"/><Relationship Id="rId1" Type="http://schemas.openxmlformats.org/officeDocument/2006/relationships/externalLinkPath" Target="https://mavieselect-my.sharepoint.com/personal/machida_mavieselect_onmicrosoft_com/Documents/&#12487;&#12473;&#12463;&#12488;&#12483;&#12503;/&#24037;&#20107;&#12459;&#12540;&#12489;/&#24037;&#20107;&#20381;&#38972;&#12501;&#12457;&#12540;&#12512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工事カード"/>
      <sheetName val="入力フォーム"/>
      <sheetName val="見積書"/>
      <sheetName val="発注書"/>
      <sheetName val="工程表"/>
      <sheetName val="工事項目"/>
      <sheetName val="完了報告書"/>
      <sheetName val="業者請求テンプレート"/>
      <sheetName val="原価計算書"/>
      <sheetName val="仕様書CF裁断"/>
      <sheetName val="クロス計算"/>
      <sheetName val="床計算 "/>
      <sheetName val="単価表"/>
      <sheetName val="管理会社一覧"/>
      <sheetName val="協力業者"/>
      <sheetName val="業者単価"/>
      <sheetName val="マスター (2)"/>
      <sheetName val="株式会社ハウスメイトマネジメント_マスター"/>
      <sheetName val="株式会社第一住建_マスター"/>
      <sheetName val="株式会社LINE_マスター"/>
      <sheetName val="株式会社アプリーズ_マスター"/>
      <sheetName val="株式会社札幌ウィークリー_マスター"/>
      <sheetName val="株式会社ASSETIA_マスター"/>
      <sheetName val="株式会社サクシード_マスター"/>
      <sheetName val="株式会社アセットプランニング_マスター"/>
      <sheetName val="平野商会_マスター"/>
      <sheetName val="マスター"/>
      <sheetName val="株式会社鏑木石材建築_マスター"/>
      <sheetName val="株式会社二瓶不動産_マスター"/>
      <sheetName val="フラットホーム合同会社_マスター"/>
      <sheetName val="クロスコート合同会社_マスター"/>
      <sheetName val="株式会社リレイト_マスター"/>
      <sheetName val="合同会社REALHEAL_マスター"/>
      <sheetName val="合同会社Luca_マスター"/>
      <sheetName val="アークエステートグループ株式会社_マスター"/>
      <sheetName val="有限会社オフィススズキ_マスター"/>
      <sheetName val="地区マスター"/>
      <sheetName val="株式会社ヒルズ_マスター"/>
      <sheetName val="株式会社丸信ワタナベ_マスター"/>
      <sheetName val="株式会社NIPPO_COM_マスター"/>
    </sheetNames>
    <definedNames>
      <definedName name="ExportInteriorDataWithCover"/>
      <definedName name="ファイルごと名前を付けて保存_ExcelかPDF選択"/>
      <definedName name="現在のシートを新規ブックにコピー"/>
      <definedName name="除去して保存ダイアログ"/>
      <definedName name="単価一覧ポップアップ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工事カード"/>
      <sheetName val="見積書"/>
      <sheetName val="原価計算"/>
      <sheetName val="取引先住所録"/>
      <sheetName val="業者住所録 "/>
      <sheetName val="物件名一覧"/>
      <sheetName val="物件データ"/>
      <sheetName val="請求書"/>
      <sheetName val="クロス計算 (１)"/>
      <sheetName val="クロス計算 (２)"/>
      <sheetName val="床計算  (2)"/>
      <sheetName val="新規発注書"/>
      <sheetName val="新規発注書 (2)"/>
      <sheetName val="新規発注書 (3)"/>
      <sheetName val="新規発注書 (4)"/>
      <sheetName val="新規発注書 (5)"/>
      <sheetName val="新規発注書 (6)"/>
      <sheetName val="箇所マスタ"/>
      <sheetName val="項目マスタ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3">
          <cell r="A3" t="str">
            <v>クロス</v>
          </cell>
        </row>
        <row r="4">
          <cell r="A4" t="str">
            <v>床工事</v>
          </cell>
        </row>
        <row r="5">
          <cell r="A5" t="str">
            <v>設備</v>
          </cell>
        </row>
        <row r="6">
          <cell r="A6" t="str">
            <v>塗装</v>
          </cell>
        </row>
        <row r="7">
          <cell r="A7" t="str">
            <v>清掃</v>
          </cell>
        </row>
        <row r="8">
          <cell r="A8" t="str">
            <v>補修</v>
          </cell>
        </row>
        <row r="9">
          <cell r="A9" t="str">
            <v>雑工事</v>
          </cell>
        </row>
        <row r="10">
          <cell r="A10" t="str">
            <v>電気</v>
          </cell>
        </row>
        <row r="11">
          <cell r="A11" t="str">
            <v>大工</v>
          </cell>
        </row>
        <row r="12">
          <cell r="A12" t="str">
            <v>外構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物件ハウスメイト"/>
      <sheetName val="工事単価"/>
      <sheetName val="項目"/>
      <sheetName val="価格表"/>
      <sheetName val="項目（原価）"/>
      <sheetName val="原価"/>
      <sheetName val="工事カード"/>
      <sheetName val="見積書"/>
      <sheetName val="工事項目"/>
      <sheetName val="自社作業書"/>
      <sheetName val="完了報告書 (2)"/>
      <sheetName val="仕様書CF裁断"/>
      <sheetName val="原価計算書"/>
      <sheetName val="クロス計算"/>
      <sheetName val="床計算 "/>
      <sheetName val="新規発注書"/>
      <sheetName val="小倉クロス"/>
      <sheetName val="シンコール"/>
      <sheetName val="シンコール (材料)"/>
      <sheetName val="上坂紙店"/>
      <sheetName val="上坂紙店(材料)"/>
      <sheetName val="イデア"/>
      <sheetName val="ﾄﾗｽﾄｸﾙｰ"/>
      <sheetName val="ブラッシュアップ"/>
      <sheetName val="久末"/>
      <sheetName val="山本"/>
      <sheetName val="浜江内装"/>
      <sheetName val="衛生洗浄"/>
      <sheetName val="Ito Biken"/>
      <sheetName val="香川"/>
      <sheetName val="ガラスフリーク"/>
      <sheetName val="成田ガラス"/>
      <sheetName val="札ベニ"/>
      <sheetName val="泰平建材"/>
      <sheetName val="工藤畳"/>
      <sheetName val="塗装北彩"/>
      <sheetName val="K’s Works"/>
      <sheetName val="eガス"/>
      <sheetName val="浅野興業"/>
      <sheetName val="小成"/>
      <sheetName val="ﾄﾞｸﾀｰﾎﾟｯﾄ"/>
      <sheetName val="鍵の救急車"/>
      <sheetName val="仕様書クロス・床"/>
      <sheetName val="FAX送付状"/>
      <sheetName val="株式会社ハウスメイトマネジメント様用"/>
    </sheetNames>
    <sheetDataSet>
      <sheetData sheetId="0">
        <row r="2">
          <cell r="I2" t="str">
            <v>中央区</v>
          </cell>
        </row>
        <row r="3">
          <cell r="I3" t="str">
            <v>北区</v>
          </cell>
        </row>
        <row r="4">
          <cell r="I4" t="str">
            <v>東区</v>
          </cell>
        </row>
        <row r="5">
          <cell r="I5" t="str">
            <v>西区</v>
          </cell>
        </row>
        <row r="6">
          <cell r="I6" t="str">
            <v>南区</v>
          </cell>
        </row>
        <row r="7">
          <cell r="I7" t="str">
            <v>白石区</v>
          </cell>
        </row>
        <row r="8">
          <cell r="I8" t="str">
            <v>豊平区</v>
          </cell>
        </row>
        <row r="9">
          <cell r="I9" t="str">
            <v>厚別区</v>
          </cell>
        </row>
        <row r="10">
          <cell r="I10" t="str">
            <v>手稲区</v>
          </cell>
        </row>
        <row r="11">
          <cell r="I11" t="str">
            <v>清田区</v>
          </cell>
        </row>
        <row r="12">
          <cell r="I12" t="str">
            <v>市外</v>
          </cell>
        </row>
      </sheetData>
      <sheetData sheetId="1"/>
      <sheetData sheetId="2"/>
      <sheetData sheetId="3"/>
      <sheetData sheetId="4"/>
      <sheetData sheetId="5"/>
      <sheetData sheetId="6">
        <row r="6">
          <cell r="J6" t="str">
            <v>号室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依頼入力フォーム"/>
      <sheetName val="修繕データベース"/>
      <sheetName val="管理会社一覧"/>
      <sheetName val="株式会社ハウスメイトマネジメント_マスター"/>
      <sheetName val="株式会社第一住建_マスター"/>
      <sheetName val="株式会社LINE_マスター"/>
    </sheetNames>
    <sheetDataSet>
      <sheetData sheetId="0">
        <row r="13">
          <cell r="E13" t="str">
            <v>　</v>
          </cell>
        </row>
        <row r="15">
          <cell r="B15" t="str">
            <v>住所が見つかりません</v>
          </cell>
        </row>
        <row r="17">
          <cell r="B17" t="str">
            <v>オートロック情報なし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91782B1-08F1-4E30-9B7E-D801B6014882}">
  <we:reference id="wa200005271" version="2.5.5.0" store="ja-JP" storeType="OMEX"/>
  <we:alternateReferences>
    <we:reference id="WA200005271" version="2.5.5.0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E13E6-773A-4D42-BFEE-C059E0E65422}">
  <sheetPr codeName="Sheet10">
    <tabColor rgb="FFFF0000"/>
    <pageSetUpPr fitToPage="1"/>
  </sheetPr>
  <dimension ref="B1:K71"/>
  <sheetViews>
    <sheetView showGridLines="0" showZeros="0" tabSelected="1" zoomScale="115" zoomScaleNormal="115" workbookViewId="0">
      <selection activeCell="L1" sqref="L1:M1048576"/>
    </sheetView>
  </sheetViews>
  <sheetFormatPr defaultRowHeight="13.5" x14ac:dyDescent="0.15"/>
  <cols>
    <col min="1" max="1" width="1.25" style="1" customWidth="1"/>
    <col min="2" max="2" width="10.5" style="1" customWidth="1"/>
    <col min="3" max="3" width="8.125" style="1" customWidth="1"/>
    <col min="4" max="4" width="11.125" style="1" customWidth="1"/>
    <col min="5" max="5" width="29.25" style="1" customWidth="1"/>
    <col min="6" max="6" width="9.75" style="1" customWidth="1"/>
    <col min="7" max="7" width="7.25" style="1" customWidth="1"/>
    <col min="8" max="8" width="7.25" style="2" customWidth="1"/>
    <col min="9" max="9" width="7" style="2" bestFit="1" customWidth="1"/>
    <col min="10" max="10" width="10" style="1" customWidth="1"/>
    <col min="11" max="11" width="15.125" style="1" customWidth="1"/>
    <col min="12" max="12" width="9" style="1"/>
    <col min="13" max="14" width="10" style="1" bestFit="1" customWidth="1"/>
    <col min="15" max="256" width="9" style="1"/>
    <col min="257" max="257" width="1.25" style="1" customWidth="1"/>
    <col min="258" max="258" width="7.25" style="1" customWidth="1"/>
    <col min="259" max="259" width="11.5" style="1" customWidth="1"/>
    <col min="260" max="260" width="11.125" style="1" customWidth="1"/>
    <col min="261" max="261" width="29.25" style="1" customWidth="1"/>
    <col min="262" max="262" width="9.75" style="1" customWidth="1"/>
    <col min="263" max="264" width="7.25" style="1" customWidth="1"/>
    <col min="265" max="265" width="6.5" style="1" customWidth="1"/>
    <col min="266" max="266" width="10" style="1" customWidth="1"/>
    <col min="267" max="267" width="15.125" style="1" customWidth="1"/>
    <col min="268" max="512" width="9" style="1"/>
    <col min="513" max="513" width="1.25" style="1" customWidth="1"/>
    <col min="514" max="514" width="7.25" style="1" customWidth="1"/>
    <col min="515" max="515" width="11.5" style="1" customWidth="1"/>
    <col min="516" max="516" width="11.125" style="1" customWidth="1"/>
    <col min="517" max="517" width="29.25" style="1" customWidth="1"/>
    <col min="518" max="518" width="9.75" style="1" customWidth="1"/>
    <col min="519" max="520" width="7.25" style="1" customWidth="1"/>
    <col min="521" max="521" width="6.5" style="1" customWidth="1"/>
    <col min="522" max="522" width="10" style="1" customWidth="1"/>
    <col min="523" max="523" width="15.125" style="1" customWidth="1"/>
    <col min="524" max="768" width="9" style="1"/>
    <col min="769" max="769" width="1.25" style="1" customWidth="1"/>
    <col min="770" max="770" width="7.25" style="1" customWidth="1"/>
    <col min="771" max="771" width="11.5" style="1" customWidth="1"/>
    <col min="772" max="772" width="11.125" style="1" customWidth="1"/>
    <col min="773" max="773" width="29.25" style="1" customWidth="1"/>
    <col min="774" max="774" width="9.75" style="1" customWidth="1"/>
    <col min="775" max="776" width="7.25" style="1" customWidth="1"/>
    <col min="777" max="777" width="6.5" style="1" customWidth="1"/>
    <col min="778" max="778" width="10" style="1" customWidth="1"/>
    <col min="779" max="779" width="15.125" style="1" customWidth="1"/>
    <col min="780" max="1024" width="9" style="1"/>
    <col min="1025" max="1025" width="1.25" style="1" customWidth="1"/>
    <col min="1026" max="1026" width="7.25" style="1" customWidth="1"/>
    <col min="1027" max="1027" width="11.5" style="1" customWidth="1"/>
    <col min="1028" max="1028" width="11.125" style="1" customWidth="1"/>
    <col min="1029" max="1029" width="29.25" style="1" customWidth="1"/>
    <col min="1030" max="1030" width="9.75" style="1" customWidth="1"/>
    <col min="1031" max="1032" width="7.25" style="1" customWidth="1"/>
    <col min="1033" max="1033" width="6.5" style="1" customWidth="1"/>
    <col min="1034" max="1034" width="10" style="1" customWidth="1"/>
    <col min="1035" max="1035" width="15.125" style="1" customWidth="1"/>
    <col min="1036" max="1280" width="9" style="1"/>
    <col min="1281" max="1281" width="1.25" style="1" customWidth="1"/>
    <col min="1282" max="1282" width="7.25" style="1" customWidth="1"/>
    <col min="1283" max="1283" width="11.5" style="1" customWidth="1"/>
    <col min="1284" max="1284" width="11.125" style="1" customWidth="1"/>
    <col min="1285" max="1285" width="29.25" style="1" customWidth="1"/>
    <col min="1286" max="1286" width="9.75" style="1" customWidth="1"/>
    <col min="1287" max="1288" width="7.25" style="1" customWidth="1"/>
    <col min="1289" max="1289" width="6.5" style="1" customWidth="1"/>
    <col min="1290" max="1290" width="10" style="1" customWidth="1"/>
    <col min="1291" max="1291" width="15.125" style="1" customWidth="1"/>
    <col min="1292" max="1536" width="9" style="1"/>
    <col min="1537" max="1537" width="1.25" style="1" customWidth="1"/>
    <col min="1538" max="1538" width="7.25" style="1" customWidth="1"/>
    <col min="1539" max="1539" width="11.5" style="1" customWidth="1"/>
    <col min="1540" max="1540" width="11.125" style="1" customWidth="1"/>
    <col min="1541" max="1541" width="29.25" style="1" customWidth="1"/>
    <col min="1542" max="1542" width="9.75" style="1" customWidth="1"/>
    <col min="1543" max="1544" width="7.25" style="1" customWidth="1"/>
    <col min="1545" max="1545" width="6.5" style="1" customWidth="1"/>
    <col min="1546" max="1546" width="10" style="1" customWidth="1"/>
    <col min="1547" max="1547" width="15.125" style="1" customWidth="1"/>
    <col min="1548" max="1792" width="9" style="1"/>
    <col min="1793" max="1793" width="1.25" style="1" customWidth="1"/>
    <col min="1794" max="1794" width="7.25" style="1" customWidth="1"/>
    <col min="1795" max="1795" width="11.5" style="1" customWidth="1"/>
    <col min="1796" max="1796" width="11.125" style="1" customWidth="1"/>
    <col min="1797" max="1797" width="29.25" style="1" customWidth="1"/>
    <col min="1798" max="1798" width="9.75" style="1" customWidth="1"/>
    <col min="1799" max="1800" width="7.25" style="1" customWidth="1"/>
    <col min="1801" max="1801" width="6.5" style="1" customWidth="1"/>
    <col min="1802" max="1802" width="10" style="1" customWidth="1"/>
    <col min="1803" max="1803" width="15.125" style="1" customWidth="1"/>
    <col min="1804" max="2048" width="9" style="1"/>
    <col min="2049" max="2049" width="1.25" style="1" customWidth="1"/>
    <col min="2050" max="2050" width="7.25" style="1" customWidth="1"/>
    <col min="2051" max="2051" width="11.5" style="1" customWidth="1"/>
    <col min="2052" max="2052" width="11.125" style="1" customWidth="1"/>
    <col min="2053" max="2053" width="29.25" style="1" customWidth="1"/>
    <col min="2054" max="2054" width="9.75" style="1" customWidth="1"/>
    <col min="2055" max="2056" width="7.25" style="1" customWidth="1"/>
    <col min="2057" max="2057" width="6.5" style="1" customWidth="1"/>
    <col min="2058" max="2058" width="10" style="1" customWidth="1"/>
    <col min="2059" max="2059" width="15.125" style="1" customWidth="1"/>
    <col min="2060" max="2304" width="9" style="1"/>
    <col min="2305" max="2305" width="1.25" style="1" customWidth="1"/>
    <col min="2306" max="2306" width="7.25" style="1" customWidth="1"/>
    <col min="2307" max="2307" width="11.5" style="1" customWidth="1"/>
    <col min="2308" max="2308" width="11.125" style="1" customWidth="1"/>
    <col min="2309" max="2309" width="29.25" style="1" customWidth="1"/>
    <col min="2310" max="2310" width="9.75" style="1" customWidth="1"/>
    <col min="2311" max="2312" width="7.25" style="1" customWidth="1"/>
    <col min="2313" max="2313" width="6.5" style="1" customWidth="1"/>
    <col min="2314" max="2314" width="10" style="1" customWidth="1"/>
    <col min="2315" max="2315" width="15.125" style="1" customWidth="1"/>
    <col min="2316" max="2560" width="9" style="1"/>
    <col min="2561" max="2561" width="1.25" style="1" customWidth="1"/>
    <col min="2562" max="2562" width="7.25" style="1" customWidth="1"/>
    <col min="2563" max="2563" width="11.5" style="1" customWidth="1"/>
    <col min="2564" max="2564" width="11.125" style="1" customWidth="1"/>
    <col min="2565" max="2565" width="29.25" style="1" customWidth="1"/>
    <col min="2566" max="2566" width="9.75" style="1" customWidth="1"/>
    <col min="2567" max="2568" width="7.25" style="1" customWidth="1"/>
    <col min="2569" max="2569" width="6.5" style="1" customWidth="1"/>
    <col min="2570" max="2570" width="10" style="1" customWidth="1"/>
    <col min="2571" max="2571" width="15.125" style="1" customWidth="1"/>
    <col min="2572" max="2816" width="9" style="1"/>
    <col min="2817" max="2817" width="1.25" style="1" customWidth="1"/>
    <col min="2818" max="2818" width="7.25" style="1" customWidth="1"/>
    <col min="2819" max="2819" width="11.5" style="1" customWidth="1"/>
    <col min="2820" max="2820" width="11.125" style="1" customWidth="1"/>
    <col min="2821" max="2821" width="29.25" style="1" customWidth="1"/>
    <col min="2822" max="2822" width="9.75" style="1" customWidth="1"/>
    <col min="2823" max="2824" width="7.25" style="1" customWidth="1"/>
    <col min="2825" max="2825" width="6.5" style="1" customWidth="1"/>
    <col min="2826" max="2826" width="10" style="1" customWidth="1"/>
    <col min="2827" max="2827" width="15.125" style="1" customWidth="1"/>
    <col min="2828" max="3072" width="9" style="1"/>
    <col min="3073" max="3073" width="1.25" style="1" customWidth="1"/>
    <col min="3074" max="3074" width="7.25" style="1" customWidth="1"/>
    <col min="3075" max="3075" width="11.5" style="1" customWidth="1"/>
    <col min="3076" max="3076" width="11.125" style="1" customWidth="1"/>
    <col min="3077" max="3077" width="29.25" style="1" customWidth="1"/>
    <col min="3078" max="3078" width="9.75" style="1" customWidth="1"/>
    <col min="3079" max="3080" width="7.25" style="1" customWidth="1"/>
    <col min="3081" max="3081" width="6.5" style="1" customWidth="1"/>
    <col min="3082" max="3082" width="10" style="1" customWidth="1"/>
    <col min="3083" max="3083" width="15.125" style="1" customWidth="1"/>
    <col min="3084" max="3328" width="9" style="1"/>
    <col min="3329" max="3329" width="1.25" style="1" customWidth="1"/>
    <col min="3330" max="3330" width="7.25" style="1" customWidth="1"/>
    <col min="3331" max="3331" width="11.5" style="1" customWidth="1"/>
    <col min="3332" max="3332" width="11.125" style="1" customWidth="1"/>
    <col min="3333" max="3333" width="29.25" style="1" customWidth="1"/>
    <col min="3334" max="3334" width="9.75" style="1" customWidth="1"/>
    <col min="3335" max="3336" width="7.25" style="1" customWidth="1"/>
    <col min="3337" max="3337" width="6.5" style="1" customWidth="1"/>
    <col min="3338" max="3338" width="10" style="1" customWidth="1"/>
    <col min="3339" max="3339" width="15.125" style="1" customWidth="1"/>
    <col min="3340" max="3584" width="9" style="1"/>
    <col min="3585" max="3585" width="1.25" style="1" customWidth="1"/>
    <col min="3586" max="3586" width="7.25" style="1" customWidth="1"/>
    <col min="3587" max="3587" width="11.5" style="1" customWidth="1"/>
    <col min="3588" max="3588" width="11.125" style="1" customWidth="1"/>
    <col min="3589" max="3589" width="29.25" style="1" customWidth="1"/>
    <col min="3590" max="3590" width="9.75" style="1" customWidth="1"/>
    <col min="3591" max="3592" width="7.25" style="1" customWidth="1"/>
    <col min="3593" max="3593" width="6.5" style="1" customWidth="1"/>
    <col min="3594" max="3594" width="10" style="1" customWidth="1"/>
    <col min="3595" max="3595" width="15.125" style="1" customWidth="1"/>
    <col min="3596" max="3840" width="9" style="1"/>
    <col min="3841" max="3841" width="1.25" style="1" customWidth="1"/>
    <col min="3842" max="3842" width="7.25" style="1" customWidth="1"/>
    <col min="3843" max="3843" width="11.5" style="1" customWidth="1"/>
    <col min="3844" max="3844" width="11.125" style="1" customWidth="1"/>
    <col min="3845" max="3845" width="29.25" style="1" customWidth="1"/>
    <col min="3846" max="3846" width="9.75" style="1" customWidth="1"/>
    <col min="3847" max="3848" width="7.25" style="1" customWidth="1"/>
    <col min="3849" max="3849" width="6.5" style="1" customWidth="1"/>
    <col min="3850" max="3850" width="10" style="1" customWidth="1"/>
    <col min="3851" max="3851" width="15.125" style="1" customWidth="1"/>
    <col min="3852" max="4096" width="9" style="1"/>
    <col min="4097" max="4097" width="1.25" style="1" customWidth="1"/>
    <col min="4098" max="4098" width="7.25" style="1" customWidth="1"/>
    <col min="4099" max="4099" width="11.5" style="1" customWidth="1"/>
    <col min="4100" max="4100" width="11.125" style="1" customWidth="1"/>
    <col min="4101" max="4101" width="29.25" style="1" customWidth="1"/>
    <col min="4102" max="4102" width="9.75" style="1" customWidth="1"/>
    <col min="4103" max="4104" width="7.25" style="1" customWidth="1"/>
    <col min="4105" max="4105" width="6.5" style="1" customWidth="1"/>
    <col min="4106" max="4106" width="10" style="1" customWidth="1"/>
    <col min="4107" max="4107" width="15.125" style="1" customWidth="1"/>
    <col min="4108" max="4352" width="9" style="1"/>
    <col min="4353" max="4353" width="1.25" style="1" customWidth="1"/>
    <col min="4354" max="4354" width="7.25" style="1" customWidth="1"/>
    <col min="4355" max="4355" width="11.5" style="1" customWidth="1"/>
    <col min="4356" max="4356" width="11.125" style="1" customWidth="1"/>
    <col min="4357" max="4357" width="29.25" style="1" customWidth="1"/>
    <col min="4358" max="4358" width="9.75" style="1" customWidth="1"/>
    <col min="4359" max="4360" width="7.25" style="1" customWidth="1"/>
    <col min="4361" max="4361" width="6.5" style="1" customWidth="1"/>
    <col min="4362" max="4362" width="10" style="1" customWidth="1"/>
    <col min="4363" max="4363" width="15.125" style="1" customWidth="1"/>
    <col min="4364" max="4608" width="9" style="1"/>
    <col min="4609" max="4609" width="1.25" style="1" customWidth="1"/>
    <col min="4610" max="4610" width="7.25" style="1" customWidth="1"/>
    <col min="4611" max="4611" width="11.5" style="1" customWidth="1"/>
    <col min="4612" max="4612" width="11.125" style="1" customWidth="1"/>
    <col min="4613" max="4613" width="29.25" style="1" customWidth="1"/>
    <col min="4614" max="4614" width="9.75" style="1" customWidth="1"/>
    <col min="4615" max="4616" width="7.25" style="1" customWidth="1"/>
    <col min="4617" max="4617" width="6.5" style="1" customWidth="1"/>
    <col min="4618" max="4618" width="10" style="1" customWidth="1"/>
    <col min="4619" max="4619" width="15.125" style="1" customWidth="1"/>
    <col min="4620" max="4864" width="9" style="1"/>
    <col min="4865" max="4865" width="1.25" style="1" customWidth="1"/>
    <col min="4866" max="4866" width="7.25" style="1" customWidth="1"/>
    <col min="4867" max="4867" width="11.5" style="1" customWidth="1"/>
    <col min="4868" max="4868" width="11.125" style="1" customWidth="1"/>
    <col min="4869" max="4869" width="29.25" style="1" customWidth="1"/>
    <col min="4870" max="4870" width="9.75" style="1" customWidth="1"/>
    <col min="4871" max="4872" width="7.25" style="1" customWidth="1"/>
    <col min="4873" max="4873" width="6.5" style="1" customWidth="1"/>
    <col min="4874" max="4874" width="10" style="1" customWidth="1"/>
    <col min="4875" max="4875" width="15.125" style="1" customWidth="1"/>
    <col min="4876" max="5120" width="9" style="1"/>
    <col min="5121" max="5121" width="1.25" style="1" customWidth="1"/>
    <col min="5122" max="5122" width="7.25" style="1" customWidth="1"/>
    <col min="5123" max="5123" width="11.5" style="1" customWidth="1"/>
    <col min="5124" max="5124" width="11.125" style="1" customWidth="1"/>
    <col min="5125" max="5125" width="29.25" style="1" customWidth="1"/>
    <col min="5126" max="5126" width="9.75" style="1" customWidth="1"/>
    <col min="5127" max="5128" width="7.25" style="1" customWidth="1"/>
    <col min="5129" max="5129" width="6.5" style="1" customWidth="1"/>
    <col min="5130" max="5130" width="10" style="1" customWidth="1"/>
    <col min="5131" max="5131" width="15.125" style="1" customWidth="1"/>
    <col min="5132" max="5376" width="9" style="1"/>
    <col min="5377" max="5377" width="1.25" style="1" customWidth="1"/>
    <col min="5378" max="5378" width="7.25" style="1" customWidth="1"/>
    <col min="5379" max="5379" width="11.5" style="1" customWidth="1"/>
    <col min="5380" max="5380" width="11.125" style="1" customWidth="1"/>
    <col min="5381" max="5381" width="29.25" style="1" customWidth="1"/>
    <col min="5382" max="5382" width="9.75" style="1" customWidth="1"/>
    <col min="5383" max="5384" width="7.25" style="1" customWidth="1"/>
    <col min="5385" max="5385" width="6.5" style="1" customWidth="1"/>
    <col min="5386" max="5386" width="10" style="1" customWidth="1"/>
    <col min="5387" max="5387" width="15.125" style="1" customWidth="1"/>
    <col min="5388" max="5632" width="9" style="1"/>
    <col min="5633" max="5633" width="1.25" style="1" customWidth="1"/>
    <col min="5634" max="5634" width="7.25" style="1" customWidth="1"/>
    <col min="5635" max="5635" width="11.5" style="1" customWidth="1"/>
    <col min="5636" max="5636" width="11.125" style="1" customWidth="1"/>
    <col min="5637" max="5637" width="29.25" style="1" customWidth="1"/>
    <col min="5638" max="5638" width="9.75" style="1" customWidth="1"/>
    <col min="5639" max="5640" width="7.25" style="1" customWidth="1"/>
    <col min="5641" max="5641" width="6.5" style="1" customWidth="1"/>
    <col min="5642" max="5642" width="10" style="1" customWidth="1"/>
    <col min="5643" max="5643" width="15.125" style="1" customWidth="1"/>
    <col min="5644" max="5888" width="9" style="1"/>
    <col min="5889" max="5889" width="1.25" style="1" customWidth="1"/>
    <col min="5890" max="5890" width="7.25" style="1" customWidth="1"/>
    <col min="5891" max="5891" width="11.5" style="1" customWidth="1"/>
    <col min="5892" max="5892" width="11.125" style="1" customWidth="1"/>
    <col min="5893" max="5893" width="29.25" style="1" customWidth="1"/>
    <col min="5894" max="5894" width="9.75" style="1" customWidth="1"/>
    <col min="5895" max="5896" width="7.25" style="1" customWidth="1"/>
    <col min="5897" max="5897" width="6.5" style="1" customWidth="1"/>
    <col min="5898" max="5898" width="10" style="1" customWidth="1"/>
    <col min="5899" max="5899" width="15.125" style="1" customWidth="1"/>
    <col min="5900" max="6144" width="9" style="1"/>
    <col min="6145" max="6145" width="1.25" style="1" customWidth="1"/>
    <col min="6146" max="6146" width="7.25" style="1" customWidth="1"/>
    <col min="6147" max="6147" width="11.5" style="1" customWidth="1"/>
    <col min="6148" max="6148" width="11.125" style="1" customWidth="1"/>
    <col min="6149" max="6149" width="29.25" style="1" customWidth="1"/>
    <col min="6150" max="6150" width="9.75" style="1" customWidth="1"/>
    <col min="6151" max="6152" width="7.25" style="1" customWidth="1"/>
    <col min="6153" max="6153" width="6.5" style="1" customWidth="1"/>
    <col min="6154" max="6154" width="10" style="1" customWidth="1"/>
    <col min="6155" max="6155" width="15.125" style="1" customWidth="1"/>
    <col min="6156" max="6400" width="9" style="1"/>
    <col min="6401" max="6401" width="1.25" style="1" customWidth="1"/>
    <col min="6402" max="6402" width="7.25" style="1" customWidth="1"/>
    <col min="6403" max="6403" width="11.5" style="1" customWidth="1"/>
    <col min="6404" max="6404" width="11.125" style="1" customWidth="1"/>
    <col min="6405" max="6405" width="29.25" style="1" customWidth="1"/>
    <col min="6406" max="6406" width="9.75" style="1" customWidth="1"/>
    <col min="6407" max="6408" width="7.25" style="1" customWidth="1"/>
    <col min="6409" max="6409" width="6.5" style="1" customWidth="1"/>
    <col min="6410" max="6410" width="10" style="1" customWidth="1"/>
    <col min="6411" max="6411" width="15.125" style="1" customWidth="1"/>
    <col min="6412" max="6656" width="9" style="1"/>
    <col min="6657" max="6657" width="1.25" style="1" customWidth="1"/>
    <col min="6658" max="6658" width="7.25" style="1" customWidth="1"/>
    <col min="6659" max="6659" width="11.5" style="1" customWidth="1"/>
    <col min="6660" max="6660" width="11.125" style="1" customWidth="1"/>
    <col min="6661" max="6661" width="29.25" style="1" customWidth="1"/>
    <col min="6662" max="6662" width="9.75" style="1" customWidth="1"/>
    <col min="6663" max="6664" width="7.25" style="1" customWidth="1"/>
    <col min="6665" max="6665" width="6.5" style="1" customWidth="1"/>
    <col min="6666" max="6666" width="10" style="1" customWidth="1"/>
    <col min="6667" max="6667" width="15.125" style="1" customWidth="1"/>
    <col min="6668" max="6912" width="9" style="1"/>
    <col min="6913" max="6913" width="1.25" style="1" customWidth="1"/>
    <col min="6914" max="6914" width="7.25" style="1" customWidth="1"/>
    <col min="6915" max="6915" width="11.5" style="1" customWidth="1"/>
    <col min="6916" max="6916" width="11.125" style="1" customWidth="1"/>
    <col min="6917" max="6917" width="29.25" style="1" customWidth="1"/>
    <col min="6918" max="6918" width="9.75" style="1" customWidth="1"/>
    <col min="6919" max="6920" width="7.25" style="1" customWidth="1"/>
    <col min="6921" max="6921" width="6.5" style="1" customWidth="1"/>
    <col min="6922" max="6922" width="10" style="1" customWidth="1"/>
    <col min="6923" max="6923" width="15.125" style="1" customWidth="1"/>
    <col min="6924" max="7168" width="9" style="1"/>
    <col min="7169" max="7169" width="1.25" style="1" customWidth="1"/>
    <col min="7170" max="7170" width="7.25" style="1" customWidth="1"/>
    <col min="7171" max="7171" width="11.5" style="1" customWidth="1"/>
    <col min="7172" max="7172" width="11.125" style="1" customWidth="1"/>
    <col min="7173" max="7173" width="29.25" style="1" customWidth="1"/>
    <col min="7174" max="7174" width="9.75" style="1" customWidth="1"/>
    <col min="7175" max="7176" width="7.25" style="1" customWidth="1"/>
    <col min="7177" max="7177" width="6.5" style="1" customWidth="1"/>
    <col min="7178" max="7178" width="10" style="1" customWidth="1"/>
    <col min="7179" max="7179" width="15.125" style="1" customWidth="1"/>
    <col min="7180" max="7424" width="9" style="1"/>
    <col min="7425" max="7425" width="1.25" style="1" customWidth="1"/>
    <col min="7426" max="7426" width="7.25" style="1" customWidth="1"/>
    <col min="7427" max="7427" width="11.5" style="1" customWidth="1"/>
    <col min="7428" max="7428" width="11.125" style="1" customWidth="1"/>
    <col min="7429" max="7429" width="29.25" style="1" customWidth="1"/>
    <col min="7430" max="7430" width="9.75" style="1" customWidth="1"/>
    <col min="7431" max="7432" width="7.25" style="1" customWidth="1"/>
    <col min="7433" max="7433" width="6.5" style="1" customWidth="1"/>
    <col min="7434" max="7434" width="10" style="1" customWidth="1"/>
    <col min="7435" max="7435" width="15.125" style="1" customWidth="1"/>
    <col min="7436" max="7680" width="9" style="1"/>
    <col min="7681" max="7681" width="1.25" style="1" customWidth="1"/>
    <col min="7682" max="7682" width="7.25" style="1" customWidth="1"/>
    <col min="7683" max="7683" width="11.5" style="1" customWidth="1"/>
    <col min="7684" max="7684" width="11.125" style="1" customWidth="1"/>
    <col min="7685" max="7685" width="29.25" style="1" customWidth="1"/>
    <col min="7686" max="7686" width="9.75" style="1" customWidth="1"/>
    <col min="7687" max="7688" width="7.25" style="1" customWidth="1"/>
    <col min="7689" max="7689" width="6.5" style="1" customWidth="1"/>
    <col min="7690" max="7690" width="10" style="1" customWidth="1"/>
    <col min="7691" max="7691" width="15.125" style="1" customWidth="1"/>
    <col min="7692" max="7936" width="9" style="1"/>
    <col min="7937" max="7937" width="1.25" style="1" customWidth="1"/>
    <col min="7938" max="7938" width="7.25" style="1" customWidth="1"/>
    <col min="7939" max="7939" width="11.5" style="1" customWidth="1"/>
    <col min="7940" max="7940" width="11.125" style="1" customWidth="1"/>
    <col min="7941" max="7941" width="29.25" style="1" customWidth="1"/>
    <col min="7942" max="7942" width="9.75" style="1" customWidth="1"/>
    <col min="7943" max="7944" width="7.25" style="1" customWidth="1"/>
    <col min="7945" max="7945" width="6.5" style="1" customWidth="1"/>
    <col min="7946" max="7946" width="10" style="1" customWidth="1"/>
    <col min="7947" max="7947" width="15.125" style="1" customWidth="1"/>
    <col min="7948" max="8192" width="9" style="1"/>
    <col min="8193" max="8193" width="1.25" style="1" customWidth="1"/>
    <col min="8194" max="8194" width="7.25" style="1" customWidth="1"/>
    <col min="8195" max="8195" width="11.5" style="1" customWidth="1"/>
    <col min="8196" max="8196" width="11.125" style="1" customWidth="1"/>
    <col min="8197" max="8197" width="29.25" style="1" customWidth="1"/>
    <col min="8198" max="8198" width="9.75" style="1" customWidth="1"/>
    <col min="8199" max="8200" width="7.25" style="1" customWidth="1"/>
    <col min="8201" max="8201" width="6.5" style="1" customWidth="1"/>
    <col min="8202" max="8202" width="10" style="1" customWidth="1"/>
    <col min="8203" max="8203" width="15.125" style="1" customWidth="1"/>
    <col min="8204" max="8448" width="9" style="1"/>
    <col min="8449" max="8449" width="1.25" style="1" customWidth="1"/>
    <col min="8450" max="8450" width="7.25" style="1" customWidth="1"/>
    <col min="8451" max="8451" width="11.5" style="1" customWidth="1"/>
    <col min="8452" max="8452" width="11.125" style="1" customWidth="1"/>
    <col min="8453" max="8453" width="29.25" style="1" customWidth="1"/>
    <col min="8454" max="8454" width="9.75" style="1" customWidth="1"/>
    <col min="8455" max="8456" width="7.25" style="1" customWidth="1"/>
    <col min="8457" max="8457" width="6.5" style="1" customWidth="1"/>
    <col min="8458" max="8458" width="10" style="1" customWidth="1"/>
    <col min="8459" max="8459" width="15.125" style="1" customWidth="1"/>
    <col min="8460" max="8704" width="9" style="1"/>
    <col min="8705" max="8705" width="1.25" style="1" customWidth="1"/>
    <col min="8706" max="8706" width="7.25" style="1" customWidth="1"/>
    <col min="8707" max="8707" width="11.5" style="1" customWidth="1"/>
    <col min="8708" max="8708" width="11.125" style="1" customWidth="1"/>
    <col min="8709" max="8709" width="29.25" style="1" customWidth="1"/>
    <col min="8710" max="8710" width="9.75" style="1" customWidth="1"/>
    <col min="8711" max="8712" width="7.25" style="1" customWidth="1"/>
    <col min="8713" max="8713" width="6.5" style="1" customWidth="1"/>
    <col min="8714" max="8714" width="10" style="1" customWidth="1"/>
    <col min="8715" max="8715" width="15.125" style="1" customWidth="1"/>
    <col min="8716" max="8960" width="9" style="1"/>
    <col min="8961" max="8961" width="1.25" style="1" customWidth="1"/>
    <col min="8962" max="8962" width="7.25" style="1" customWidth="1"/>
    <col min="8963" max="8963" width="11.5" style="1" customWidth="1"/>
    <col min="8964" max="8964" width="11.125" style="1" customWidth="1"/>
    <col min="8965" max="8965" width="29.25" style="1" customWidth="1"/>
    <col min="8966" max="8966" width="9.75" style="1" customWidth="1"/>
    <col min="8967" max="8968" width="7.25" style="1" customWidth="1"/>
    <col min="8969" max="8969" width="6.5" style="1" customWidth="1"/>
    <col min="8970" max="8970" width="10" style="1" customWidth="1"/>
    <col min="8971" max="8971" width="15.125" style="1" customWidth="1"/>
    <col min="8972" max="9216" width="9" style="1"/>
    <col min="9217" max="9217" width="1.25" style="1" customWidth="1"/>
    <col min="9218" max="9218" width="7.25" style="1" customWidth="1"/>
    <col min="9219" max="9219" width="11.5" style="1" customWidth="1"/>
    <col min="9220" max="9220" width="11.125" style="1" customWidth="1"/>
    <col min="9221" max="9221" width="29.25" style="1" customWidth="1"/>
    <col min="9222" max="9222" width="9.75" style="1" customWidth="1"/>
    <col min="9223" max="9224" width="7.25" style="1" customWidth="1"/>
    <col min="9225" max="9225" width="6.5" style="1" customWidth="1"/>
    <col min="9226" max="9226" width="10" style="1" customWidth="1"/>
    <col min="9227" max="9227" width="15.125" style="1" customWidth="1"/>
    <col min="9228" max="9472" width="9" style="1"/>
    <col min="9473" max="9473" width="1.25" style="1" customWidth="1"/>
    <col min="9474" max="9474" width="7.25" style="1" customWidth="1"/>
    <col min="9475" max="9475" width="11.5" style="1" customWidth="1"/>
    <col min="9476" max="9476" width="11.125" style="1" customWidth="1"/>
    <col min="9477" max="9477" width="29.25" style="1" customWidth="1"/>
    <col min="9478" max="9478" width="9.75" style="1" customWidth="1"/>
    <col min="9479" max="9480" width="7.25" style="1" customWidth="1"/>
    <col min="9481" max="9481" width="6.5" style="1" customWidth="1"/>
    <col min="9482" max="9482" width="10" style="1" customWidth="1"/>
    <col min="9483" max="9483" width="15.125" style="1" customWidth="1"/>
    <col min="9484" max="9728" width="9" style="1"/>
    <col min="9729" max="9729" width="1.25" style="1" customWidth="1"/>
    <col min="9730" max="9730" width="7.25" style="1" customWidth="1"/>
    <col min="9731" max="9731" width="11.5" style="1" customWidth="1"/>
    <col min="9732" max="9732" width="11.125" style="1" customWidth="1"/>
    <col min="9733" max="9733" width="29.25" style="1" customWidth="1"/>
    <col min="9734" max="9734" width="9.75" style="1" customWidth="1"/>
    <col min="9735" max="9736" width="7.25" style="1" customWidth="1"/>
    <col min="9737" max="9737" width="6.5" style="1" customWidth="1"/>
    <col min="9738" max="9738" width="10" style="1" customWidth="1"/>
    <col min="9739" max="9739" width="15.125" style="1" customWidth="1"/>
    <col min="9740" max="9984" width="9" style="1"/>
    <col min="9985" max="9985" width="1.25" style="1" customWidth="1"/>
    <col min="9986" max="9986" width="7.25" style="1" customWidth="1"/>
    <col min="9987" max="9987" width="11.5" style="1" customWidth="1"/>
    <col min="9988" max="9988" width="11.125" style="1" customWidth="1"/>
    <col min="9989" max="9989" width="29.25" style="1" customWidth="1"/>
    <col min="9990" max="9990" width="9.75" style="1" customWidth="1"/>
    <col min="9991" max="9992" width="7.25" style="1" customWidth="1"/>
    <col min="9993" max="9993" width="6.5" style="1" customWidth="1"/>
    <col min="9994" max="9994" width="10" style="1" customWidth="1"/>
    <col min="9995" max="9995" width="15.125" style="1" customWidth="1"/>
    <col min="9996" max="10240" width="9" style="1"/>
    <col min="10241" max="10241" width="1.25" style="1" customWidth="1"/>
    <col min="10242" max="10242" width="7.25" style="1" customWidth="1"/>
    <col min="10243" max="10243" width="11.5" style="1" customWidth="1"/>
    <col min="10244" max="10244" width="11.125" style="1" customWidth="1"/>
    <col min="10245" max="10245" width="29.25" style="1" customWidth="1"/>
    <col min="10246" max="10246" width="9.75" style="1" customWidth="1"/>
    <col min="10247" max="10248" width="7.25" style="1" customWidth="1"/>
    <col min="10249" max="10249" width="6.5" style="1" customWidth="1"/>
    <col min="10250" max="10250" width="10" style="1" customWidth="1"/>
    <col min="10251" max="10251" width="15.125" style="1" customWidth="1"/>
    <col min="10252" max="10496" width="9" style="1"/>
    <col min="10497" max="10497" width="1.25" style="1" customWidth="1"/>
    <col min="10498" max="10498" width="7.25" style="1" customWidth="1"/>
    <col min="10499" max="10499" width="11.5" style="1" customWidth="1"/>
    <col min="10500" max="10500" width="11.125" style="1" customWidth="1"/>
    <col min="10501" max="10501" width="29.25" style="1" customWidth="1"/>
    <col min="10502" max="10502" width="9.75" style="1" customWidth="1"/>
    <col min="10503" max="10504" width="7.25" style="1" customWidth="1"/>
    <col min="10505" max="10505" width="6.5" style="1" customWidth="1"/>
    <col min="10506" max="10506" width="10" style="1" customWidth="1"/>
    <col min="10507" max="10507" width="15.125" style="1" customWidth="1"/>
    <col min="10508" max="10752" width="9" style="1"/>
    <col min="10753" max="10753" width="1.25" style="1" customWidth="1"/>
    <col min="10754" max="10754" width="7.25" style="1" customWidth="1"/>
    <col min="10755" max="10755" width="11.5" style="1" customWidth="1"/>
    <col min="10756" max="10756" width="11.125" style="1" customWidth="1"/>
    <col min="10757" max="10757" width="29.25" style="1" customWidth="1"/>
    <col min="10758" max="10758" width="9.75" style="1" customWidth="1"/>
    <col min="10759" max="10760" width="7.25" style="1" customWidth="1"/>
    <col min="10761" max="10761" width="6.5" style="1" customWidth="1"/>
    <col min="10762" max="10762" width="10" style="1" customWidth="1"/>
    <col min="10763" max="10763" width="15.125" style="1" customWidth="1"/>
    <col min="10764" max="11008" width="9" style="1"/>
    <col min="11009" max="11009" width="1.25" style="1" customWidth="1"/>
    <col min="11010" max="11010" width="7.25" style="1" customWidth="1"/>
    <col min="11011" max="11011" width="11.5" style="1" customWidth="1"/>
    <col min="11012" max="11012" width="11.125" style="1" customWidth="1"/>
    <col min="11013" max="11013" width="29.25" style="1" customWidth="1"/>
    <col min="11014" max="11014" width="9.75" style="1" customWidth="1"/>
    <col min="11015" max="11016" width="7.25" style="1" customWidth="1"/>
    <col min="11017" max="11017" width="6.5" style="1" customWidth="1"/>
    <col min="11018" max="11018" width="10" style="1" customWidth="1"/>
    <col min="11019" max="11019" width="15.125" style="1" customWidth="1"/>
    <col min="11020" max="11264" width="9" style="1"/>
    <col min="11265" max="11265" width="1.25" style="1" customWidth="1"/>
    <col min="11266" max="11266" width="7.25" style="1" customWidth="1"/>
    <col min="11267" max="11267" width="11.5" style="1" customWidth="1"/>
    <col min="11268" max="11268" width="11.125" style="1" customWidth="1"/>
    <col min="11269" max="11269" width="29.25" style="1" customWidth="1"/>
    <col min="11270" max="11270" width="9.75" style="1" customWidth="1"/>
    <col min="11271" max="11272" width="7.25" style="1" customWidth="1"/>
    <col min="11273" max="11273" width="6.5" style="1" customWidth="1"/>
    <col min="11274" max="11274" width="10" style="1" customWidth="1"/>
    <col min="11275" max="11275" width="15.125" style="1" customWidth="1"/>
    <col min="11276" max="11520" width="9" style="1"/>
    <col min="11521" max="11521" width="1.25" style="1" customWidth="1"/>
    <col min="11522" max="11522" width="7.25" style="1" customWidth="1"/>
    <col min="11523" max="11523" width="11.5" style="1" customWidth="1"/>
    <col min="11524" max="11524" width="11.125" style="1" customWidth="1"/>
    <col min="11525" max="11525" width="29.25" style="1" customWidth="1"/>
    <col min="11526" max="11526" width="9.75" style="1" customWidth="1"/>
    <col min="11527" max="11528" width="7.25" style="1" customWidth="1"/>
    <col min="11529" max="11529" width="6.5" style="1" customWidth="1"/>
    <col min="11530" max="11530" width="10" style="1" customWidth="1"/>
    <col min="11531" max="11531" width="15.125" style="1" customWidth="1"/>
    <col min="11532" max="11776" width="9" style="1"/>
    <col min="11777" max="11777" width="1.25" style="1" customWidth="1"/>
    <col min="11778" max="11778" width="7.25" style="1" customWidth="1"/>
    <col min="11779" max="11779" width="11.5" style="1" customWidth="1"/>
    <col min="11780" max="11780" width="11.125" style="1" customWidth="1"/>
    <col min="11781" max="11781" width="29.25" style="1" customWidth="1"/>
    <col min="11782" max="11782" width="9.75" style="1" customWidth="1"/>
    <col min="11783" max="11784" width="7.25" style="1" customWidth="1"/>
    <col min="11785" max="11785" width="6.5" style="1" customWidth="1"/>
    <col min="11786" max="11786" width="10" style="1" customWidth="1"/>
    <col min="11787" max="11787" width="15.125" style="1" customWidth="1"/>
    <col min="11788" max="12032" width="9" style="1"/>
    <col min="12033" max="12033" width="1.25" style="1" customWidth="1"/>
    <col min="12034" max="12034" width="7.25" style="1" customWidth="1"/>
    <col min="12035" max="12035" width="11.5" style="1" customWidth="1"/>
    <col min="12036" max="12036" width="11.125" style="1" customWidth="1"/>
    <col min="12037" max="12037" width="29.25" style="1" customWidth="1"/>
    <col min="12038" max="12038" width="9.75" style="1" customWidth="1"/>
    <col min="12039" max="12040" width="7.25" style="1" customWidth="1"/>
    <col min="12041" max="12041" width="6.5" style="1" customWidth="1"/>
    <col min="12042" max="12042" width="10" style="1" customWidth="1"/>
    <col min="12043" max="12043" width="15.125" style="1" customWidth="1"/>
    <col min="12044" max="12288" width="9" style="1"/>
    <col min="12289" max="12289" width="1.25" style="1" customWidth="1"/>
    <col min="12290" max="12290" width="7.25" style="1" customWidth="1"/>
    <col min="12291" max="12291" width="11.5" style="1" customWidth="1"/>
    <col min="12292" max="12292" width="11.125" style="1" customWidth="1"/>
    <col min="12293" max="12293" width="29.25" style="1" customWidth="1"/>
    <col min="12294" max="12294" width="9.75" style="1" customWidth="1"/>
    <col min="12295" max="12296" width="7.25" style="1" customWidth="1"/>
    <col min="12297" max="12297" width="6.5" style="1" customWidth="1"/>
    <col min="12298" max="12298" width="10" style="1" customWidth="1"/>
    <col min="12299" max="12299" width="15.125" style="1" customWidth="1"/>
    <col min="12300" max="12544" width="9" style="1"/>
    <col min="12545" max="12545" width="1.25" style="1" customWidth="1"/>
    <col min="12546" max="12546" width="7.25" style="1" customWidth="1"/>
    <col min="12547" max="12547" width="11.5" style="1" customWidth="1"/>
    <col min="12548" max="12548" width="11.125" style="1" customWidth="1"/>
    <col min="12549" max="12549" width="29.25" style="1" customWidth="1"/>
    <col min="12550" max="12550" width="9.75" style="1" customWidth="1"/>
    <col min="12551" max="12552" width="7.25" style="1" customWidth="1"/>
    <col min="12553" max="12553" width="6.5" style="1" customWidth="1"/>
    <col min="12554" max="12554" width="10" style="1" customWidth="1"/>
    <col min="12555" max="12555" width="15.125" style="1" customWidth="1"/>
    <col min="12556" max="12800" width="9" style="1"/>
    <col min="12801" max="12801" width="1.25" style="1" customWidth="1"/>
    <col min="12802" max="12802" width="7.25" style="1" customWidth="1"/>
    <col min="12803" max="12803" width="11.5" style="1" customWidth="1"/>
    <col min="12804" max="12804" width="11.125" style="1" customWidth="1"/>
    <col min="12805" max="12805" width="29.25" style="1" customWidth="1"/>
    <col min="12806" max="12806" width="9.75" style="1" customWidth="1"/>
    <col min="12807" max="12808" width="7.25" style="1" customWidth="1"/>
    <col min="12809" max="12809" width="6.5" style="1" customWidth="1"/>
    <col min="12810" max="12810" width="10" style="1" customWidth="1"/>
    <col min="12811" max="12811" width="15.125" style="1" customWidth="1"/>
    <col min="12812" max="13056" width="9" style="1"/>
    <col min="13057" max="13057" width="1.25" style="1" customWidth="1"/>
    <col min="13058" max="13058" width="7.25" style="1" customWidth="1"/>
    <col min="13059" max="13059" width="11.5" style="1" customWidth="1"/>
    <col min="13060" max="13060" width="11.125" style="1" customWidth="1"/>
    <col min="13061" max="13061" width="29.25" style="1" customWidth="1"/>
    <col min="13062" max="13062" width="9.75" style="1" customWidth="1"/>
    <col min="13063" max="13064" width="7.25" style="1" customWidth="1"/>
    <col min="13065" max="13065" width="6.5" style="1" customWidth="1"/>
    <col min="13066" max="13066" width="10" style="1" customWidth="1"/>
    <col min="13067" max="13067" width="15.125" style="1" customWidth="1"/>
    <col min="13068" max="13312" width="9" style="1"/>
    <col min="13313" max="13313" width="1.25" style="1" customWidth="1"/>
    <col min="13314" max="13314" width="7.25" style="1" customWidth="1"/>
    <col min="13315" max="13315" width="11.5" style="1" customWidth="1"/>
    <col min="13316" max="13316" width="11.125" style="1" customWidth="1"/>
    <col min="13317" max="13317" width="29.25" style="1" customWidth="1"/>
    <col min="13318" max="13318" width="9.75" style="1" customWidth="1"/>
    <col min="13319" max="13320" width="7.25" style="1" customWidth="1"/>
    <col min="13321" max="13321" width="6.5" style="1" customWidth="1"/>
    <col min="13322" max="13322" width="10" style="1" customWidth="1"/>
    <col min="13323" max="13323" width="15.125" style="1" customWidth="1"/>
    <col min="13324" max="13568" width="9" style="1"/>
    <col min="13569" max="13569" width="1.25" style="1" customWidth="1"/>
    <col min="13570" max="13570" width="7.25" style="1" customWidth="1"/>
    <col min="13571" max="13571" width="11.5" style="1" customWidth="1"/>
    <col min="13572" max="13572" width="11.125" style="1" customWidth="1"/>
    <col min="13573" max="13573" width="29.25" style="1" customWidth="1"/>
    <col min="13574" max="13574" width="9.75" style="1" customWidth="1"/>
    <col min="13575" max="13576" width="7.25" style="1" customWidth="1"/>
    <col min="13577" max="13577" width="6.5" style="1" customWidth="1"/>
    <col min="13578" max="13578" width="10" style="1" customWidth="1"/>
    <col min="13579" max="13579" width="15.125" style="1" customWidth="1"/>
    <col min="13580" max="13824" width="9" style="1"/>
    <col min="13825" max="13825" width="1.25" style="1" customWidth="1"/>
    <col min="13826" max="13826" width="7.25" style="1" customWidth="1"/>
    <col min="13827" max="13827" width="11.5" style="1" customWidth="1"/>
    <col min="13828" max="13828" width="11.125" style="1" customWidth="1"/>
    <col min="13829" max="13829" width="29.25" style="1" customWidth="1"/>
    <col min="13830" max="13830" width="9.75" style="1" customWidth="1"/>
    <col min="13831" max="13832" width="7.25" style="1" customWidth="1"/>
    <col min="13833" max="13833" width="6.5" style="1" customWidth="1"/>
    <col min="13834" max="13834" width="10" style="1" customWidth="1"/>
    <col min="13835" max="13835" width="15.125" style="1" customWidth="1"/>
    <col min="13836" max="14080" width="9" style="1"/>
    <col min="14081" max="14081" width="1.25" style="1" customWidth="1"/>
    <col min="14082" max="14082" width="7.25" style="1" customWidth="1"/>
    <col min="14083" max="14083" width="11.5" style="1" customWidth="1"/>
    <col min="14084" max="14084" width="11.125" style="1" customWidth="1"/>
    <col min="14085" max="14085" width="29.25" style="1" customWidth="1"/>
    <col min="14086" max="14086" width="9.75" style="1" customWidth="1"/>
    <col min="14087" max="14088" width="7.25" style="1" customWidth="1"/>
    <col min="14089" max="14089" width="6.5" style="1" customWidth="1"/>
    <col min="14090" max="14090" width="10" style="1" customWidth="1"/>
    <col min="14091" max="14091" width="15.125" style="1" customWidth="1"/>
    <col min="14092" max="14336" width="9" style="1"/>
    <col min="14337" max="14337" width="1.25" style="1" customWidth="1"/>
    <col min="14338" max="14338" width="7.25" style="1" customWidth="1"/>
    <col min="14339" max="14339" width="11.5" style="1" customWidth="1"/>
    <col min="14340" max="14340" width="11.125" style="1" customWidth="1"/>
    <col min="14341" max="14341" width="29.25" style="1" customWidth="1"/>
    <col min="14342" max="14342" width="9.75" style="1" customWidth="1"/>
    <col min="14343" max="14344" width="7.25" style="1" customWidth="1"/>
    <col min="14345" max="14345" width="6.5" style="1" customWidth="1"/>
    <col min="14346" max="14346" width="10" style="1" customWidth="1"/>
    <col min="14347" max="14347" width="15.125" style="1" customWidth="1"/>
    <col min="14348" max="14592" width="9" style="1"/>
    <col min="14593" max="14593" width="1.25" style="1" customWidth="1"/>
    <col min="14594" max="14594" width="7.25" style="1" customWidth="1"/>
    <col min="14595" max="14595" width="11.5" style="1" customWidth="1"/>
    <col min="14596" max="14596" width="11.125" style="1" customWidth="1"/>
    <col min="14597" max="14597" width="29.25" style="1" customWidth="1"/>
    <col min="14598" max="14598" width="9.75" style="1" customWidth="1"/>
    <col min="14599" max="14600" width="7.25" style="1" customWidth="1"/>
    <col min="14601" max="14601" width="6.5" style="1" customWidth="1"/>
    <col min="14602" max="14602" width="10" style="1" customWidth="1"/>
    <col min="14603" max="14603" width="15.125" style="1" customWidth="1"/>
    <col min="14604" max="14848" width="9" style="1"/>
    <col min="14849" max="14849" width="1.25" style="1" customWidth="1"/>
    <col min="14850" max="14850" width="7.25" style="1" customWidth="1"/>
    <col min="14851" max="14851" width="11.5" style="1" customWidth="1"/>
    <col min="14852" max="14852" width="11.125" style="1" customWidth="1"/>
    <col min="14853" max="14853" width="29.25" style="1" customWidth="1"/>
    <col min="14854" max="14854" width="9.75" style="1" customWidth="1"/>
    <col min="14855" max="14856" width="7.25" style="1" customWidth="1"/>
    <col min="14857" max="14857" width="6.5" style="1" customWidth="1"/>
    <col min="14858" max="14858" width="10" style="1" customWidth="1"/>
    <col min="14859" max="14859" width="15.125" style="1" customWidth="1"/>
    <col min="14860" max="15104" width="9" style="1"/>
    <col min="15105" max="15105" width="1.25" style="1" customWidth="1"/>
    <col min="15106" max="15106" width="7.25" style="1" customWidth="1"/>
    <col min="15107" max="15107" width="11.5" style="1" customWidth="1"/>
    <col min="15108" max="15108" width="11.125" style="1" customWidth="1"/>
    <col min="15109" max="15109" width="29.25" style="1" customWidth="1"/>
    <col min="15110" max="15110" width="9.75" style="1" customWidth="1"/>
    <col min="15111" max="15112" width="7.25" style="1" customWidth="1"/>
    <col min="15113" max="15113" width="6.5" style="1" customWidth="1"/>
    <col min="15114" max="15114" width="10" style="1" customWidth="1"/>
    <col min="15115" max="15115" width="15.125" style="1" customWidth="1"/>
    <col min="15116" max="15360" width="9" style="1"/>
    <col min="15361" max="15361" width="1.25" style="1" customWidth="1"/>
    <col min="15362" max="15362" width="7.25" style="1" customWidth="1"/>
    <col min="15363" max="15363" width="11.5" style="1" customWidth="1"/>
    <col min="15364" max="15364" width="11.125" style="1" customWidth="1"/>
    <col min="15365" max="15365" width="29.25" style="1" customWidth="1"/>
    <col min="15366" max="15366" width="9.75" style="1" customWidth="1"/>
    <col min="15367" max="15368" width="7.25" style="1" customWidth="1"/>
    <col min="15369" max="15369" width="6.5" style="1" customWidth="1"/>
    <col min="15370" max="15370" width="10" style="1" customWidth="1"/>
    <col min="15371" max="15371" width="15.125" style="1" customWidth="1"/>
    <col min="15372" max="15616" width="9" style="1"/>
    <col min="15617" max="15617" width="1.25" style="1" customWidth="1"/>
    <col min="15618" max="15618" width="7.25" style="1" customWidth="1"/>
    <col min="15619" max="15619" width="11.5" style="1" customWidth="1"/>
    <col min="15620" max="15620" width="11.125" style="1" customWidth="1"/>
    <col min="15621" max="15621" width="29.25" style="1" customWidth="1"/>
    <col min="15622" max="15622" width="9.75" style="1" customWidth="1"/>
    <col min="15623" max="15624" width="7.25" style="1" customWidth="1"/>
    <col min="15625" max="15625" width="6.5" style="1" customWidth="1"/>
    <col min="15626" max="15626" width="10" style="1" customWidth="1"/>
    <col min="15627" max="15627" width="15.125" style="1" customWidth="1"/>
    <col min="15628" max="15872" width="9" style="1"/>
    <col min="15873" max="15873" width="1.25" style="1" customWidth="1"/>
    <col min="15874" max="15874" width="7.25" style="1" customWidth="1"/>
    <col min="15875" max="15875" width="11.5" style="1" customWidth="1"/>
    <col min="15876" max="15876" width="11.125" style="1" customWidth="1"/>
    <col min="15877" max="15877" width="29.25" style="1" customWidth="1"/>
    <col min="15878" max="15878" width="9.75" style="1" customWidth="1"/>
    <col min="15879" max="15880" width="7.25" style="1" customWidth="1"/>
    <col min="15881" max="15881" width="6.5" style="1" customWidth="1"/>
    <col min="15882" max="15882" width="10" style="1" customWidth="1"/>
    <col min="15883" max="15883" width="15.125" style="1" customWidth="1"/>
    <col min="15884" max="16128" width="9" style="1"/>
    <col min="16129" max="16129" width="1.25" style="1" customWidth="1"/>
    <col min="16130" max="16130" width="7.25" style="1" customWidth="1"/>
    <col min="16131" max="16131" width="11.5" style="1" customWidth="1"/>
    <col min="16132" max="16132" width="11.125" style="1" customWidth="1"/>
    <col min="16133" max="16133" width="29.25" style="1" customWidth="1"/>
    <col min="16134" max="16134" width="9.75" style="1" customWidth="1"/>
    <col min="16135" max="16136" width="7.25" style="1" customWidth="1"/>
    <col min="16137" max="16137" width="6.5" style="1" customWidth="1"/>
    <col min="16138" max="16138" width="10" style="1" customWidth="1"/>
    <col min="16139" max="16139" width="15.125" style="1" customWidth="1"/>
    <col min="16140" max="16384" width="9" style="1"/>
  </cols>
  <sheetData>
    <row r="1" spans="2:11" ht="12.75" customHeight="1" x14ac:dyDescent="0.15"/>
    <row r="2" spans="2:11" ht="13.7" customHeight="1" thickBot="1" x14ac:dyDescent="0.2">
      <c r="J2" s="3" t="s">
        <v>0</v>
      </c>
      <c r="K2" s="4"/>
    </row>
    <row r="3" spans="2:11" ht="22.7" customHeight="1" thickBot="1" x14ac:dyDescent="0.2">
      <c r="B3" s="5" t="s">
        <v>1</v>
      </c>
      <c r="C3" s="6"/>
      <c r="D3" s="6"/>
      <c r="E3" s="6"/>
      <c r="F3" s="6"/>
      <c r="G3" s="6"/>
      <c r="H3" s="6"/>
      <c r="I3" s="6"/>
      <c r="J3" s="6"/>
      <c r="K3" s="7"/>
    </row>
    <row r="5" spans="2:11" ht="23.25" x14ac:dyDescent="0.2">
      <c r="B5" s="8" t="str">
        <f>IF([1]工事カード!C3="", "", [1]工事カード!C3 &amp; " 　御中")</f>
        <v/>
      </c>
      <c r="C5" s="8"/>
      <c r="D5" s="8"/>
      <c r="E5" s="8"/>
      <c r="F5" s="8"/>
      <c r="G5" s="9"/>
      <c r="I5" s="10" t="s">
        <v>2</v>
      </c>
      <c r="J5" s="11">
        <f>[1]工事カード!C2</f>
        <v>0</v>
      </c>
      <c r="K5" s="11"/>
    </row>
    <row r="6" spans="2:11" ht="25.5" customHeight="1" x14ac:dyDescent="0.2">
      <c r="B6" s="12">
        <f>[1]工事カード!C18</f>
        <v>0</v>
      </c>
      <c r="C6" s="12"/>
      <c r="D6" s="12"/>
      <c r="E6" s="12"/>
      <c r="F6" s="13"/>
      <c r="H6" s="14" t="s">
        <v>0</v>
      </c>
    </row>
    <row r="7" spans="2:11" ht="27.75" customHeight="1" x14ac:dyDescent="0.15">
      <c r="B7" s="15"/>
      <c r="C7" s="15"/>
      <c r="D7" s="15"/>
      <c r="E7" s="15"/>
      <c r="H7" s="16" t="s">
        <v>3</v>
      </c>
      <c r="I7" s="16"/>
      <c r="J7" s="17" t="s">
        <v>4</v>
      </c>
      <c r="K7" s="17"/>
    </row>
    <row r="8" spans="2:11" x14ac:dyDescent="0.15">
      <c r="B8" s="18" t="s">
        <v>5</v>
      </c>
      <c r="C8" s="18"/>
      <c r="D8" s="19" t="s">
        <v>6</v>
      </c>
      <c r="H8" s="20" t="s">
        <v>7</v>
      </c>
      <c r="I8" s="20"/>
    </row>
    <row r="9" spans="2:11" x14ac:dyDescent="0.15">
      <c r="B9" s="21"/>
      <c r="C9" s="21" t="s">
        <v>8</v>
      </c>
      <c r="E9" s="1" t="s">
        <v>0</v>
      </c>
      <c r="H9" s="22" t="s">
        <v>9</v>
      </c>
      <c r="I9" s="22"/>
      <c r="J9" s="22"/>
      <c r="K9" s="22"/>
    </row>
    <row r="10" spans="2:11" ht="6.75" customHeight="1" x14ac:dyDescent="0.15">
      <c r="B10" s="21"/>
      <c r="C10" s="21"/>
      <c r="E10" s="1" t="s">
        <v>0</v>
      </c>
      <c r="H10" s="22"/>
      <c r="I10" s="22"/>
      <c r="J10" s="22"/>
      <c r="K10" s="22"/>
    </row>
    <row r="11" spans="2:11" x14ac:dyDescent="0.15">
      <c r="I11" s="2" t="s">
        <v>10</v>
      </c>
      <c r="J11" s="2" t="s">
        <v>11</v>
      </c>
    </row>
    <row r="12" spans="2:11" x14ac:dyDescent="0.15">
      <c r="B12" s="1" t="s">
        <v>0</v>
      </c>
      <c r="I12" s="2" t="s">
        <v>12</v>
      </c>
      <c r="J12" s="2" t="s">
        <v>13</v>
      </c>
    </row>
    <row r="13" spans="2:11" ht="14.25" thickBot="1" x14ac:dyDescent="0.2">
      <c r="B13" s="23" t="s">
        <v>14</v>
      </c>
      <c r="C13" s="23"/>
      <c r="D13" s="24">
        <f>IF([1]工事カード!C20&lt;&gt;"", [1]工事カード!C20, [1]工事カード!C7)</f>
        <v>0</v>
      </c>
      <c r="E13" s="24"/>
      <c r="F13" s="25">
        <f>IF([1]工事カード!C22&lt;&gt;"", [1]工事カード!C22, [1]工事カード!C9)</f>
        <v>0</v>
      </c>
      <c r="G13" s="26" t="str">
        <f>IF([1]工事カード!C9="", "", "号室")</f>
        <v/>
      </c>
      <c r="H13" s="27" t="s">
        <v>0</v>
      </c>
      <c r="I13" s="27"/>
      <c r="J13" s="27"/>
      <c r="K13" s="27"/>
    </row>
    <row r="14" spans="2:11" ht="15" thickTop="1" thickBot="1" x14ac:dyDescent="0.2">
      <c r="B14" s="28" t="s">
        <v>15</v>
      </c>
      <c r="C14" s="28"/>
      <c r="D14" s="29">
        <f>IF([1]工事カード!C24&lt;&gt;"", [1]工事カード!C24, [1]工事カード!C11)</f>
        <v>0</v>
      </c>
      <c r="E14" s="29"/>
      <c r="F14" s="29"/>
      <c r="G14" s="29"/>
      <c r="H14" s="27"/>
      <c r="I14" s="27"/>
      <c r="J14" s="27"/>
      <c r="K14" s="27"/>
    </row>
    <row r="15" spans="2:11" ht="9.75" customHeight="1" thickTop="1" x14ac:dyDescent="0.15">
      <c r="B15" s="1" t="s">
        <v>0</v>
      </c>
      <c r="H15" s="2" t="s">
        <v>0</v>
      </c>
      <c r="I15" s="2" t="s">
        <v>0</v>
      </c>
    </row>
    <row r="16" spans="2:11" ht="9.75" customHeight="1" x14ac:dyDescent="0.15"/>
    <row r="17" spans="2:11" x14ac:dyDescent="0.15">
      <c r="B17" s="1" t="s">
        <v>16</v>
      </c>
      <c r="H17" s="2" t="s">
        <v>0</v>
      </c>
    </row>
    <row r="19" spans="2:11" ht="16.5" x14ac:dyDescent="0.15">
      <c r="B19" s="30" t="s">
        <v>17</v>
      </c>
      <c r="C19" s="31"/>
      <c r="D19" s="31"/>
      <c r="E19" s="32">
        <f>K57</f>
        <v>0</v>
      </c>
    </row>
    <row r="20" spans="2:11" ht="9.1999999999999993" customHeight="1" x14ac:dyDescent="0.15"/>
    <row r="21" spans="2:11" x14ac:dyDescent="0.15">
      <c r="K21" s="33" t="s">
        <v>18</v>
      </c>
    </row>
    <row r="22" spans="2:11" ht="13.15" customHeight="1" x14ac:dyDescent="0.15">
      <c r="B22" s="34"/>
      <c r="C22" s="35" t="s">
        <v>19</v>
      </c>
      <c r="D22" s="36"/>
      <c r="E22" s="36"/>
      <c r="F22" s="35" t="s">
        <v>20</v>
      </c>
      <c r="G22" s="37"/>
      <c r="H22" s="38" t="s">
        <v>21</v>
      </c>
      <c r="I22" s="38" t="s">
        <v>22</v>
      </c>
      <c r="J22" s="39" t="s">
        <v>23</v>
      </c>
      <c r="K22" s="40" t="s">
        <v>24</v>
      </c>
    </row>
    <row r="23" spans="2:11" ht="13.15" customHeight="1" x14ac:dyDescent="0.15">
      <c r="B23" s="41"/>
      <c r="C23" s="42"/>
      <c r="D23" s="43"/>
      <c r="E23" s="44"/>
      <c r="F23" s="43"/>
      <c r="G23" s="45"/>
      <c r="H23" s="46"/>
      <c r="I23" s="47"/>
      <c r="J23" s="48"/>
      <c r="K23" s="49">
        <f>SUM(H23*J23)</f>
        <v>0</v>
      </c>
    </row>
    <row r="24" spans="2:11" ht="13.15" customHeight="1" x14ac:dyDescent="0.15">
      <c r="B24" s="41"/>
      <c r="C24" s="42"/>
      <c r="D24" s="43"/>
      <c r="E24" s="44"/>
      <c r="F24" s="43"/>
      <c r="G24" s="45"/>
      <c r="H24" s="46"/>
      <c r="I24" s="47"/>
      <c r="J24" s="48"/>
      <c r="K24" s="48">
        <f>SUM(H24*J24)</f>
        <v>0</v>
      </c>
    </row>
    <row r="25" spans="2:11" ht="13.15" customHeight="1" x14ac:dyDescent="0.15">
      <c r="B25" s="41"/>
      <c r="C25" s="42"/>
      <c r="D25" s="43"/>
      <c r="E25" s="44"/>
      <c r="F25" s="43"/>
      <c r="G25" s="45"/>
      <c r="H25" s="46"/>
      <c r="I25" s="47"/>
      <c r="J25" s="48"/>
      <c r="K25" s="48">
        <f t="shared" ref="K25:K54" si="0">SUM(H25*J25)</f>
        <v>0</v>
      </c>
    </row>
    <row r="26" spans="2:11" ht="13.15" customHeight="1" x14ac:dyDescent="0.15">
      <c r="B26" s="41"/>
      <c r="C26" s="50"/>
      <c r="D26" s="43"/>
      <c r="E26" s="44"/>
      <c r="F26" s="43"/>
      <c r="G26" s="45"/>
      <c r="H26" s="46"/>
      <c r="I26" s="47"/>
      <c r="J26" s="48"/>
      <c r="K26" s="48">
        <f t="shared" si="0"/>
        <v>0</v>
      </c>
    </row>
    <row r="27" spans="2:11" ht="13.15" customHeight="1" x14ac:dyDescent="0.15">
      <c r="B27" s="41"/>
      <c r="C27" s="42"/>
      <c r="D27" s="43"/>
      <c r="E27" s="44"/>
      <c r="F27" s="43"/>
      <c r="G27" s="45"/>
      <c r="H27" s="46"/>
      <c r="I27" s="47"/>
      <c r="J27" s="48"/>
      <c r="K27" s="48">
        <f t="shared" si="0"/>
        <v>0</v>
      </c>
    </row>
    <row r="28" spans="2:11" ht="13.15" customHeight="1" x14ac:dyDescent="0.15">
      <c r="B28" s="41"/>
      <c r="C28" s="42"/>
      <c r="D28" s="43"/>
      <c r="E28" s="44"/>
      <c r="F28" s="43"/>
      <c r="G28" s="45"/>
      <c r="H28" s="46"/>
      <c r="I28" s="47"/>
      <c r="J28" s="48"/>
      <c r="K28" s="48">
        <f t="shared" si="0"/>
        <v>0</v>
      </c>
    </row>
    <row r="29" spans="2:11" ht="13.15" customHeight="1" x14ac:dyDescent="0.15">
      <c r="B29" s="41"/>
      <c r="C29" s="42"/>
      <c r="D29" s="43"/>
      <c r="E29" s="44"/>
      <c r="F29" s="43"/>
      <c r="G29" s="45"/>
      <c r="H29" s="46"/>
      <c r="I29" s="47"/>
      <c r="J29" s="48"/>
      <c r="K29" s="48">
        <f t="shared" si="0"/>
        <v>0</v>
      </c>
    </row>
    <row r="30" spans="2:11" ht="13.15" customHeight="1" x14ac:dyDescent="0.15">
      <c r="B30" s="41"/>
      <c r="C30" s="42"/>
      <c r="D30" s="43"/>
      <c r="E30" s="44"/>
      <c r="F30" s="43"/>
      <c r="G30" s="45"/>
      <c r="H30" s="46"/>
      <c r="I30" s="47"/>
      <c r="J30" s="48"/>
      <c r="K30" s="48">
        <f t="shared" si="0"/>
        <v>0</v>
      </c>
    </row>
    <row r="31" spans="2:11" ht="13.15" customHeight="1" x14ac:dyDescent="0.15">
      <c r="B31" s="41"/>
      <c r="C31" s="42"/>
      <c r="D31" s="43"/>
      <c r="E31" s="44"/>
      <c r="F31" s="43"/>
      <c r="G31" s="45"/>
      <c r="H31" s="46"/>
      <c r="I31" s="47"/>
      <c r="J31" s="48"/>
      <c r="K31" s="48">
        <f t="shared" si="0"/>
        <v>0</v>
      </c>
    </row>
    <row r="32" spans="2:11" ht="13.15" customHeight="1" x14ac:dyDescent="0.15">
      <c r="B32" s="41"/>
      <c r="C32" s="42"/>
      <c r="D32" s="43"/>
      <c r="E32" s="44"/>
      <c r="F32" s="43"/>
      <c r="G32" s="45"/>
      <c r="H32" s="46"/>
      <c r="I32" s="47"/>
      <c r="J32" s="48"/>
      <c r="K32" s="48">
        <f t="shared" si="0"/>
        <v>0</v>
      </c>
    </row>
    <row r="33" spans="2:11" ht="13.15" customHeight="1" x14ac:dyDescent="0.15">
      <c r="B33" s="51"/>
      <c r="C33" s="42"/>
      <c r="D33" s="43"/>
      <c r="E33" s="44"/>
      <c r="F33" s="43"/>
      <c r="G33" s="45"/>
      <c r="H33" s="46"/>
      <c r="I33" s="47"/>
      <c r="J33" s="48"/>
      <c r="K33" s="48">
        <f t="shared" si="0"/>
        <v>0</v>
      </c>
    </row>
    <row r="34" spans="2:11" ht="13.15" customHeight="1" x14ac:dyDescent="0.15">
      <c r="B34" s="51"/>
      <c r="C34" s="42"/>
      <c r="D34" s="43"/>
      <c r="E34" s="44"/>
      <c r="F34" s="43"/>
      <c r="G34" s="45"/>
      <c r="H34" s="46"/>
      <c r="I34" s="47"/>
      <c r="J34" s="48"/>
      <c r="K34" s="48">
        <f t="shared" si="0"/>
        <v>0</v>
      </c>
    </row>
    <row r="35" spans="2:11" ht="13.15" customHeight="1" x14ac:dyDescent="0.15">
      <c r="B35" s="51"/>
      <c r="C35" s="42"/>
      <c r="D35" s="44"/>
      <c r="E35" s="43"/>
      <c r="F35" s="44"/>
      <c r="G35" s="45"/>
      <c r="H35" s="46"/>
      <c r="I35" s="47"/>
      <c r="J35" s="49"/>
      <c r="K35" s="48">
        <f t="shared" si="0"/>
        <v>0</v>
      </c>
    </row>
    <row r="36" spans="2:11" ht="13.15" customHeight="1" x14ac:dyDescent="0.15">
      <c r="B36" s="51"/>
      <c r="C36" s="42"/>
      <c r="D36" s="43"/>
      <c r="E36" s="44"/>
      <c r="F36" s="43"/>
      <c r="G36" s="45"/>
      <c r="H36" s="46"/>
      <c r="I36" s="52"/>
      <c r="J36" s="48"/>
      <c r="K36" s="48">
        <f t="shared" si="0"/>
        <v>0</v>
      </c>
    </row>
    <row r="37" spans="2:11" ht="13.15" customHeight="1" x14ac:dyDescent="0.15">
      <c r="B37" s="51"/>
      <c r="C37" s="42"/>
      <c r="D37" s="43"/>
      <c r="E37" s="44"/>
      <c r="F37" s="43"/>
      <c r="G37" s="45"/>
      <c r="H37" s="46"/>
      <c r="I37" s="52"/>
      <c r="J37" s="48"/>
      <c r="K37" s="48">
        <f t="shared" si="0"/>
        <v>0</v>
      </c>
    </row>
    <row r="38" spans="2:11" ht="13.15" customHeight="1" x14ac:dyDescent="0.15">
      <c r="B38" s="51"/>
      <c r="C38" s="42"/>
      <c r="D38" s="43"/>
      <c r="E38" s="44"/>
      <c r="F38" s="43"/>
      <c r="G38" s="45"/>
      <c r="H38" s="46"/>
      <c r="I38" s="52"/>
      <c r="J38" s="48"/>
      <c r="K38" s="48">
        <f t="shared" si="0"/>
        <v>0</v>
      </c>
    </row>
    <row r="39" spans="2:11" ht="13.15" customHeight="1" x14ac:dyDescent="0.15">
      <c r="B39" s="51"/>
      <c r="C39" s="42"/>
      <c r="D39" s="43"/>
      <c r="E39" s="44"/>
      <c r="F39" s="43"/>
      <c r="G39" s="45"/>
      <c r="H39" s="46"/>
      <c r="I39" s="52"/>
      <c r="J39" s="48"/>
      <c r="K39" s="48">
        <f t="shared" si="0"/>
        <v>0</v>
      </c>
    </row>
    <row r="40" spans="2:11" ht="13.15" customHeight="1" x14ac:dyDescent="0.15">
      <c r="B40" s="51"/>
      <c r="C40" s="42"/>
      <c r="D40" s="43"/>
      <c r="E40" s="44"/>
      <c r="F40" s="43"/>
      <c r="G40" s="45"/>
      <c r="H40" s="46"/>
      <c r="I40" s="52"/>
      <c r="J40" s="48"/>
      <c r="K40" s="48">
        <f t="shared" si="0"/>
        <v>0</v>
      </c>
    </row>
    <row r="41" spans="2:11" ht="13.15" customHeight="1" x14ac:dyDescent="0.15">
      <c r="B41" s="51"/>
      <c r="C41" s="42"/>
      <c r="D41" s="43"/>
      <c r="E41" s="44"/>
      <c r="F41" s="43"/>
      <c r="G41" s="45"/>
      <c r="H41" s="46"/>
      <c r="I41" s="52"/>
      <c r="J41" s="48"/>
      <c r="K41" s="48">
        <f t="shared" si="0"/>
        <v>0</v>
      </c>
    </row>
    <row r="42" spans="2:11" ht="13.15" customHeight="1" x14ac:dyDescent="0.15">
      <c r="B42" s="51"/>
      <c r="C42" s="42"/>
      <c r="D42" s="43"/>
      <c r="E42" s="43"/>
      <c r="F42" s="43"/>
      <c r="G42" s="45"/>
      <c r="H42" s="46"/>
      <c r="I42" s="52"/>
      <c r="J42" s="48"/>
      <c r="K42" s="48">
        <f t="shared" si="0"/>
        <v>0</v>
      </c>
    </row>
    <row r="43" spans="2:11" ht="13.15" customHeight="1" x14ac:dyDescent="0.15">
      <c r="B43" s="51"/>
      <c r="C43" s="42"/>
      <c r="D43" s="43"/>
      <c r="E43" s="43"/>
      <c r="F43" s="43"/>
      <c r="G43" s="45"/>
      <c r="H43" s="53"/>
      <c r="I43" s="52"/>
      <c r="J43" s="48"/>
      <c r="K43" s="48">
        <f t="shared" si="0"/>
        <v>0</v>
      </c>
    </row>
    <row r="44" spans="2:11" ht="13.15" customHeight="1" x14ac:dyDescent="0.15">
      <c r="B44" s="51"/>
      <c r="C44" s="42"/>
      <c r="D44" s="43"/>
      <c r="E44" s="43"/>
      <c r="F44" s="43"/>
      <c r="G44" s="45"/>
      <c r="H44" s="53"/>
      <c r="I44" s="52"/>
      <c r="J44" s="48"/>
      <c r="K44" s="48">
        <f t="shared" si="0"/>
        <v>0</v>
      </c>
    </row>
    <row r="45" spans="2:11" ht="13.15" customHeight="1" x14ac:dyDescent="0.15">
      <c r="B45" s="51"/>
      <c r="C45" s="42"/>
      <c r="D45" s="43"/>
      <c r="E45" s="43"/>
      <c r="F45" s="43"/>
      <c r="G45" s="45"/>
      <c r="H45" s="53"/>
      <c r="I45" s="52"/>
      <c r="J45" s="48"/>
      <c r="K45" s="48">
        <f t="shared" si="0"/>
        <v>0</v>
      </c>
    </row>
    <row r="46" spans="2:11" ht="13.15" customHeight="1" x14ac:dyDescent="0.15">
      <c r="B46" s="51"/>
      <c r="C46" s="42"/>
      <c r="D46" s="43"/>
      <c r="E46" s="43"/>
      <c r="F46" s="43"/>
      <c r="G46" s="45"/>
      <c r="H46" s="53"/>
      <c r="I46" s="52"/>
      <c r="J46" s="48"/>
      <c r="K46" s="48">
        <f t="shared" si="0"/>
        <v>0</v>
      </c>
    </row>
    <row r="47" spans="2:11" ht="13.15" customHeight="1" x14ac:dyDescent="0.15">
      <c r="B47" s="51"/>
      <c r="C47" s="42"/>
      <c r="D47" s="43"/>
      <c r="E47" s="43"/>
      <c r="F47" s="43"/>
      <c r="G47" s="45"/>
      <c r="H47" s="53"/>
      <c r="I47" s="52"/>
      <c r="J47" s="48"/>
      <c r="K47" s="48">
        <f t="shared" si="0"/>
        <v>0</v>
      </c>
    </row>
    <row r="48" spans="2:11" ht="13.15" customHeight="1" x14ac:dyDescent="0.15">
      <c r="B48" s="51"/>
      <c r="C48" s="42"/>
      <c r="D48" s="43"/>
      <c r="E48" s="43"/>
      <c r="F48" s="43"/>
      <c r="G48" s="45"/>
      <c r="H48" s="53"/>
      <c r="I48" s="52"/>
      <c r="J48" s="48"/>
      <c r="K48" s="48">
        <f t="shared" si="0"/>
        <v>0</v>
      </c>
    </row>
    <row r="49" spans="2:11" ht="13.15" customHeight="1" x14ac:dyDescent="0.15">
      <c r="B49" s="51"/>
      <c r="C49" s="42"/>
      <c r="D49" s="43"/>
      <c r="E49" s="43"/>
      <c r="F49" s="43"/>
      <c r="G49" s="45"/>
      <c r="H49" s="53"/>
      <c r="I49" s="52"/>
      <c r="J49" s="48"/>
      <c r="K49" s="48">
        <f t="shared" si="0"/>
        <v>0</v>
      </c>
    </row>
    <row r="50" spans="2:11" ht="13.15" customHeight="1" x14ac:dyDescent="0.15">
      <c r="B50" s="51"/>
      <c r="C50" s="42"/>
      <c r="D50" s="43"/>
      <c r="E50" s="43"/>
      <c r="F50" s="43"/>
      <c r="G50" s="45"/>
      <c r="H50" s="53"/>
      <c r="I50" s="52"/>
      <c r="J50" s="48"/>
      <c r="K50" s="48">
        <f t="shared" si="0"/>
        <v>0</v>
      </c>
    </row>
    <row r="51" spans="2:11" ht="13.15" customHeight="1" x14ac:dyDescent="0.15">
      <c r="B51" s="51"/>
      <c r="C51" s="42"/>
      <c r="D51" s="43"/>
      <c r="E51" s="43"/>
      <c r="F51" s="43"/>
      <c r="G51" s="45"/>
      <c r="H51" s="53"/>
      <c r="I51" s="52"/>
      <c r="J51" s="48"/>
      <c r="K51" s="48">
        <f t="shared" si="0"/>
        <v>0</v>
      </c>
    </row>
    <row r="52" spans="2:11" ht="13.15" customHeight="1" x14ac:dyDescent="0.15">
      <c r="B52" s="51"/>
      <c r="C52" s="42"/>
      <c r="D52" s="43"/>
      <c r="E52" s="43"/>
      <c r="F52" s="43"/>
      <c r="G52" s="45"/>
      <c r="H52" s="53"/>
      <c r="I52" s="52"/>
      <c r="J52" s="48"/>
      <c r="K52" s="48">
        <f t="shared" si="0"/>
        <v>0</v>
      </c>
    </row>
    <row r="53" spans="2:11" ht="13.15" customHeight="1" x14ac:dyDescent="0.15">
      <c r="B53" s="51"/>
      <c r="C53" s="54"/>
      <c r="D53" s="44"/>
      <c r="E53" s="43"/>
      <c r="F53" s="44"/>
      <c r="G53" s="55"/>
      <c r="H53" s="53"/>
      <c r="I53" s="52"/>
      <c r="J53" s="48"/>
      <c r="K53" s="48">
        <f t="shared" si="0"/>
        <v>0</v>
      </c>
    </row>
    <row r="54" spans="2:11" ht="13.15" customHeight="1" thickBot="1" x14ac:dyDescent="0.2">
      <c r="B54" s="56"/>
      <c r="C54" s="57"/>
      <c r="D54" s="58"/>
      <c r="E54" s="59"/>
      <c r="F54" s="60"/>
      <c r="G54" s="61"/>
      <c r="H54" s="62"/>
      <c r="I54" s="63"/>
      <c r="J54" s="64"/>
      <c r="K54" s="48">
        <f t="shared" si="0"/>
        <v>0</v>
      </c>
    </row>
    <row r="55" spans="2:11" ht="13.15" customHeight="1" x14ac:dyDescent="0.15">
      <c r="B55" s="65" t="s">
        <v>25</v>
      </c>
      <c r="C55" s="66"/>
      <c r="D55" s="66"/>
      <c r="E55" s="66"/>
      <c r="F55" s="66"/>
      <c r="G55" s="66"/>
      <c r="H55" s="67"/>
      <c r="I55" s="68" t="s">
        <v>26</v>
      </c>
      <c r="J55" s="69"/>
      <c r="K55" s="70">
        <f>SUM(K23:K54)</f>
        <v>0</v>
      </c>
    </row>
    <row r="56" spans="2:11" ht="13.15" customHeight="1" x14ac:dyDescent="0.15">
      <c r="B56" s="71"/>
      <c r="C56" s="72"/>
      <c r="D56" s="72"/>
      <c r="E56" s="72"/>
      <c r="F56" s="72"/>
      <c r="G56" s="72"/>
      <c r="H56" s="73"/>
      <c r="I56" s="74" t="s">
        <v>27</v>
      </c>
      <c r="J56" s="75"/>
      <c r="K56" s="76">
        <f>ROUNDDOWN(K55*0.1,0)</f>
        <v>0</v>
      </c>
    </row>
    <row r="57" spans="2:11" ht="13.15" customHeight="1" thickBot="1" x14ac:dyDescent="0.2">
      <c r="B57" s="77"/>
      <c r="C57" s="78"/>
      <c r="D57" s="78"/>
      <c r="E57" s="78"/>
      <c r="F57" s="78"/>
      <c r="G57" s="78"/>
      <c r="H57" s="79"/>
      <c r="I57" s="80" t="s">
        <v>28</v>
      </c>
      <c r="J57" s="81"/>
      <c r="K57" s="82">
        <f>SUM(K55:K56)</f>
        <v>0</v>
      </c>
    </row>
    <row r="58" spans="2:11" ht="13.15" customHeight="1" x14ac:dyDescent="0.15"/>
    <row r="59" spans="2:11" ht="13.15" customHeight="1" x14ac:dyDescent="0.15"/>
    <row r="60" spans="2:11" ht="13.15" customHeight="1" x14ac:dyDescent="0.15"/>
    <row r="61" spans="2:11" ht="13.15" customHeight="1" x14ac:dyDescent="0.15"/>
    <row r="62" spans="2:11" ht="13.15" customHeight="1" x14ac:dyDescent="0.15"/>
    <row r="63" spans="2:11" ht="13.15" customHeight="1" x14ac:dyDescent="0.15"/>
    <row r="64" spans="2:11" ht="13.15" customHeight="1" x14ac:dyDescent="0.15"/>
    <row r="65" ht="13.15" customHeight="1" x14ac:dyDescent="0.15"/>
    <row r="66" ht="13.15" customHeight="1" x14ac:dyDescent="0.15"/>
    <row r="67" ht="13.15" customHeight="1" x14ac:dyDescent="0.15"/>
    <row r="68" ht="12.75" customHeight="1" x14ac:dyDescent="0.15"/>
    <row r="69" ht="12.75" customHeight="1" x14ac:dyDescent="0.15"/>
    <row r="70" ht="12.75" customHeight="1" x14ac:dyDescent="0.15"/>
    <row r="71" ht="12.75" customHeight="1" x14ac:dyDescent="0.15"/>
  </sheetData>
  <mergeCells count="21">
    <mergeCell ref="C22:E22"/>
    <mergeCell ref="F22:G22"/>
    <mergeCell ref="I55:J55"/>
    <mergeCell ref="I56:J56"/>
    <mergeCell ref="I57:J57"/>
    <mergeCell ref="B8:C8"/>
    <mergeCell ref="H8:I8"/>
    <mergeCell ref="H9:K10"/>
    <mergeCell ref="B13:C13"/>
    <mergeCell ref="D13:E13"/>
    <mergeCell ref="H13:K14"/>
    <mergeCell ref="B14:C14"/>
    <mergeCell ref="D14:G14"/>
    <mergeCell ref="J2:K2"/>
    <mergeCell ref="B3:K3"/>
    <mergeCell ref="B5:F5"/>
    <mergeCell ref="J5:K5"/>
    <mergeCell ref="B6:E6"/>
    <mergeCell ref="B7:E7"/>
    <mergeCell ref="H7:I7"/>
    <mergeCell ref="J7:K7"/>
  </mergeCells>
  <phoneticPr fontId="3"/>
  <printOptions horizontalCentered="1" verticalCentered="1"/>
  <pageMargins left="0.25" right="0.25" top="0.75" bottom="0.75" header="0.3" footer="0.3"/>
  <pageSetup paperSize="9" scale="77" orientation="portrait" verticalDpi="2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見積書</vt:lpstr>
      <vt:lpstr>見積書!Print_Area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町田 準平</dc:creator>
  <cp:lastModifiedBy>町田 準平</cp:lastModifiedBy>
  <dcterms:created xsi:type="dcterms:W3CDTF">2026-10-27T16:54:21Z</dcterms:created>
  <dcterms:modified xsi:type="dcterms:W3CDTF">2026-10-27T16:54:53Z</dcterms:modified>
</cp:coreProperties>
</file>