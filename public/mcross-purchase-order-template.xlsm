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drawings/drawing9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chi\Desktop\crossmeasure\public\"/>
    </mc:Choice>
  </mc:AlternateContent>
  <xr:revisionPtr revIDLastSave="0" documentId="13_ncr:1_{0173F665-DEE2-4FF1-8529-31B784226C19}" xr6:coauthVersionLast="47" xr6:coauthVersionMax="47" xr10:uidLastSave="{00000000-0000-0000-0000-000000000000}"/>
  <bookViews>
    <workbookView xWindow="-120" yWindow="-120" windowWidth="51840" windowHeight="21120" tabRatio="874" xr2:uid="{C356C6D2-C0E2-4551-A404-3C01863D5D93}"/>
  </bookViews>
  <sheets>
    <sheet name="工事カード" sheetId="1" r:id="rId1"/>
    <sheet name="入力フォーム" sheetId="55" r:id="rId2"/>
    <sheet name="見積書" sheetId="2" r:id="rId3"/>
    <sheet name="発注書" sheetId="3" r:id="rId4"/>
    <sheet name="工程表" sheetId="76" r:id="rId5"/>
    <sheet name="工事項目" sheetId="42" r:id="rId6"/>
    <sheet name="完了報告書" sheetId="43" r:id="rId7"/>
    <sheet name="業者請求テンプレート" sheetId="78" state="hidden" r:id="rId8"/>
    <sheet name="原価計算書" sheetId="11" r:id="rId9"/>
    <sheet name="仕様書CF裁断" sheetId="75" r:id="rId10"/>
    <sheet name="クロス計算" sheetId="13" r:id="rId11"/>
    <sheet name="床計算 " sheetId="14" r:id="rId12"/>
    <sheet name="単価表" sheetId="54" r:id="rId13"/>
    <sheet name="管理会社一覧" sheetId="6" r:id="rId14"/>
    <sheet name="協力業者" sheetId="9" r:id="rId15"/>
    <sheet name="業者単価" sheetId="16" r:id="rId16"/>
    <sheet name="マスター (2)" sheetId="74" state="hidden" r:id="rId17"/>
    <sheet name="株式会社ハウスメイトマネジメント_マスター" sheetId="4" state="hidden" r:id="rId18"/>
    <sheet name="株式会社第一住建_マスター" sheetId="7" state="hidden" r:id="rId19"/>
    <sheet name="株式会社LINE_マスター" sheetId="37" state="hidden" r:id="rId20"/>
    <sheet name="株式会社アプリーズ_マスター" sheetId="38" state="hidden" r:id="rId21"/>
    <sheet name="株式会社札幌ウィークリー_マスター" sheetId="39" state="hidden" r:id="rId22"/>
    <sheet name="株式会社ASSETIA_マスター" sheetId="41" state="hidden" r:id="rId23"/>
    <sheet name="株式会社サクシード_マスター" sheetId="44" state="hidden" r:id="rId24"/>
    <sheet name="株式会社アセットプランニング_マスター" sheetId="45" state="hidden" r:id="rId25"/>
    <sheet name="平野商会_マスター" sheetId="46" state="hidden" r:id="rId26"/>
    <sheet name="マスター" sheetId="51" r:id="rId27"/>
    <sheet name="株式会社鏑木石材建築_マスター" sheetId="88" state="hidden" r:id="rId28"/>
    <sheet name="株式会社二瓶不動産_マスター" sheetId="87" state="hidden" r:id="rId29"/>
    <sheet name="フラットホーム合同会社_マスター" sheetId="86" state="hidden" r:id="rId30"/>
    <sheet name="クロスコート合同会社_マスター" sheetId="83" state="hidden" r:id="rId31"/>
    <sheet name="株式会社リレイト_マスター" sheetId="82" state="hidden" r:id="rId32"/>
    <sheet name="合同会社REALHEAL_マスター" sheetId="81" state="hidden" r:id="rId33"/>
    <sheet name="合同会社Luca_マスター" sheetId="80" state="hidden" r:id="rId34"/>
    <sheet name="アークエステートグループ株式会社_マスター" sheetId="79" state="hidden" r:id="rId35"/>
    <sheet name="有限会社オフィススズキ_マスター" sheetId="77" state="hidden" r:id="rId36"/>
    <sheet name="地区マスター" sheetId="66" state="hidden" r:id="rId37"/>
    <sheet name="株式会社ヒルズ_マスター" sheetId="53" state="hidden" r:id="rId38"/>
    <sheet name="株式会社丸信ワタナベ_マスター" sheetId="52" state="hidden" r:id="rId39"/>
    <sheet name="株式会社NIPPO_COM_マスター" sheetId="47" state="hidden" r:id="rId40"/>
  </sheets>
  <functionGroups builtInGroupCount="19"/>
  <externalReferences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a" localSheetId="6">#REF!</definedName>
    <definedName name="a" localSheetId="8">#REF!</definedName>
    <definedName name="a" localSheetId="5">#REF!</definedName>
    <definedName name="a" localSheetId="9">#REF!</definedName>
    <definedName name="a">#REF!</definedName>
    <definedName name="ApamanProperty株式会社_北区">株式会社ASSETIA_マスター!$A$66:$A$100</definedName>
    <definedName name="FLATHOME_合同会社_厚別区">#REF!</definedName>
    <definedName name="FLATHOME_合同会社_市街">#REF!</definedName>
    <definedName name="FLATHOME_合同会社_手稲区">#REF!</definedName>
    <definedName name="FLATHOME_合同会社_清田区">#REF!</definedName>
    <definedName name="FLATHOME_合同会社_西区">#REF!</definedName>
    <definedName name="FLATHOME_合同会社_中央区">#REF!</definedName>
    <definedName name="FLATHOME_合同会社_東区">#REF!</definedName>
    <definedName name="FLATHOME_合同会社_南区">#REF!</definedName>
    <definedName name="FLATHOME_合同会社_白石区">#REF!</definedName>
    <definedName name="FLATHOME_合同会社_豊平区">#REF!</definedName>
    <definedName name="FLATHOME_合同会社_北区">#REF!</definedName>
    <definedName name="NAKANO_単価">業者単価!$A$115:$D$124</definedName>
    <definedName name="_xlnm.Print_Area" localSheetId="6">完了報告書!$B$3:$K$67</definedName>
    <definedName name="_xlnm.Print_Area" localSheetId="2">見積書!$B$3:$K$57</definedName>
    <definedName name="_xlnm.Print_Area" localSheetId="8">原価計算書!$A$1:$I$78</definedName>
    <definedName name="_xlnm.Print_Area" localSheetId="4">工程表!$A$3:$AL$27</definedName>
    <definedName name="_xlnm.Print_Area" localSheetId="9">仕様書CF裁断!$B$3:$K$31</definedName>
    <definedName name="_xlnm.Print_Area" localSheetId="12">単価表!$B$3:$K$29</definedName>
    <definedName name="_xlnm.Print_Area" localSheetId="3">発注書!$A$1:$J$51</definedName>
    <definedName name="Z_15B820E6_9725_4452_95E3_3ACB8923D4B6_.wvu.PrintArea" localSheetId="6" hidden="1">完了報告書!$B$2:$K$67</definedName>
    <definedName name="Z_15B820E6_9725_4452_95E3_3ACB8923D4B6_.wvu.PrintArea" localSheetId="2" hidden="1">見積書!$B$2:$K$57</definedName>
    <definedName name="Z_15B820E6_9725_4452_95E3_3ACB8923D4B6_.wvu.PrintArea" localSheetId="12" hidden="1">単価表!$B$3:$K$29</definedName>
    <definedName name="アークエステートグループ株式会社_厚別区">アークエステートグループ株式会社_マスター!$A$323:$A$348</definedName>
    <definedName name="アークエステートグループ株式会社_市街">アークエステートグループ株式会社_マスター!$A$402:$A$444</definedName>
    <definedName name="アークエステートグループ株式会社_手稲区">アークエステートグループ株式会社_マスター!$A$350:$A$380</definedName>
    <definedName name="アークエステートグループ株式会社_清田区">アークエステートグループ株式会社_マスター!$A$382:$A$400</definedName>
    <definedName name="アークエステートグループ株式会社_西区">アークエステートグループ株式会社_マスター!$A$142:$A$200</definedName>
    <definedName name="アークエステートグループ株式会社_中央区">アークエステートグループ株式会社_マスター!$A$3:$A$64</definedName>
    <definedName name="アークエステートグループ株式会社_東区">アークエステートグループ株式会社_マスター!$A$102:$A$140</definedName>
    <definedName name="アークエステートグループ株式会社_南区">アークエステートグループ株式会社_マスター!$A$202:$A$230</definedName>
    <definedName name="アークエステートグループ株式会社_白石区">アークエステートグループ株式会社_マスター!$A$232:$A$288</definedName>
    <definedName name="アークエステートグループ株式会社_豊平区">アークエステートグループ株式会社_マスター!$A$290:$A$321</definedName>
    <definedName name="アークエステートグループ株式会社_北区">アークエステートグループ株式会社_マスター!$A$66:$A$100</definedName>
    <definedName name="インテリアヒサスエ_単価">業者単価!$A$105:$D$114</definedName>
    <definedName name="ウィークリー_厚別区">#REF!</definedName>
    <definedName name="ウィークリー_手稲区">#REF!</definedName>
    <definedName name="ウィークリー_清田区">#REF!</definedName>
    <definedName name="ウィークリー_西区">#REF!</definedName>
    <definedName name="ウィークリー_中央区">#REF!</definedName>
    <definedName name="ウィークリー_東区">#REF!</definedName>
    <definedName name="ウィークリー_南区">#REF!</definedName>
    <definedName name="ウィークリー_白石区">#REF!</definedName>
    <definedName name="ウィークリー_豊平区">#REF!</definedName>
    <definedName name="ウィークリー_北区">#REF!</definedName>
    <definedName name="ガラスフリーク_単価">業者単価!$A$207:$A$244</definedName>
    <definedName name="クロスコート合同会社_厚別区">クロスコート合同会社_マスター!$A$323:$A$348</definedName>
    <definedName name="クロスコート合同会社_市街">クロスコート合同会社_マスター!$A$402:$A$444</definedName>
    <definedName name="クロスコート合同会社_手稲区">クロスコート合同会社_マスター!$A$350:$A$380</definedName>
    <definedName name="クロスコート合同会社_清田区">クロスコート合同会社_マスター!$A$382:$A$400</definedName>
    <definedName name="クロスコート合同会社_西区">クロスコート合同会社_マスター!$A$142:$A$200</definedName>
    <definedName name="クロスコート合同会社_中央区">クロスコート合同会社_マスター!$A$3:$A$64</definedName>
    <definedName name="クロスコート合同会社_東区">クロスコート合同会社_マスター!$A$102:$A$140</definedName>
    <definedName name="クロスコート合同会社_南区">クロスコート合同会社_マスター!$A$202:$A$230</definedName>
    <definedName name="クロスコート合同会社_白石区">クロスコート合同会社_マスター!$A$232:$A$288</definedName>
    <definedName name="クロスコート合同会社_豊平区">クロスコート合同会社_マスター!$A$290:$A$321</definedName>
    <definedName name="クロスコート合同会社_北区">クロスコート合同会社_マスター!$A$66:$A$100</definedName>
    <definedName name="サンコーポレーション" localSheetId="9">#REF!</definedName>
    <definedName name="サンコーポレーション">#REF!</definedName>
    <definedName name="シンコール_単価">業者単価!$A$85:$A$104</definedName>
    <definedName name="その他">単価表!$B$49</definedName>
    <definedName name="ドリームインテリア_単価">業者単価!$A$145:$D$154</definedName>
    <definedName name="フラットホーム合同会社_厚別区">フラットホーム合同会社_マスター!$A$323:$A$348</definedName>
    <definedName name="フラットホーム合同会社_市街">フラットホーム合同会社_マスター!$A$402:$A$444</definedName>
    <definedName name="フラットホーム合同会社_手稲区">フラットホーム合同会社_マスター!$A$350:$A$380</definedName>
    <definedName name="フラットホーム合同会社_清田区">フラットホーム合同会社_マスター!$A$382:$A$400</definedName>
    <definedName name="フラットホーム合同会社_西区">フラットホーム合同会社_マスター!$A$142:$A$200</definedName>
    <definedName name="フラットホーム合同会社_中央区">フラットホーム合同会社_マスター!$A$3:$A$64</definedName>
    <definedName name="フラットホーム合同会社_東区">フラットホーム合同会社_マスター!$A$102:$A$140</definedName>
    <definedName name="フラットホーム合同会社_南区">フラットホーム合同会社_マスター!$A$202:$A$230</definedName>
    <definedName name="フラットホーム合同会社_白石区">フラットホーム合同会社_マスター!$A$232:$A$288</definedName>
    <definedName name="フラットホーム合同会社_豊平区">フラットホーム合同会社_マスター!$A$290:$A$321</definedName>
    <definedName name="フラットホーム合同会社_北区">フラットホーム合同会社_マスター!$A$66:$A$100</definedName>
    <definedName name="ホットハウス" localSheetId="6">#REF!</definedName>
    <definedName name="ホットハウス" localSheetId="9">#REF!</definedName>
    <definedName name="ホットハウス">#REF!</definedName>
    <definedName name="マスターリンク" localSheetId="6">#REF!</definedName>
    <definedName name="マスターリンク" localSheetId="9">#REF!</definedName>
    <definedName name="マスターリンク">#REF!</definedName>
    <definedName name="営業部" localSheetId="9">#REF!</definedName>
    <definedName name="営業部">#REF!</definedName>
    <definedName name="衛生洗浄設備">業者単価!$A$155</definedName>
    <definedName name="衛生洗浄設備_単価">業者単価!$A$155:$D$171</definedName>
    <definedName name="開発部" localSheetId="9">#REF!</definedName>
    <definedName name="開発部">#REF!</definedName>
    <definedName name="株式会社_鏑木石材建築_厚別区">#REF!</definedName>
    <definedName name="株式会社_鏑木石材建築_市街">#REF!</definedName>
    <definedName name="株式会社_鏑木石材建築_手稲区">#REF!</definedName>
    <definedName name="株式会社_鏑木石材建築_清田区">#REF!</definedName>
    <definedName name="株式会社_鏑木石材建築_西区">#REF!</definedName>
    <definedName name="株式会社_鏑木石材建築_中央区">#REF!</definedName>
    <definedName name="株式会社_鏑木石材建築_東区">#REF!</definedName>
    <definedName name="株式会社_鏑木石材建築_南区">#REF!</definedName>
    <definedName name="株式会社_鏑木石材建築_白石区">#REF!</definedName>
    <definedName name="株式会社_鏑木石材建築_豊平区">#REF!</definedName>
    <definedName name="株式会社_鏑木石材建築_北区">#REF!</definedName>
    <definedName name="株式会社ASSETIA_厚別区">株式会社ASSETIA_マスター!$A$323:$A$348</definedName>
    <definedName name="株式会社ASSETIA_市街">株式会社ASSETIA_マスター!$A$402:$A$444</definedName>
    <definedName name="株式会社ASSETIA_手稲区">株式会社ASSETIA_マスター!$A$350:$A$380</definedName>
    <definedName name="株式会社ASSETIA_清田区">株式会社ASSETIA_マスター!$A$382:$A$400</definedName>
    <definedName name="株式会社ASSETIA_西区">株式会社ASSETIA_マスター!$A$142:$A$200</definedName>
    <definedName name="株式会社ASSETIA_中央区">株式会社ASSETIA_マスター!$A$3:$A$64</definedName>
    <definedName name="株式会社ASSETIA_東区">株式会社ASSETIA_マスター!$A$102:$A$140</definedName>
    <definedName name="株式会社ASSETIA_南区">株式会社ASSETIA_マスター!$A$202:$A$230</definedName>
    <definedName name="株式会社ASSETIA_白石区">株式会社ASSETIA_マスター!$A$232:$A$288</definedName>
    <definedName name="株式会社ASSETIA_豊平区">株式会社ASSETIA_マスター!$A$290:$A$321</definedName>
    <definedName name="株式会社ASSETIA_北区">株式会社ASSETIA_マスター!$A$66:$A$100</definedName>
    <definedName name="株式会社LINE_厚別区">株式会社LINE_マスター!$A$322:$A$348</definedName>
    <definedName name="株式会社LINE_市街">株式会社LINE_マスター!$A$401:$A$444</definedName>
    <definedName name="株式会社LINE_手稲区">株式会社LINE_マスター!$A$349:$A$380</definedName>
    <definedName name="株式会社LINE_清田区">株式会社LINE_マスター!$A$381:$A$400</definedName>
    <definedName name="株式会社LINE_西区">株式会社LINE_マスター!$A$142:$A$200</definedName>
    <definedName name="株式会社LINE_中央区">株式会社LINE_マスター!$A$2:$A$64</definedName>
    <definedName name="株式会社LINE_東区">株式会社LINE_マスター!$A$102:$A$140</definedName>
    <definedName name="株式会社LINE_南区">株式会社LINE_マスター!$A$201:$A$230</definedName>
    <definedName name="株式会社LINE_白石区">株式会社LINE_マスター!$A$231:$A$288</definedName>
    <definedName name="株式会社LINE_豊平区">株式会社LINE_マスター!$A$289:$A$321</definedName>
    <definedName name="株式会社LINE_北区">株式会社LINE_マスター!$A$65:$A$100</definedName>
    <definedName name="株式会社NIPPO_COM_厚別区">株式会社NIPPO_COM_マスター!$A$323:$A$348</definedName>
    <definedName name="株式会社NIPPO_COM_市街">株式会社NIPPO_COM_マスター!$A$402:$A$444</definedName>
    <definedName name="株式会社NIPPO_COM_手稲区">株式会社NIPPO_COM_マスター!$A$350:$A$380</definedName>
    <definedName name="株式会社NIPPO_COM_清田区">株式会社NIPPO_COM_マスター!$A$382:$A$400</definedName>
    <definedName name="株式会社NIPPO_COM_西区">株式会社NIPPO_COM_マスター!$A$142:$A$200</definedName>
    <definedName name="株式会社NIPPO_COM_中央区">株式会社NIPPO_COM_マスター!$A$3:$A$64</definedName>
    <definedName name="株式会社NIPPO_COM_東区">株式会社NIPPO_COM_マスター!$A$102:$A$140</definedName>
    <definedName name="株式会社NIPPO_COM_南区">株式会社NIPPO_COM_マスター!$A$202:$A$230</definedName>
    <definedName name="株式会社NIPPO_COM_白石区">株式会社NIPPO_COM_マスター!$A$232:$A$288</definedName>
    <definedName name="株式会社NIPPO_COM_豊平区">株式会社NIPPO_COM_マスター!$A$290:$A$321</definedName>
    <definedName name="株式会社NIPPO_COM_北区">株式会社NIPPO_COM_マスター!$A$66:$A$100</definedName>
    <definedName name="株式会社アセットプランニング_厚別区">株式会社アセットプランニング_マスター!$A$323:$A$348</definedName>
    <definedName name="株式会社アセットプランニング_市街">株式会社アセットプランニング_マスター!$A$402:$A$444</definedName>
    <definedName name="株式会社アセットプランニング_手稲区">株式会社アセットプランニング_マスター!$A$350:$A$380</definedName>
    <definedName name="株式会社アセットプランニング_清田区">株式会社アセットプランニング_マスター!$A$382:$A$400</definedName>
    <definedName name="株式会社アセットプランニング_西区">株式会社アセットプランニング_マスター!$A$142:$A$200</definedName>
    <definedName name="株式会社アセットプランニング_中央区">株式会社アセットプランニング_マスター!$A$2:$A$64</definedName>
    <definedName name="株式会社アセットプランニング_東区">株式会社アセットプランニング_マスター!$A$102:$A$140</definedName>
    <definedName name="株式会社アセットプランニング_南区">株式会社アセットプランニング_マスター!$A$202:$A$230</definedName>
    <definedName name="株式会社アセットプランニング_白石区">株式会社アセットプランニング_マスター!$A$232:$A$288</definedName>
    <definedName name="株式会社アセットプランニング_豊平区">株式会社アセットプランニング_マスター!$A$290:$A$321</definedName>
    <definedName name="株式会社アセットプランニング_北区">株式会社アセットプランニング_マスター!$A$66:$A$100</definedName>
    <definedName name="株式会社アプリーズ_厚別区">株式会社アプリーズ_マスター!$A$323:$A$348</definedName>
    <definedName name="株式会社アプリーズ_市街">株式会社アプリーズ_マスター!$A$402:$A$444</definedName>
    <definedName name="株式会社アプリーズ_手稲区">株式会社アプリーズ_マスター!$A$350:$A$380</definedName>
    <definedName name="株式会社アプリーズ_清田区">株式会社アプリーズ_マスター!$A$382:$A$400</definedName>
    <definedName name="株式会社アプリーズ_西区">株式会社アプリーズ_マスター!$A$142:$A$200</definedName>
    <definedName name="株式会社アプリーズ_中央区">株式会社アプリーズ_マスター!$A$2:$A$64</definedName>
    <definedName name="株式会社アプリーズ_東区">株式会社アプリーズ_マスター!$A$102:$A$140</definedName>
    <definedName name="株式会社アプリーズ_南区">株式会社アプリーズ_マスター!$A$202:$A$230</definedName>
    <definedName name="株式会社アプリーズ_白石区">株式会社アプリーズ_マスター!$A$232:$A$288</definedName>
    <definedName name="株式会社アプリーズ_豊平区">株式会社アプリーズ_マスター!$A$290:$A$321</definedName>
    <definedName name="株式会社アプリーズ_北区">株式会社アプリーズ_マスター!$A$66:$A$100</definedName>
    <definedName name="株式会社えり_厚別区">#REF!</definedName>
    <definedName name="株式会社えり_市街">#REF!</definedName>
    <definedName name="株式会社えり_手稲区">#REF!</definedName>
    <definedName name="株式会社えり_清田区">#REF!</definedName>
    <definedName name="株式会社えり_西区">#REF!</definedName>
    <definedName name="株式会社えり_中央区">#REF!</definedName>
    <definedName name="株式会社えり_東区">#REF!</definedName>
    <definedName name="株式会社えり_南区">#REF!</definedName>
    <definedName name="株式会社えり_白石区">#REF!</definedName>
    <definedName name="株式会社えり_豊平区">#REF!</definedName>
    <definedName name="株式会社えり_北区">#REF!</definedName>
    <definedName name="株式会社ガラスフリーク_単価">業者単価!$A$207:$D$244</definedName>
    <definedName name="株式会社サクシード_厚別区">株式会社サクシード_マスター!$A$323:$A$348</definedName>
    <definedName name="株式会社サクシード_手稲区">株式会社サクシード_マスター!$A$350:$A$380</definedName>
    <definedName name="株式会社サクシード_清田区">株式会社サクシード_マスター!$A$382:$A$400</definedName>
    <definedName name="株式会社サクシード_西区">株式会社サクシード_マスター!$A$142:$A$200</definedName>
    <definedName name="株式会社サクシード_中央区">株式会社サクシード_マスター!$A$2:$A$64</definedName>
    <definedName name="株式会社サクシード_東区">株式会社サクシード_マスター!$A$102:$A$140</definedName>
    <definedName name="株式会社サクシード_南区">株式会社サクシード_マスター!$A$202:$A$230</definedName>
    <definedName name="株式会社サクシード_白石区">株式会社サクシード_マスター!$A$232:$A$288</definedName>
    <definedName name="株式会社サクシード_豊平区">株式会社サクシード_マスター!$A$290:$A$321</definedName>
    <definedName name="株式会社サクシード_北区">株式会社サクシード_マスター!$A$66:$A$100</definedName>
    <definedName name="株式会社ハウスメイトマネジメント_厚別区">株式会社ハウスメイトマネジメント_マスター!$A$322:$A$348</definedName>
    <definedName name="株式会社ハウスメイトマネジメント_市街">株式会社ハウスメイトマネジメント_マスター!$A$401:$A$444</definedName>
    <definedName name="株式会社ハウスメイトマネジメント_手稲区">株式会社ハウスメイトマネジメント_マスター!$A$349:$A$380</definedName>
    <definedName name="株式会社ハウスメイトマネジメント_清田区">株式会社ハウスメイトマネジメント_マスター!$A$381:$A$400</definedName>
    <definedName name="株式会社ハウスメイトマネジメント_西区">株式会社ハウスメイトマネジメント_マスター!$A$141:$A$200</definedName>
    <definedName name="株式会社ハウスメイトマネジメント_地区" localSheetId="19">株式会社LINE_マスター!$H$2:$H$64</definedName>
    <definedName name="株式会社ハウスメイトマネジメント_地区" localSheetId="18">株式会社第一住建_マスター!$H$2:$H$64</definedName>
    <definedName name="株式会社ハウスメイトマネジメント_地区">株式会社ハウスメイトマネジメント_マスター!$H$2:$H$22</definedName>
    <definedName name="株式会社ハウスメイトマネジメント_中央区">株式会社ハウスメイトマネジメント_マスター!$A$2:$A$64</definedName>
    <definedName name="株式会社ハウスメイトマネジメント_東区">株式会社ハウスメイトマネジメント_マスター!$A$101:$A$140</definedName>
    <definedName name="株式会社ハウスメイトマネジメント_南区">株式会社ハウスメイトマネジメント_マスター!$A$201:$A$230</definedName>
    <definedName name="株式会社ハウスメイトマネジメント_白石区">株式会社ハウスメイトマネジメント_マスター!$A$231:$A$288</definedName>
    <definedName name="株式会社ハウスメイトマネジメント_豊平区">株式会社ハウスメイトマネジメント_マスター!$A$289:$A$321</definedName>
    <definedName name="株式会社ハウスメイトマネジメント_北区">株式会社ハウスメイトマネジメント_マスター!$A$65:$A$100</definedName>
    <definedName name="株式会社ヒルズ_厚別区">株式会社ヒルズ_マスター!$A$323:$A$348</definedName>
    <definedName name="株式会社ヒルズ_市街">株式会社ヒルズ_マスター!$A$402:$A$444</definedName>
    <definedName name="株式会社ヒルズ_手稲区">株式会社ヒルズ_マスター!$A$350:$A$380</definedName>
    <definedName name="株式会社ヒルズ_清田区">株式会社ヒルズ_マスター!$A$382:$A$400</definedName>
    <definedName name="株式会社ヒルズ_西区">株式会社ヒルズ_マスター!$A$141:$A$200</definedName>
    <definedName name="株式会社ヒルズ_中央区">株式会社ヒルズ_マスター!$A$2:$A$64</definedName>
    <definedName name="株式会社ヒルズ_東区">株式会社ヒルズ_マスター!$A$101:$A$140</definedName>
    <definedName name="株式会社ヒルズ_南区">株式会社ヒルズ_マスター!$A$201:$A$230</definedName>
    <definedName name="株式会社ヒルズ_白石区">株式会社ヒルズ_マスター!$A$231:$A$288</definedName>
    <definedName name="株式会社ヒルズ_豊平区">株式会社ヒルズ_マスター!$A$290:$A$321</definedName>
    <definedName name="株式会社ヒルズ_北区">株式会社ヒルズ_マスター!$A$65:$A$100</definedName>
    <definedName name="株式会社ぺいぺい_厚別区">#REF!</definedName>
    <definedName name="株式会社ぺいぺい_市街">#REF!</definedName>
    <definedName name="株式会社ぺいぺい_手稲区">#REF!</definedName>
    <definedName name="株式会社ぺいぺい_清田区">#REF!</definedName>
    <definedName name="株式会社ぺいぺい_西区">#REF!</definedName>
    <definedName name="株式会社ぺいぺい_中央区">#REF!</definedName>
    <definedName name="株式会社ぺいぺい_東区">#REF!</definedName>
    <definedName name="株式会社ぺいぺい_南区">#REF!</definedName>
    <definedName name="株式会社ぺいぺい_白石区">#REF!</definedName>
    <definedName name="株式会社ぺいぺい_豊平区">#REF!</definedName>
    <definedName name="株式会社ぺいぺい_北区">#REF!</definedName>
    <definedName name="株式会社リレイト_厚別区">株式会社リレイト_マスター!$A$323:$A$348</definedName>
    <definedName name="株式会社リレイト_市街">株式会社リレイト_マスター!$A$402:$A$444</definedName>
    <definedName name="株式会社リレイト_手稲区">株式会社リレイト_マスター!$A$350:$A$380</definedName>
    <definedName name="株式会社リレイト_清田区">株式会社リレイト_マスター!$A$382:$A$400</definedName>
    <definedName name="株式会社リレイト_西区">株式会社リレイト_マスター!$A$142:$A$200</definedName>
    <definedName name="株式会社リレイト_中央区">株式会社リレイト_マスター!$A$3:$A$64</definedName>
    <definedName name="株式会社リレイト_東区">株式会社リレイト_マスター!$A$102:$A$140</definedName>
    <definedName name="株式会社リレイト_南区">株式会社リレイト_マスター!$A$202:$A$230</definedName>
    <definedName name="株式会社リレイト_白石区">株式会社リレイト_マスター!$A$232:$A$288</definedName>
    <definedName name="株式会社リレイト_豊平区">株式会社リレイト_マスター!$A$290:$A$321</definedName>
    <definedName name="株式会社リレイト_北区">株式会社リレイト_マスター!$A$66:$A$100</definedName>
    <definedName name="株式会社丸信ワタナベ_厚別区">株式会社丸信ワタナベ_マスター!$A$322:$A$348</definedName>
    <definedName name="株式会社丸信ワタナベ_市街">株式会社丸信ワタナベ_マスター!$A$401:$A$444</definedName>
    <definedName name="株式会社丸信ワタナベ_手稲区">株式会社丸信ワタナベ_マスター!$A$349:$A$380</definedName>
    <definedName name="株式会社丸信ワタナベ_清田区">株式会社丸信ワタナベ_マスター!$A$381:$A$400</definedName>
    <definedName name="株式会社丸信ワタナベ_西区">株式会社丸信ワタナベ_マスター!$A$141:$A$200</definedName>
    <definedName name="株式会社丸信ワタナベ_中央区">株式会社丸信ワタナベ_マスター!$A$2:$A$64</definedName>
    <definedName name="株式会社丸信ワタナベ_東区">株式会社丸信ワタナベ_マスター!$A$101:$A$140</definedName>
    <definedName name="株式会社丸信ワタナベ_南区">株式会社丸信ワタナベ_マスター!$A$201:$A$230</definedName>
    <definedName name="株式会社丸信ワタナベ_白石区">株式会社丸信ワタナベ_マスター!$A$231:$A$288</definedName>
    <definedName name="株式会社丸信ワタナベ_豊平区">株式会社丸信ワタナベ_マスター!$A$289:$A$321</definedName>
    <definedName name="株式会社丸信ワタナベ_北区">株式会社丸信ワタナベ_マスター!$A$65:$A$100</definedName>
    <definedName name="株式会社札幌ウィークリー_厚別区">株式会社札幌ウィークリー_マスター!$A$323:$A$348</definedName>
    <definedName name="株式会社札幌ウィークリー_市街">株式会社札幌ウィークリー_マスター!$A$402:$A$444</definedName>
    <definedName name="株式会社札幌ウィークリー_手稲区">株式会社札幌ウィークリー_マスター!$A$350:$A$380</definedName>
    <definedName name="株式会社札幌ウィークリー_清田区">株式会社札幌ウィークリー_マスター!$A$382:$A$400</definedName>
    <definedName name="株式会社札幌ウィークリー_西区">株式会社札幌ウィークリー_マスター!$A$142:$A$200</definedName>
    <definedName name="株式会社札幌ウィークリー_中央区">株式会社札幌ウィークリー_マスター!$A$3:$A$64</definedName>
    <definedName name="株式会社札幌ウィークリー_東区">株式会社札幌ウィークリー_マスター!$A$102:$A$140</definedName>
    <definedName name="株式会社札幌ウィークリー_南区">株式会社札幌ウィークリー_マスター!$A$202:$A$230</definedName>
    <definedName name="株式会社札幌ウィークリー_白石区">株式会社札幌ウィークリー_マスター!$A$232:$A$288</definedName>
    <definedName name="株式会社札幌ウィークリー_豊平区">株式会社札幌ウィークリー_マスター!$A$290:$A$321</definedName>
    <definedName name="株式会社札幌ウィークリー_北区">株式会社札幌ウィークリー_マスター!$A$66:$A$100</definedName>
    <definedName name="株式会社第一住建_厚別区" localSheetId="19">株式会社LINE_マスター!$A$322:$A$348</definedName>
    <definedName name="株式会社第一住建_厚別区">株式会社第一住建_マスター!$A$322:$A$348</definedName>
    <definedName name="株式会社第一住建_市街" localSheetId="19">株式会社LINE_マスター!$A$401:$A$444</definedName>
    <definedName name="株式会社第一住建_市街">株式会社第一住建_マスター!$A$401:$A$444</definedName>
    <definedName name="株式会社第一住建_手稲区" localSheetId="19">株式会社LINE_マスター!$A$349:$A$380</definedName>
    <definedName name="株式会社第一住建_手稲区">株式会社第一住建_マスター!$A$349:$A$380</definedName>
    <definedName name="株式会社第一住建_清田区" localSheetId="19">株式会社LINE_マスター!$A$381:$A$400</definedName>
    <definedName name="株式会社第一住建_清田区">株式会社第一住建_マスター!$A$381:$A$400</definedName>
    <definedName name="株式会社第一住建_西区" localSheetId="19">株式会社LINE_マスター!$A$142:$A$200</definedName>
    <definedName name="株式会社第一住建_西区">株式会社第一住建_マスター!$A$142:$A$200</definedName>
    <definedName name="株式会社第一住建_地区" localSheetId="19">株式会社LINE_マスター!$H$2:$H$64</definedName>
    <definedName name="株式会社第一住建_地区">株式会社第一住建_マスター!$H$2:$H$64</definedName>
    <definedName name="株式会社第一住建_中央区" localSheetId="19">株式会社LINE_マスター!$A$2:$A$64</definedName>
    <definedName name="株式会社第一住建_中央区">株式会社第一住建_マスター!$A$2:$A$64</definedName>
    <definedName name="株式会社第一住建_東区" localSheetId="19">株式会社LINE_マスター!$A$102:$A$140</definedName>
    <definedName name="株式会社第一住建_東区">株式会社第一住建_マスター!$A$102:$A$140</definedName>
    <definedName name="株式会社第一住建_南区" localSheetId="19">株式会社LINE_マスター!$A$201:$A$230</definedName>
    <definedName name="株式会社第一住建_南区">株式会社第一住建_マスター!$A$201:$A$230</definedName>
    <definedName name="株式会社第一住建_白石区" localSheetId="19">株式会社LINE_マスター!$A$231:$A$288</definedName>
    <definedName name="株式会社第一住建_白石区">株式会社第一住建_マスター!$A$231:$A$288</definedName>
    <definedName name="株式会社第一住建_豊平区" localSheetId="19">株式会社LINE_マスター!$A$289:$A$321</definedName>
    <definedName name="株式会社第一住建_豊平区">株式会社第一住建_マスター!$A$289:$A$321</definedName>
    <definedName name="株式会社第一住建_北区" localSheetId="19">株式会社LINE_マスター!$A$65:$A$100</definedName>
    <definedName name="株式会社第一住建_北区">株式会社第一住建_マスター!$A$65:$A$100</definedName>
    <definedName name="株式会社町田_厚別区">#REF!</definedName>
    <definedName name="株式会社町田_手稲区">#REF!</definedName>
    <definedName name="株式会社町田_清田区">#REF!</definedName>
    <definedName name="株式会社町田_西区">#REF!</definedName>
    <definedName name="株式会社町田_中央区">#REF!</definedName>
    <definedName name="株式会社町田_東区">#REF!</definedName>
    <definedName name="株式会社町田_南区">#REF!</definedName>
    <definedName name="株式会社町田_白石区">#REF!</definedName>
    <definedName name="株式会社町田_豊平区">#REF!</definedName>
    <definedName name="株式会社町田_北区">#REF!</definedName>
    <definedName name="株式会社鏑木石材建築_厚別区">株式会社鏑木石材建築_マスター!$A$323:$A$348</definedName>
    <definedName name="株式会社鏑木石材建築_市街">株式会社鏑木石材建築_マスター!$A$402:$A$444</definedName>
    <definedName name="株式会社鏑木石材建築_手稲区">株式会社鏑木石材建築_マスター!$A$350:$A$380</definedName>
    <definedName name="株式会社鏑木石材建築_清田区">株式会社鏑木石材建築_マスター!$A$382:$A$400</definedName>
    <definedName name="株式会社鏑木石材建築_西区">株式会社鏑木石材建築_マスター!$A$142:$A$200</definedName>
    <definedName name="株式会社鏑木石材建築_中央区">株式会社鏑木石材建築_マスター!$A$3:$A$64</definedName>
    <definedName name="株式会社鏑木石材建築_東区">株式会社鏑木石材建築_マスター!$A$102:$A$140</definedName>
    <definedName name="株式会社鏑木石材建築_南区">株式会社鏑木石材建築_マスター!$A$202:$A$230</definedName>
    <definedName name="株式会社鏑木石材建築_白石区">株式会社鏑木石材建築_マスター!$A$232:$A$288</definedName>
    <definedName name="株式会社鏑木石材建築_豊平区">株式会社鏑木石材建築_マスター!$A$290:$A$321</definedName>
    <definedName name="株式会社鏑木石材建築_北区">株式会社鏑木石材建築_マスター!$A$66:$A$100</definedName>
    <definedName name="株式会社二瓶不動産_厚別区">株式会社二瓶不動産_マスター!$A$323:$A$348</definedName>
    <definedName name="株式会社二瓶不動産_市街">株式会社二瓶不動産_マスター!$A$402:$A$444</definedName>
    <definedName name="株式会社二瓶不動産_手稲区">株式会社二瓶不動産_マスター!$A$350:$A$380</definedName>
    <definedName name="株式会社二瓶不動産_清田区">株式会社二瓶不動産_マスター!$A$382:$A$400</definedName>
    <definedName name="株式会社二瓶不動産_西区">株式会社二瓶不動産_マスター!$A$142:$A$200</definedName>
    <definedName name="株式会社二瓶不動産_中央区">株式会社二瓶不動産_マスター!$A$3:$A$64</definedName>
    <definedName name="株式会社二瓶不動産_東区">株式会社二瓶不動産_マスター!$A$102:$A$140</definedName>
    <definedName name="株式会社二瓶不動産_南区">株式会社二瓶不動産_マスター!$A$202:$A$230</definedName>
    <definedName name="株式会社二瓶不動産_白石区">株式会社二瓶不動産_マスター!$A$232:$A$288</definedName>
    <definedName name="株式会社二瓶不動産_豊平区">株式会社二瓶不動産_マスター!$A$290:$A$321</definedName>
    <definedName name="株式会社二瓶不動産_北区">株式会社二瓶不動産_マスター!$A$66:$A$100</definedName>
    <definedName name="管理会社" localSheetId="6">#REF!</definedName>
    <definedName name="管理会社" localSheetId="8">#REF!</definedName>
    <definedName name="管理会社" localSheetId="5">#REF!</definedName>
    <definedName name="管理会社" localSheetId="9">#REF!</definedName>
    <definedName name="管理会社">#REF!</definedName>
    <definedName name="管理会社一覧">管理会社一覧!$A$2:$A$45</definedName>
    <definedName name="協力業者">協力業者!$A$3:$A$303</definedName>
    <definedName name="工藤畳商会_単価">業者単価!$A$172:$D$180</definedName>
    <definedName name="項目">[1]項目マスタ!$A$3:$A$30</definedName>
    <definedName name="合同会社Luca_厚別区">合同会社Luca_マスター!$A$323:$A$348</definedName>
    <definedName name="合同会社Luca_市街">合同会社Luca_マスター!$A$402:$A$444</definedName>
    <definedName name="合同会社Luca_手稲区">合同会社Luca_マスター!$A$350:$A$380</definedName>
    <definedName name="合同会社Luca_清田区">合同会社Luca_マスター!$A$382:$A$400</definedName>
    <definedName name="合同会社Luca_西区">合同会社Luca_マスター!$A$142:$A$200</definedName>
    <definedName name="合同会社Luca_中央区">合同会社Luca_マスター!$A$3:$A$64</definedName>
    <definedName name="合同会社Luca_東区">合同会社Luca_マスター!$A$102:$A$140</definedName>
    <definedName name="合同会社Luca_南区">合同会社Luca_マスター!$A$202:$A$230</definedName>
    <definedName name="合同会社Luca_白石区">合同会社Luca_マスター!$A$232:$A$288</definedName>
    <definedName name="合同会社Luca_豊平区">合同会社Luca_マスター!$A$290:$A$321</definedName>
    <definedName name="合同会社Luca_北区">合同会社Luca_マスター!$A$66:$A$100</definedName>
    <definedName name="合同会社REALHEAL_厚別区">合同会社REALHEAL_マスター!$A$323:$A$348</definedName>
    <definedName name="合同会社REALHEAL_市街">合同会社REALHEAL_マスター!$A$402:$A$444</definedName>
    <definedName name="合同会社REALHEAL_手稲区">合同会社REALHEAL_マスター!$A$350:$A$380</definedName>
    <definedName name="合同会社REALHEAL_清田区">合同会社REALHEAL_マスター!$A$382:$A$400</definedName>
    <definedName name="合同会社REALHEAL_西区">合同会社REALHEAL_マスター!$A$142:$A$200</definedName>
    <definedName name="合同会社REALHEAL_中央区">合同会社REALHEAL_マスター!$A$3:$A$64</definedName>
    <definedName name="合同会社REALHEAL_東区">合同会社REALHEAL_マスター!$A$102:$A$140</definedName>
    <definedName name="合同会社REALHEAL_南区">合同会社REALHEAL_マスター!$A$202:$A$230</definedName>
    <definedName name="合同会社REALHEAL_白石区">合同会社REALHEAL_マスター!$A$232:$A$288</definedName>
    <definedName name="合同会社REALHEAL_豊平区">合同会社REALHEAL_マスター!$A$290:$A$321</definedName>
    <definedName name="合同会社REALHEAL_北区">合同会社REALHEAL_マスター!$A$66:$A$100</definedName>
    <definedName name="合同会社東勝_単価">業者単価!$A$135:$D$144</definedName>
    <definedName name="札幌ウィークリー_厚別区">#REF!</definedName>
    <definedName name="札幌ウィークリー_手稲区">#REF!</definedName>
    <definedName name="札幌ウィークリー_清田区">#REF!</definedName>
    <definedName name="札幌ウィークリー_西区">#REF!</definedName>
    <definedName name="札幌ウィークリー_中央区">#REF!</definedName>
    <definedName name="札幌ウィークリー_東区">#REF!</definedName>
    <definedName name="札幌ウィークリー_南区">#REF!</definedName>
    <definedName name="札幌ウィークリー_白石区">#REF!</definedName>
    <definedName name="札幌ウィークリー_豊平区">#REF!</definedName>
    <definedName name="札幌ウィークリー_北区">#REF!</definedName>
    <definedName name="札幌ベニヤ商会_単価">業者単価!$F$2:$F$41</definedName>
    <definedName name="山本内装_単価">業者単価!$A$125:$D$134</definedName>
    <definedName name="小倉クロス_単価">業者単価!$A$2:$A$42</definedName>
    <definedName name="上坂紙店_単価">業者単価!$A$43:$A$84</definedName>
    <definedName name="設備">単価表!$B$4</definedName>
    <definedName name="総務部" localSheetId="9">#REF!</definedName>
    <definedName name="総務部">#REF!</definedName>
    <definedName name="泰平建材_単価">業者単価!$A$181:$A$206</definedName>
    <definedName name="大工">単価表!$B$65</definedName>
    <definedName name="地区" localSheetId="6">[2]物件データ!$I$2:$I$12</definedName>
    <definedName name="地区" localSheetId="5">[2]物件データ!$I$2:$I$12</definedName>
    <definedName name="地区" localSheetId="9">[3]物件データ!$I$2:$I$12</definedName>
    <definedName name="地区">[4]物件ハウスメイト!$I$2:$I$12</definedName>
    <definedName name="町田_厚別区">#REF!</definedName>
    <definedName name="町田_手稲区">#REF!</definedName>
    <definedName name="町田_清田区">#REF!</definedName>
    <definedName name="町田_西区">#REF!</definedName>
    <definedName name="町田_中央区">#REF!</definedName>
    <definedName name="町田_東区">#REF!</definedName>
    <definedName name="町田_南区">#REF!</definedName>
    <definedName name="町田_白石区">#REF!</definedName>
    <definedName name="町田_豊平区">#REF!</definedName>
    <definedName name="町田_北区">#REF!</definedName>
    <definedName name="電器">単価表!$B$30</definedName>
    <definedName name="入力順">[5]依頼入力フォーム!$B$5,[5]依頼入力フォーム!$B$7,[5]依頼入力フォーム!$B$9,[5]依頼入力フォーム!$B$11,[5]依頼入力フォーム!$B$13,[5]依頼入力フォーム!$B$15,[5]依頼入力フォーム!$B$17,[5]依頼入力フォーム!$B$19,[5]依頼入力フォーム!$B$21,[5]依頼入力フォーム!$E$3,[5]依頼入力フォーム!$E$5,[5]依頼入力フォーム!$E$7,[5]依頼入力フォーム!$E$9,[5]依頼入力フォーム!$E$11,[5]依頼入力フォーム!$E$13</definedName>
    <definedName name="部署名" localSheetId="9">#REF!</definedName>
    <definedName name="部署名">#REF!</definedName>
    <definedName name="平野商会_厚別区">平野商会_マスター!$A$323:$A$348</definedName>
    <definedName name="平野商会_市街">平野商会_マスター!$A$402:$A$444</definedName>
    <definedName name="平野商会_手稲区">平野商会_マスター!$A$350:$A$380</definedName>
    <definedName name="平野商会_清田区">平野商会_マスター!$A$382:$A$400</definedName>
    <definedName name="平野商会_西区">平野商会_マスター!$A$142:$A$200</definedName>
    <definedName name="平野商会_中央区">平野商会_マスター!$A$3:$A$64</definedName>
    <definedName name="平野商会_東区">平野商会_マスター!$A$102:$A$140</definedName>
    <definedName name="平野商会_南区">平野商会_マスター!$A$202:$A$230</definedName>
    <definedName name="平野商会_白石区">平野商会_マスター!$A$232:$A$288</definedName>
    <definedName name="平野商会_豊平区">平野商会_マスター!$A$290:$A$321</definedName>
    <definedName name="平野商会_北区">平野商会_マスター!$A$66:$A$100</definedName>
    <definedName name="北川_単価">業者単価!$F$42:$F$79</definedName>
    <definedName name="有限会社オフィススズキ_厚別区">有限会社オフィススズキ_マスター!$A$323:$A$348</definedName>
    <definedName name="有限会社オフィススズキ_市街">有限会社オフィススズキ_マスター!$A$402:$A$444</definedName>
    <definedName name="有限会社オフィススズキ_手稲区">有限会社オフィススズキ_マスター!$A$350:$A$380</definedName>
    <definedName name="有限会社オフィススズキ_清田区">有限会社オフィススズキ_マスター!$A$382:$A$400</definedName>
    <definedName name="有限会社オフィススズキ_西区">有限会社オフィススズキ_マスター!$A$142:$A$200</definedName>
    <definedName name="有限会社オフィススズキ_中央区">有限会社オフィススズキ_マスター!$A$3:$A$64</definedName>
    <definedName name="有限会社オフィススズキ_東区">有限会社オフィススズキ_マスター!$A$102:$A$140</definedName>
    <definedName name="有限会社オフィススズキ_南区">有限会社オフィススズキ_マスター!$A$202:$A$230</definedName>
    <definedName name="有限会社オフィススズキ_白石区">有限会社オフィススズキ_マスター!$A$232:$A$288</definedName>
    <definedName name="有限会社オフィススズキ_豊平区">有限会社オフィススズキ_マスター!$A$290:$A$321</definedName>
    <definedName name="有限会社オフィススズキ_北区">有限会社オフィススズキ_マスター!$A$66:$A$100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5" i="54" l="1"/>
  <c r="K56" i="54"/>
  <c r="K57" i="54"/>
  <c r="K58" i="54"/>
  <c r="K37" i="54"/>
  <c r="K38" i="54"/>
  <c r="K39" i="54"/>
  <c r="K40" i="54"/>
  <c r="K41" i="54"/>
  <c r="K42" i="54"/>
  <c r="K43" i="54"/>
  <c r="K44" i="54"/>
  <c r="K5" i="54"/>
  <c r="K6" i="54"/>
  <c r="K7" i="54"/>
  <c r="K8" i="54"/>
  <c r="K12" i="54"/>
  <c r="K10" i="54"/>
  <c r="C3" i="76"/>
  <c r="K19" i="54"/>
  <c r="K59" i="54"/>
  <c r="K94" i="54"/>
  <c r="K93" i="54"/>
  <c r="K92" i="54"/>
  <c r="K91" i="54"/>
  <c r="K90" i="54"/>
  <c r="K89" i="54"/>
  <c r="K88" i="54"/>
  <c r="K87" i="54"/>
  <c r="K86" i="54"/>
  <c r="K85" i="54"/>
  <c r="K84" i="54"/>
  <c r="K83" i="54"/>
  <c r="K82" i="54"/>
  <c r="K81" i="54"/>
  <c r="K80" i="54"/>
  <c r="K48" i="2"/>
  <c r="K52" i="2"/>
  <c r="K51" i="2"/>
  <c r="J5" i="2"/>
  <c r="K31" i="2"/>
  <c r="K27" i="2"/>
  <c r="G48" i="11"/>
  <c r="G49" i="11"/>
  <c r="G50" i="11"/>
  <c r="G51" i="11"/>
  <c r="F6" i="11"/>
  <c r="K23" i="2"/>
  <c r="K24" i="2"/>
  <c r="K25" i="2"/>
  <c r="K26" i="2"/>
  <c r="K28" i="2"/>
  <c r="K29" i="2"/>
  <c r="K30" i="2"/>
  <c r="K32" i="2"/>
  <c r="K33" i="2"/>
  <c r="K34" i="2"/>
  <c r="K35" i="2"/>
  <c r="K36" i="2"/>
  <c r="G5" i="75" l="1"/>
  <c r="D5" i="75"/>
  <c r="K9" i="75"/>
  <c r="K22" i="54" l="1"/>
  <c r="K23" i="54"/>
  <c r="K27" i="54"/>
  <c r="K16" i="54"/>
  <c r="K79" i="54"/>
  <c r="K78" i="54"/>
  <c r="K77" i="54"/>
  <c r="K76" i="54"/>
  <c r="K75" i="54"/>
  <c r="K74" i="54"/>
  <c r="K73" i="54"/>
  <c r="K72" i="54"/>
  <c r="K71" i="54"/>
  <c r="K70" i="54"/>
  <c r="K69" i="54"/>
  <c r="K68" i="54"/>
  <c r="K67" i="54"/>
  <c r="K66" i="54"/>
  <c r="K65" i="54"/>
  <c r="K64" i="54"/>
  <c r="K63" i="54"/>
  <c r="K62" i="54"/>
  <c r="K61" i="54"/>
  <c r="K60" i="54"/>
  <c r="K54" i="54"/>
  <c r="K53" i="54"/>
  <c r="K52" i="54"/>
  <c r="K51" i="54"/>
  <c r="K50" i="54"/>
  <c r="K49" i="54"/>
  <c r="K48" i="54"/>
  <c r="K47" i="54"/>
  <c r="K46" i="54"/>
  <c r="K45" i="54"/>
  <c r="K36" i="54"/>
  <c r="K35" i="54"/>
  <c r="K34" i="54"/>
  <c r="K33" i="54"/>
  <c r="K32" i="54"/>
  <c r="K31" i="54"/>
  <c r="K30" i="54"/>
  <c r="K29" i="54"/>
  <c r="K28" i="54"/>
  <c r="K21" i="54"/>
  <c r="K18" i="54"/>
  <c r="K17" i="54"/>
  <c r="K15" i="54"/>
  <c r="K14" i="54"/>
  <c r="K13" i="54"/>
  <c r="K11" i="54"/>
  <c r="K9" i="54"/>
  <c r="K4" i="54"/>
  <c r="D13" i="2"/>
  <c r="J5" i="43"/>
  <c r="C8" i="43"/>
  <c r="B5" i="43"/>
  <c r="K64" i="43"/>
  <c r="K63" i="43"/>
  <c r="K62" i="43"/>
  <c r="K61" i="43"/>
  <c r="K60" i="43"/>
  <c r="K59" i="43"/>
  <c r="K58" i="43"/>
  <c r="K57" i="43"/>
  <c r="K56" i="43"/>
  <c r="K55" i="43"/>
  <c r="K54" i="43"/>
  <c r="K53" i="43"/>
  <c r="K52" i="43"/>
  <c r="K51" i="43"/>
  <c r="K50" i="43"/>
  <c r="K49" i="43"/>
  <c r="K48" i="43"/>
  <c r="K47" i="43"/>
  <c r="K46" i="43"/>
  <c r="K45" i="43"/>
  <c r="K44" i="43"/>
  <c r="K43" i="43"/>
  <c r="K42" i="43"/>
  <c r="K41" i="43"/>
  <c r="K40" i="43"/>
  <c r="K39" i="43"/>
  <c r="K38" i="43"/>
  <c r="K37" i="43"/>
  <c r="K36" i="43"/>
  <c r="K35" i="43"/>
  <c r="K34" i="43"/>
  <c r="K33" i="43"/>
  <c r="K32" i="43"/>
  <c r="K31" i="43"/>
  <c r="K30" i="43"/>
  <c r="K29" i="43"/>
  <c r="K28" i="43"/>
  <c r="K27" i="43"/>
  <c r="K26" i="43"/>
  <c r="K25" i="43"/>
  <c r="K24" i="43"/>
  <c r="K23" i="43"/>
  <c r="K65" i="43" s="1"/>
  <c r="S20" i="13"/>
  <c r="D8" i="13"/>
  <c r="G2" i="11"/>
  <c r="D6" i="75" l="1"/>
  <c r="K66" i="43"/>
  <c r="K67" i="43" s="1"/>
  <c r="E19" i="43" s="1"/>
  <c r="H1" i="13"/>
  <c r="C1" i="13"/>
  <c r="H1" i="14"/>
  <c r="C1" i="14"/>
  <c r="X66" i="14"/>
  <c r="S66" i="14"/>
  <c r="N66" i="14"/>
  <c r="I66" i="14"/>
  <c r="D66" i="14"/>
  <c r="X65" i="14"/>
  <c r="S65" i="14"/>
  <c r="N65" i="14"/>
  <c r="I65" i="14"/>
  <c r="D65" i="14"/>
  <c r="D67" i="14" s="1"/>
  <c r="AA58" i="14" s="1"/>
  <c r="X64" i="14"/>
  <c r="S64" i="14"/>
  <c r="N64" i="14"/>
  <c r="I64" i="14"/>
  <c r="D64" i="14"/>
  <c r="X63" i="14"/>
  <c r="S63" i="14"/>
  <c r="N63" i="14"/>
  <c r="N67" i="14" s="1"/>
  <c r="AA60" i="14" s="1"/>
  <c r="I63" i="14"/>
  <c r="D63" i="14"/>
  <c r="X62" i="14"/>
  <c r="S62" i="14"/>
  <c r="N62" i="14"/>
  <c r="I62" i="14"/>
  <c r="D62" i="14"/>
  <c r="X61" i="14"/>
  <c r="S61" i="14"/>
  <c r="N61" i="14"/>
  <c r="I61" i="14"/>
  <c r="D61" i="14"/>
  <c r="U60" i="14"/>
  <c r="Z62" i="14" s="1"/>
  <c r="P60" i="14"/>
  <c r="Z61" i="14" s="1"/>
  <c r="K60" i="14"/>
  <c r="Z60" i="14" s="1"/>
  <c r="F60" i="14"/>
  <c r="Z59" i="14" s="1"/>
  <c r="A60" i="14"/>
  <c r="Z58" i="14" s="1"/>
  <c r="Z57" i="14"/>
  <c r="X56" i="14"/>
  <c r="S56" i="14"/>
  <c r="N56" i="14"/>
  <c r="I56" i="14"/>
  <c r="D56" i="14"/>
  <c r="X55" i="14"/>
  <c r="S55" i="14"/>
  <c r="N55" i="14"/>
  <c r="I55" i="14"/>
  <c r="D55" i="14"/>
  <c r="X54" i="14"/>
  <c r="S54" i="14"/>
  <c r="N54" i="14"/>
  <c r="I54" i="14"/>
  <c r="D54" i="14"/>
  <c r="X53" i="14"/>
  <c r="S53" i="14"/>
  <c r="N53" i="14"/>
  <c r="I53" i="14"/>
  <c r="D53" i="14"/>
  <c r="X52" i="14"/>
  <c r="S52" i="14"/>
  <c r="N52" i="14"/>
  <c r="I52" i="14"/>
  <c r="D52" i="14"/>
  <c r="X51" i="14"/>
  <c r="S51" i="14"/>
  <c r="N51" i="14"/>
  <c r="N57" i="14" s="1"/>
  <c r="AA55" i="14" s="1"/>
  <c r="I51" i="14"/>
  <c r="D51" i="14"/>
  <c r="U50" i="14"/>
  <c r="P50" i="14"/>
  <c r="Z56" i="14" s="1"/>
  <c r="K50" i="14"/>
  <c r="Z55" i="14" s="1"/>
  <c r="F50" i="14"/>
  <c r="Z54" i="14" s="1"/>
  <c r="A50" i="14"/>
  <c r="Z53" i="14" s="1"/>
  <c r="AA44" i="14"/>
  <c r="X44" i="14"/>
  <c r="S44" i="14"/>
  <c r="N44" i="14"/>
  <c r="I44" i="14"/>
  <c r="D44" i="14"/>
  <c r="X43" i="14"/>
  <c r="S43" i="14"/>
  <c r="N43" i="14"/>
  <c r="I43" i="14"/>
  <c r="D43" i="14"/>
  <c r="X42" i="14"/>
  <c r="S42" i="14"/>
  <c r="N42" i="14"/>
  <c r="I42" i="14"/>
  <c r="D42" i="14"/>
  <c r="X41" i="14"/>
  <c r="S41" i="14"/>
  <c r="N41" i="14"/>
  <c r="I41" i="14"/>
  <c r="D41" i="14"/>
  <c r="X40" i="14"/>
  <c r="S40" i="14"/>
  <c r="N40" i="14"/>
  <c r="I40" i="14"/>
  <c r="D40" i="14"/>
  <c r="X39" i="14"/>
  <c r="S39" i="14"/>
  <c r="N39" i="14"/>
  <c r="I39" i="14"/>
  <c r="D39" i="14"/>
  <c r="U38" i="14"/>
  <c r="Z38" i="14" s="1"/>
  <c r="P38" i="14"/>
  <c r="Z37" i="14" s="1"/>
  <c r="K38" i="14"/>
  <c r="F38" i="14"/>
  <c r="Z35" i="14" s="1"/>
  <c r="A38" i="14"/>
  <c r="Z36" i="14"/>
  <c r="Z34" i="14"/>
  <c r="X34" i="14"/>
  <c r="S34" i="14"/>
  <c r="N34" i="14"/>
  <c r="I34" i="14"/>
  <c r="D34" i="14"/>
  <c r="X33" i="14"/>
  <c r="S33" i="14"/>
  <c r="N33" i="14"/>
  <c r="I33" i="14"/>
  <c r="D33" i="14"/>
  <c r="X32" i="14"/>
  <c r="S32" i="14"/>
  <c r="N32" i="14"/>
  <c r="I32" i="14"/>
  <c r="D32" i="14"/>
  <c r="Z31" i="14"/>
  <c r="X31" i="14"/>
  <c r="S31" i="14"/>
  <c r="N31" i="14"/>
  <c r="I31" i="14"/>
  <c r="D31" i="14"/>
  <c r="X30" i="14"/>
  <c r="S30" i="14"/>
  <c r="N30" i="14"/>
  <c r="I30" i="14"/>
  <c r="D30" i="14"/>
  <c r="X29" i="14"/>
  <c r="S29" i="14"/>
  <c r="N29" i="14"/>
  <c r="I29" i="14"/>
  <c r="D29" i="14"/>
  <c r="U28" i="14"/>
  <c r="Z33" i="14" s="1"/>
  <c r="P28" i="14"/>
  <c r="Z32" i="14" s="1"/>
  <c r="K28" i="14"/>
  <c r="F28" i="14"/>
  <c r="Z30" i="14" s="1"/>
  <c r="A28" i="14"/>
  <c r="Z29" i="14" s="1"/>
  <c r="AC23" i="14"/>
  <c r="Z23" i="14"/>
  <c r="Z22" i="14"/>
  <c r="AC22" i="14" s="1"/>
  <c r="Z21" i="14"/>
  <c r="AC21" i="14" s="1"/>
  <c r="X21" i="14"/>
  <c r="S21" i="14"/>
  <c r="N21" i="14"/>
  <c r="I21" i="14"/>
  <c r="D21" i="14"/>
  <c r="Z20" i="14"/>
  <c r="AC20" i="14" s="1"/>
  <c r="X20" i="14"/>
  <c r="S20" i="14"/>
  <c r="N20" i="14"/>
  <c r="I20" i="14"/>
  <c r="D20" i="14"/>
  <c r="Z19" i="14"/>
  <c r="AC19" i="14" s="1"/>
  <c r="X19" i="14"/>
  <c r="S19" i="14"/>
  <c r="N19" i="14"/>
  <c r="I19" i="14"/>
  <c r="D19" i="14"/>
  <c r="Z18" i="14"/>
  <c r="AC18" i="14" s="1"/>
  <c r="X18" i="14"/>
  <c r="S18" i="14"/>
  <c r="N18" i="14"/>
  <c r="I18" i="14"/>
  <c r="D18" i="14"/>
  <c r="Z17" i="14"/>
  <c r="AC17" i="14" s="1"/>
  <c r="X17" i="14"/>
  <c r="S17" i="14"/>
  <c r="N17" i="14"/>
  <c r="I17" i="14"/>
  <c r="D17" i="14"/>
  <c r="AC16" i="14"/>
  <c r="Z16" i="14"/>
  <c r="X16" i="14"/>
  <c r="S16" i="14"/>
  <c r="N16" i="14"/>
  <c r="I16" i="14"/>
  <c r="D16" i="14"/>
  <c r="Z15" i="14"/>
  <c r="AC15" i="14" s="1"/>
  <c r="AC14" i="14"/>
  <c r="Z14" i="14"/>
  <c r="X11" i="14"/>
  <c r="S11" i="14"/>
  <c r="N11" i="14"/>
  <c r="I11" i="14"/>
  <c r="D11" i="14"/>
  <c r="X10" i="14"/>
  <c r="S10" i="14"/>
  <c r="N10" i="14"/>
  <c r="I10" i="14"/>
  <c r="D10" i="14"/>
  <c r="X9" i="14"/>
  <c r="S9" i="14"/>
  <c r="N9" i="14"/>
  <c r="I9" i="14"/>
  <c r="D9" i="14"/>
  <c r="X8" i="14"/>
  <c r="S8" i="14"/>
  <c r="N8" i="14"/>
  <c r="I8" i="14"/>
  <c r="D8" i="14"/>
  <c r="X7" i="14"/>
  <c r="S7" i="14"/>
  <c r="N7" i="14"/>
  <c r="I7" i="14"/>
  <c r="D7" i="14"/>
  <c r="X6" i="14"/>
  <c r="S6" i="14"/>
  <c r="N6" i="14"/>
  <c r="I6" i="14"/>
  <c r="D6" i="14"/>
  <c r="N1" i="14"/>
  <c r="AC84" i="13"/>
  <c r="X84" i="13"/>
  <c r="S84" i="13"/>
  <c r="N84" i="13"/>
  <c r="I84" i="13"/>
  <c r="D84" i="13"/>
  <c r="AC83" i="13"/>
  <c r="X83" i="13"/>
  <c r="S83" i="13"/>
  <c r="N83" i="13"/>
  <c r="I83" i="13"/>
  <c r="D83" i="13"/>
  <c r="AC82" i="13"/>
  <c r="X82" i="13"/>
  <c r="S82" i="13"/>
  <c r="N82" i="13"/>
  <c r="I82" i="13"/>
  <c r="D82" i="13"/>
  <c r="AC81" i="13"/>
  <c r="X81" i="13"/>
  <c r="S81" i="13"/>
  <c r="N81" i="13"/>
  <c r="I81" i="13"/>
  <c r="D81" i="13"/>
  <c r="AC80" i="13"/>
  <c r="X80" i="13"/>
  <c r="S80" i="13"/>
  <c r="N80" i="13"/>
  <c r="I80" i="13"/>
  <c r="D80" i="13"/>
  <c r="Z79" i="13"/>
  <c r="AE77" i="13" s="1"/>
  <c r="U79" i="13"/>
  <c r="AE76" i="13" s="1"/>
  <c r="P79" i="13"/>
  <c r="AE74" i="13" s="1"/>
  <c r="K79" i="13"/>
  <c r="AE73" i="13" s="1"/>
  <c r="F79" i="13"/>
  <c r="A79" i="13"/>
  <c r="AE71" i="13" s="1"/>
  <c r="AC77" i="13"/>
  <c r="X77" i="13"/>
  <c r="S77" i="13"/>
  <c r="N77" i="13"/>
  <c r="I77" i="13"/>
  <c r="D77" i="13"/>
  <c r="AC76" i="13"/>
  <c r="X76" i="13"/>
  <c r="S76" i="13"/>
  <c r="N76" i="13"/>
  <c r="I76" i="13"/>
  <c r="D76" i="13"/>
  <c r="AC75" i="13"/>
  <c r="X75" i="13"/>
  <c r="S75" i="13"/>
  <c r="N75" i="13"/>
  <c r="I75" i="13"/>
  <c r="D75" i="13"/>
  <c r="AC74" i="13"/>
  <c r="X74" i="13"/>
  <c r="S74" i="13"/>
  <c r="N74" i="13"/>
  <c r="I74" i="13"/>
  <c r="D74" i="13"/>
  <c r="AC73" i="13"/>
  <c r="X73" i="13"/>
  <c r="S73" i="13"/>
  <c r="N73" i="13"/>
  <c r="I73" i="13"/>
  <c r="D73" i="13"/>
  <c r="AE72" i="13"/>
  <c r="AC72" i="13"/>
  <c r="X72" i="13"/>
  <c r="S72" i="13"/>
  <c r="N72" i="13"/>
  <c r="I72" i="13"/>
  <c r="D72" i="13"/>
  <c r="AC71" i="13"/>
  <c r="X71" i="13"/>
  <c r="S71" i="13"/>
  <c r="N71" i="13"/>
  <c r="I71" i="13"/>
  <c r="D71" i="13"/>
  <c r="AC70" i="13"/>
  <c r="X70" i="13"/>
  <c r="S70" i="13"/>
  <c r="N70" i="13"/>
  <c r="I70" i="13"/>
  <c r="D70" i="13"/>
  <c r="AC69" i="13"/>
  <c r="X69" i="13"/>
  <c r="S69" i="13"/>
  <c r="N69" i="13"/>
  <c r="I69" i="13"/>
  <c r="D69" i="13"/>
  <c r="AC68" i="13"/>
  <c r="X68" i="13"/>
  <c r="S68" i="13"/>
  <c r="N68" i="13"/>
  <c r="I68" i="13"/>
  <c r="D68" i="13"/>
  <c r="AC67" i="13"/>
  <c r="X67" i="13"/>
  <c r="S67" i="13"/>
  <c r="N67" i="13"/>
  <c r="I67" i="13"/>
  <c r="D67" i="13"/>
  <c r="AC66" i="13"/>
  <c r="X66" i="13"/>
  <c r="S66" i="13"/>
  <c r="N66" i="13"/>
  <c r="I66" i="13"/>
  <c r="D66" i="13"/>
  <c r="AC65" i="13"/>
  <c r="X65" i="13"/>
  <c r="S65" i="13"/>
  <c r="N65" i="13"/>
  <c r="I65" i="13"/>
  <c r="D65" i="13"/>
  <c r="AC64" i="13"/>
  <c r="X64" i="13"/>
  <c r="S64" i="13"/>
  <c r="N64" i="13"/>
  <c r="I64" i="13"/>
  <c r="D64" i="13"/>
  <c r="AC63" i="13"/>
  <c r="X63" i="13"/>
  <c r="S63" i="13"/>
  <c r="N63" i="13"/>
  <c r="I63" i="13"/>
  <c r="D63" i="13"/>
  <c r="AE62" i="13"/>
  <c r="AC62" i="13"/>
  <c r="X62" i="13"/>
  <c r="S62" i="13"/>
  <c r="N62" i="13"/>
  <c r="I62" i="13"/>
  <c r="D62" i="13"/>
  <c r="AC61" i="13"/>
  <c r="X61" i="13"/>
  <c r="S61" i="13"/>
  <c r="N61" i="13"/>
  <c r="I61" i="13"/>
  <c r="D61" i="13"/>
  <c r="AE60" i="13"/>
  <c r="AC60" i="13"/>
  <c r="X60" i="13"/>
  <c r="S60" i="13"/>
  <c r="N60" i="13"/>
  <c r="I60" i="13"/>
  <c r="D60" i="13"/>
  <c r="AC59" i="13"/>
  <c r="X59" i="13"/>
  <c r="S59" i="13"/>
  <c r="N59" i="13"/>
  <c r="I59" i="13"/>
  <c r="D59" i="13"/>
  <c r="AE58" i="13"/>
  <c r="AC58" i="13"/>
  <c r="X58" i="13"/>
  <c r="S58" i="13"/>
  <c r="N58" i="13"/>
  <c r="I58" i="13"/>
  <c r="D58" i="13"/>
  <c r="Z57" i="13"/>
  <c r="U57" i="13"/>
  <c r="P57" i="13"/>
  <c r="K57" i="13"/>
  <c r="F57" i="13"/>
  <c r="AK24" i="13" s="1"/>
  <c r="A57" i="13"/>
  <c r="AK22" i="13" s="1"/>
  <c r="AE56" i="13"/>
  <c r="AC55" i="13"/>
  <c r="X55" i="13"/>
  <c r="S55" i="13"/>
  <c r="N55" i="13"/>
  <c r="I55" i="13"/>
  <c r="D55" i="13"/>
  <c r="AE54" i="13"/>
  <c r="AC54" i="13"/>
  <c r="X54" i="13"/>
  <c r="S54" i="13"/>
  <c r="N54" i="13"/>
  <c r="I54" i="13"/>
  <c r="D54" i="13"/>
  <c r="AC53" i="13"/>
  <c r="X53" i="13"/>
  <c r="S53" i="13"/>
  <c r="N53" i="13"/>
  <c r="I53" i="13"/>
  <c r="D53" i="13"/>
  <c r="AE52" i="13"/>
  <c r="AC52" i="13"/>
  <c r="X52" i="13"/>
  <c r="S52" i="13"/>
  <c r="N52" i="13"/>
  <c r="I52" i="13"/>
  <c r="D52" i="13"/>
  <c r="AC51" i="13"/>
  <c r="X51" i="13"/>
  <c r="S51" i="13"/>
  <c r="N51" i="13"/>
  <c r="I51" i="13"/>
  <c r="D51" i="13"/>
  <c r="AE50" i="13"/>
  <c r="AC50" i="13"/>
  <c r="X50" i="13"/>
  <c r="S50" i="13"/>
  <c r="N50" i="13"/>
  <c r="I50" i="13"/>
  <c r="D50" i="13"/>
  <c r="AC49" i="13"/>
  <c r="X49" i="13"/>
  <c r="S49" i="13"/>
  <c r="N49" i="13"/>
  <c r="I49" i="13"/>
  <c r="D49" i="13"/>
  <c r="AE48" i="13"/>
  <c r="AC48" i="13"/>
  <c r="X48" i="13"/>
  <c r="S48" i="13"/>
  <c r="N48" i="13"/>
  <c r="I48" i="13"/>
  <c r="D48" i="13"/>
  <c r="AC47" i="13"/>
  <c r="X47" i="13"/>
  <c r="S47" i="13"/>
  <c r="N47" i="13"/>
  <c r="I47" i="13"/>
  <c r="D47" i="13"/>
  <c r="AE46" i="13"/>
  <c r="AC46" i="13"/>
  <c r="X46" i="13"/>
  <c r="S46" i="13"/>
  <c r="N46" i="13"/>
  <c r="I46" i="13"/>
  <c r="D46" i="13"/>
  <c r="B56" i="13" s="1"/>
  <c r="AG22" i="13" s="1"/>
  <c r="AE44" i="13"/>
  <c r="AE42" i="13"/>
  <c r="AC42" i="13"/>
  <c r="X42" i="13"/>
  <c r="S42" i="13"/>
  <c r="N42" i="13"/>
  <c r="I42" i="13"/>
  <c r="D42" i="13"/>
  <c r="AC41" i="13"/>
  <c r="X41" i="13"/>
  <c r="S41" i="13"/>
  <c r="N41" i="13"/>
  <c r="I41" i="13"/>
  <c r="D41" i="13"/>
  <c r="AE40" i="13"/>
  <c r="AC40" i="13"/>
  <c r="X40" i="13"/>
  <c r="S40" i="13"/>
  <c r="N40" i="13"/>
  <c r="I40" i="13"/>
  <c r="D40" i="13"/>
  <c r="AC39" i="13"/>
  <c r="X39" i="13"/>
  <c r="S39" i="13"/>
  <c r="N39" i="13"/>
  <c r="I39" i="13"/>
  <c r="D39" i="13"/>
  <c r="AC38" i="13"/>
  <c r="X38" i="13"/>
  <c r="S38" i="13"/>
  <c r="N38" i="13"/>
  <c r="I38" i="13"/>
  <c r="D38" i="13"/>
  <c r="Z37" i="13"/>
  <c r="AE75" i="13" s="1"/>
  <c r="U37" i="13"/>
  <c r="AE70" i="13" s="1"/>
  <c r="P37" i="13"/>
  <c r="AE69" i="13" s="1"/>
  <c r="K37" i="13"/>
  <c r="AE68" i="13" s="1"/>
  <c r="F37" i="13"/>
  <c r="AE67" i="13" s="1"/>
  <c r="A37" i="13"/>
  <c r="AE66" i="13" s="1"/>
  <c r="AK35" i="13"/>
  <c r="AE35" i="13"/>
  <c r="AC35" i="13"/>
  <c r="X35" i="13"/>
  <c r="S35" i="13"/>
  <c r="N35" i="13"/>
  <c r="I35" i="13"/>
  <c r="D35" i="13"/>
  <c r="AK34" i="13"/>
  <c r="AE34" i="13"/>
  <c r="AE61" i="13" s="1"/>
  <c r="AC34" i="13"/>
  <c r="X34" i="13"/>
  <c r="S34" i="13"/>
  <c r="N34" i="13"/>
  <c r="I34" i="13"/>
  <c r="D34" i="13"/>
  <c r="AK33" i="13"/>
  <c r="AE33" i="13"/>
  <c r="AC33" i="13"/>
  <c r="X33" i="13"/>
  <c r="S33" i="13"/>
  <c r="N33" i="13"/>
  <c r="I33" i="13"/>
  <c r="D33" i="13"/>
  <c r="AK32" i="13"/>
  <c r="AE32" i="13"/>
  <c r="AE59" i="13" s="1"/>
  <c r="AC32" i="13"/>
  <c r="X32" i="13"/>
  <c r="S32" i="13"/>
  <c r="N32" i="13"/>
  <c r="I32" i="13"/>
  <c r="D32" i="13"/>
  <c r="AK31" i="13"/>
  <c r="AE31" i="13"/>
  <c r="AC31" i="13"/>
  <c r="X31" i="13"/>
  <c r="S31" i="13"/>
  <c r="S36" i="13" s="1"/>
  <c r="AM19" i="13" s="1"/>
  <c r="N31" i="13"/>
  <c r="I31" i="13"/>
  <c r="D31" i="13"/>
  <c r="AK30" i="13"/>
  <c r="AE30" i="13"/>
  <c r="AE57" i="13" s="1"/>
  <c r="AC30" i="13"/>
  <c r="X30" i="13"/>
  <c r="S30" i="13"/>
  <c r="N30" i="13"/>
  <c r="I30" i="13"/>
  <c r="D30" i="13"/>
  <c r="AK29" i="13"/>
  <c r="AE29" i="13"/>
  <c r="AC29" i="13"/>
  <c r="X29" i="13"/>
  <c r="S29" i="13"/>
  <c r="N29" i="13"/>
  <c r="I29" i="13"/>
  <c r="D29" i="13"/>
  <c r="AK28" i="13"/>
  <c r="AE28" i="13"/>
  <c r="AE55" i="13" s="1"/>
  <c r="AC28" i="13"/>
  <c r="X28" i="13"/>
  <c r="S28" i="13"/>
  <c r="N28" i="13"/>
  <c r="I28" i="13"/>
  <c r="D28" i="13"/>
  <c r="AK27" i="13"/>
  <c r="AE27" i="13"/>
  <c r="AC27" i="13"/>
  <c r="X27" i="13"/>
  <c r="S27" i="13"/>
  <c r="N27" i="13"/>
  <c r="I27" i="13"/>
  <c r="D27" i="13"/>
  <c r="AK26" i="13"/>
  <c r="AE26" i="13"/>
  <c r="AE53" i="13" s="1"/>
  <c r="AC26" i="13"/>
  <c r="X26" i="13"/>
  <c r="S26" i="13"/>
  <c r="N26" i="13"/>
  <c r="I26" i="13"/>
  <c r="D26" i="13"/>
  <c r="AK25" i="13"/>
  <c r="AE25" i="13"/>
  <c r="AC25" i="13"/>
  <c r="X25" i="13"/>
  <c r="S25" i="13"/>
  <c r="N25" i="13"/>
  <c r="I25" i="13"/>
  <c r="D25" i="13"/>
  <c r="AE24" i="13"/>
  <c r="AE51" i="13" s="1"/>
  <c r="AC24" i="13"/>
  <c r="X24" i="13"/>
  <c r="S24" i="13"/>
  <c r="N24" i="13"/>
  <c r="I24" i="13"/>
  <c r="D24" i="13"/>
  <c r="AK23" i="13"/>
  <c r="AE23" i="13"/>
  <c r="AC23" i="13"/>
  <c r="X23" i="13"/>
  <c r="S23" i="13"/>
  <c r="N23" i="13"/>
  <c r="I23" i="13"/>
  <c r="D23" i="13"/>
  <c r="AE22" i="13"/>
  <c r="AE49" i="13" s="1"/>
  <c r="AC22" i="13"/>
  <c r="X22" i="13"/>
  <c r="S22" i="13"/>
  <c r="N22" i="13"/>
  <c r="I22" i="13"/>
  <c r="D22" i="13"/>
  <c r="AK21" i="13"/>
  <c r="AE21" i="13"/>
  <c r="AC21" i="13"/>
  <c r="X21" i="13"/>
  <c r="S21" i="13"/>
  <c r="N21" i="13"/>
  <c r="I21" i="13"/>
  <c r="D21" i="13"/>
  <c r="AE20" i="13"/>
  <c r="AE47" i="13" s="1"/>
  <c r="AC20" i="13"/>
  <c r="X20" i="13"/>
  <c r="N20" i="13"/>
  <c r="I20" i="13"/>
  <c r="D20" i="13"/>
  <c r="AK19" i="13"/>
  <c r="AE19" i="13"/>
  <c r="AC19" i="13"/>
  <c r="X19" i="13"/>
  <c r="S19" i="13"/>
  <c r="N19" i="13"/>
  <c r="I19" i="13"/>
  <c r="D19" i="13"/>
  <c r="AE18" i="13"/>
  <c r="AE45" i="13" s="1"/>
  <c r="AC18" i="13"/>
  <c r="X18" i="13"/>
  <c r="S18" i="13"/>
  <c r="N18" i="13"/>
  <c r="I18" i="13"/>
  <c r="D18" i="13"/>
  <c r="AK17" i="13"/>
  <c r="AE17" i="13"/>
  <c r="AC17" i="13"/>
  <c r="X17" i="13"/>
  <c r="S17" i="13"/>
  <c r="N17" i="13"/>
  <c r="I17" i="13"/>
  <c r="D17" i="13"/>
  <c r="AE16" i="13"/>
  <c r="AE43" i="13" s="1"/>
  <c r="AC16" i="13"/>
  <c r="X16" i="13"/>
  <c r="S16" i="13"/>
  <c r="N16" i="13"/>
  <c r="I16" i="13"/>
  <c r="D16" i="13"/>
  <c r="AK15" i="13"/>
  <c r="AE15" i="13"/>
  <c r="Z15" i="13"/>
  <c r="U15" i="13"/>
  <c r="AK20" i="13" s="1"/>
  <c r="P15" i="13"/>
  <c r="AK18" i="13" s="1"/>
  <c r="K15" i="13"/>
  <c r="AK16" i="13" s="1"/>
  <c r="F15" i="13"/>
  <c r="AK14" i="13" s="1"/>
  <c r="A15" i="13"/>
  <c r="AK12" i="13" s="1"/>
  <c r="AE14" i="13"/>
  <c r="AE41" i="13" s="1"/>
  <c r="AK13" i="13"/>
  <c r="AE13" i="13"/>
  <c r="AC13" i="13"/>
  <c r="X13" i="13"/>
  <c r="S13" i="13"/>
  <c r="N13" i="13"/>
  <c r="I13" i="13"/>
  <c r="D13" i="13"/>
  <c r="AE12" i="13"/>
  <c r="AE39" i="13" s="1"/>
  <c r="AC12" i="13"/>
  <c r="X12" i="13"/>
  <c r="S12" i="13"/>
  <c r="N12" i="13"/>
  <c r="I12" i="13"/>
  <c r="D12" i="13"/>
  <c r="AC11" i="13"/>
  <c r="X11" i="13"/>
  <c r="S11" i="13"/>
  <c r="N11" i="13"/>
  <c r="N14" i="13" s="1"/>
  <c r="AG17" i="13" s="1"/>
  <c r="I11" i="13"/>
  <c r="D11" i="13"/>
  <c r="AC10" i="13"/>
  <c r="X10" i="13"/>
  <c r="S10" i="13"/>
  <c r="N10" i="13"/>
  <c r="I10" i="13"/>
  <c r="D10" i="13"/>
  <c r="X9" i="13"/>
  <c r="S9" i="13"/>
  <c r="N9" i="13"/>
  <c r="I9" i="13"/>
  <c r="D9" i="13"/>
  <c r="AC8" i="13"/>
  <c r="X8" i="13"/>
  <c r="S8" i="13"/>
  <c r="N8" i="13"/>
  <c r="I8" i="13"/>
  <c r="AC7" i="13"/>
  <c r="X7" i="13"/>
  <c r="S7" i="13"/>
  <c r="N7" i="13"/>
  <c r="I7" i="13"/>
  <c r="D7" i="13"/>
  <c r="AC6" i="13"/>
  <c r="X6" i="13"/>
  <c r="S6" i="13"/>
  <c r="N6" i="13"/>
  <c r="I6" i="13"/>
  <c r="D6" i="13"/>
  <c r="AC5" i="13"/>
  <c r="X5" i="13"/>
  <c r="S5" i="13"/>
  <c r="N5" i="13"/>
  <c r="I5" i="13"/>
  <c r="D5" i="13"/>
  <c r="N1" i="13"/>
  <c r="F9" i="1"/>
  <c r="D35" i="14" l="1"/>
  <c r="AA29" i="14" s="1"/>
  <c r="K8" i="75"/>
  <c r="AA14" i="13"/>
  <c r="AG30" i="13" s="1"/>
  <c r="X12" i="14"/>
  <c r="AA18" i="14" s="1"/>
  <c r="AD18" i="14" s="1"/>
  <c r="D45" i="14"/>
  <c r="AA34" i="14" s="1"/>
  <c r="I67" i="14"/>
  <c r="AA59" i="14" s="1"/>
  <c r="N36" i="13"/>
  <c r="AM17" i="13" s="1"/>
  <c r="I45" i="14"/>
  <c r="AA35" i="14" s="1"/>
  <c r="N45" i="14"/>
  <c r="AA36" i="14" s="1"/>
  <c r="X57" i="14"/>
  <c r="AA57" i="14" s="1"/>
  <c r="X22" i="14"/>
  <c r="AA23" i="14" s="1"/>
  <c r="AD23" i="14" s="1"/>
  <c r="S45" i="14"/>
  <c r="AA37" i="14" s="1"/>
  <c r="I43" i="13"/>
  <c r="AG67" i="13" s="1"/>
  <c r="X45" i="14"/>
  <c r="AA38" i="14" s="1"/>
  <c r="D57" i="14"/>
  <c r="AA53" i="14" s="1"/>
  <c r="I57" i="14"/>
  <c r="AA54" i="14" s="1"/>
  <c r="D12" i="14"/>
  <c r="AA14" i="14" s="1"/>
  <c r="AD14" i="14" s="1"/>
  <c r="I12" i="14"/>
  <c r="AA15" i="14" s="1"/>
  <c r="AD15" i="14" s="1"/>
  <c r="N22" i="14"/>
  <c r="AA21" i="14" s="1"/>
  <c r="AD21" i="14" s="1"/>
  <c r="N35" i="14"/>
  <c r="AA31" i="14" s="1"/>
  <c r="S22" i="14"/>
  <c r="AA22" i="14" s="1"/>
  <c r="AD22" i="14" s="1"/>
  <c r="S35" i="14"/>
  <c r="AA32" i="14" s="1"/>
  <c r="I22" i="14"/>
  <c r="AA20" i="14" s="1"/>
  <c r="AD20" i="14" s="1"/>
  <c r="I35" i="14"/>
  <c r="AA30" i="14" s="1"/>
  <c r="S12" i="14"/>
  <c r="AA17" i="14" s="1"/>
  <c r="AD17" i="14" s="1"/>
  <c r="S43" i="13"/>
  <c r="AG69" i="13" s="1"/>
  <c r="AH69" i="13" s="1"/>
  <c r="X35" i="14"/>
  <c r="AA33" i="14" s="1"/>
  <c r="AA39" i="14" s="1"/>
  <c r="S67" i="14"/>
  <c r="AA61" i="14" s="1"/>
  <c r="S57" i="14"/>
  <c r="AA56" i="14" s="1"/>
  <c r="D22" i="14"/>
  <c r="AA19" i="14" s="1"/>
  <c r="AD19" i="14" s="1"/>
  <c r="N12" i="14"/>
  <c r="AA16" i="14" s="1"/>
  <c r="AD16" i="14" s="1"/>
  <c r="X67" i="14"/>
  <c r="AA62" i="14" s="1"/>
  <c r="G56" i="13"/>
  <c r="AG24" i="13" s="1"/>
  <c r="AI24" i="13" s="1"/>
  <c r="I78" i="13"/>
  <c r="AM25" i="13" s="1"/>
  <c r="AL25" i="13" s="1"/>
  <c r="Q36" i="13"/>
  <c r="AM18" i="13" s="1"/>
  <c r="AO18" i="13" s="1"/>
  <c r="L36" i="13"/>
  <c r="AM16" i="13" s="1"/>
  <c r="D78" i="13"/>
  <c r="AM23" i="13" s="1"/>
  <c r="N56" i="13"/>
  <c r="AG27" i="13" s="1"/>
  <c r="AI27" i="13" s="1"/>
  <c r="I36" i="13"/>
  <c r="AM15" i="13" s="1"/>
  <c r="X85" i="13"/>
  <c r="AG76" i="13" s="1"/>
  <c r="AI76" i="13" s="1"/>
  <c r="AC36" i="13"/>
  <c r="AM31" i="13" s="1"/>
  <c r="AO31" i="13" s="1"/>
  <c r="AC56" i="13"/>
  <c r="AG35" i="13" s="1"/>
  <c r="AG62" i="13" s="1"/>
  <c r="S56" i="13"/>
  <c r="AG29" i="13" s="1"/>
  <c r="AI29" i="13" s="1"/>
  <c r="N78" i="13"/>
  <c r="AM27" i="13" s="1"/>
  <c r="AG54" i="13" s="1"/>
  <c r="D56" i="13"/>
  <c r="AG23" i="13" s="1"/>
  <c r="AF23" i="13" s="1"/>
  <c r="V36" i="13"/>
  <c r="AM20" i="13" s="1"/>
  <c r="AO20" i="13" s="1"/>
  <c r="D36" i="13"/>
  <c r="AM13" i="13" s="1"/>
  <c r="AL13" i="13" s="1"/>
  <c r="AA36" i="13"/>
  <c r="AM30" i="13" s="1"/>
  <c r="AO30" i="13" s="1"/>
  <c r="X56" i="13"/>
  <c r="AG33" i="13" s="1"/>
  <c r="AI33" i="13" s="1"/>
  <c r="N43" i="13"/>
  <c r="AG68" i="13" s="1"/>
  <c r="AF68" i="13" s="1"/>
  <c r="D14" i="13"/>
  <c r="AG13" i="13" s="1"/>
  <c r="AG40" i="13" s="1"/>
  <c r="Q78" i="13"/>
  <c r="AM28" i="13" s="1"/>
  <c r="L78" i="13"/>
  <c r="AM26" i="13" s="1"/>
  <c r="Q14" i="13"/>
  <c r="AG18" i="13" s="1"/>
  <c r="AC43" i="13"/>
  <c r="AG75" i="13" s="1"/>
  <c r="AF75" i="13" s="1"/>
  <c r="L56" i="13"/>
  <c r="AG26" i="13" s="1"/>
  <c r="AG53" i="13" s="1"/>
  <c r="AA78" i="13"/>
  <c r="AM34" i="13" s="1"/>
  <c r="AN34" i="13" s="1"/>
  <c r="I85" i="13"/>
  <c r="AG72" i="13" s="1"/>
  <c r="AH72" i="13" s="1"/>
  <c r="AC85" i="13"/>
  <c r="AG77" i="13" s="1"/>
  <c r="AI77" i="13" s="1"/>
  <c r="D43" i="13"/>
  <c r="AG66" i="13" s="1"/>
  <c r="AI66" i="13" s="1"/>
  <c r="Q56" i="13"/>
  <c r="AG28" i="13" s="1"/>
  <c r="AG55" i="13" s="1"/>
  <c r="AC14" i="13"/>
  <c r="AG31" i="13" s="1"/>
  <c r="AG58" i="13" s="1"/>
  <c r="S14" i="13"/>
  <c r="AG19" i="13" s="1"/>
  <c r="AI19" i="13" s="1"/>
  <c r="G14" i="13"/>
  <c r="AG14" i="13" s="1"/>
  <c r="X14" i="13"/>
  <c r="AG21" i="13" s="1"/>
  <c r="AI21" i="13" s="1"/>
  <c r="V56" i="13"/>
  <c r="AG32" i="13" s="1"/>
  <c r="B78" i="13"/>
  <c r="AM22" i="13" s="1"/>
  <c r="AN22" i="13" s="1"/>
  <c r="L14" i="13"/>
  <c r="AG16" i="13" s="1"/>
  <c r="AI16" i="13" s="1"/>
  <c r="B14" i="13"/>
  <c r="AG12" i="13" s="1"/>
  <c r="AH12" i="13" s="1"/>
  <c r="AA56" i="13"/>
  <c r="AG34" i="13" s="1"/>
  <c r="AH34" i="13" s="1"/>
  <c r="X36" i="13"/>
  <c r="AM21" i="13" s="1"/>
  <c r="AN21" i="13" s="1"/>
  <c r="S78" i="13"/>
  <c r="AM29" i="13" s="1"/>
  <c r="AN29" i="13" s="1"/>
  <c r="B36" i="13"/>
  <c r="AM12" i="13" s="1"/>
  <c r="AL12" i="13" s="1"/>
  <c r="V14" i="13"/>
  <c r="AG20" i="13" s="1"/>
  <c r="G36" i="13"/>
  <c r="AM14" i="13" s="1"/>
  <c r="AO14" i="13" s="1"/>
  <c r="X43" i="13"/>
  <c r="AG70" i="13" s="1"/>
  <c r="AI70" i="13" s="1"/>
  <c r="G78" i="13"/>
  <c r="AM24" i="13" s="1"/>
  <c r="AN24" i="13" s="1"/>
  <c r="N85" i="13"/>
  <c r="AG73" i="13" s="1"/>
  <c r="AF73" i="13" s="1"/>
  <c r="D85" i="13"/>
  <c r="AG71" i="13" s="1"/>
  <c r="AF71" i="13" s="1"/>
  <c r="I14" i="13"/>
  <c r="AG15" i="13" s="1"/>
  <c r="AF15" i="13" s="1"/>
  <c r="V78" i="13"/>
  <c r="AM32" i="13" s="1"/>
  <c r="AN32" i="13" s="1"/>
  <c r="X78" i="13"/>
  <c r="AM33" i="13" s="1"/>
  <c r="AN33" i="13" s="1"/>
  <c r="S85" i="13"/>
  <c r="AG74" i="13" s="1"/>
  <c r="AH74" i="13" s="1"/>
  <c r="I56" i="13"/>
  <c r="AG25" i="13" s="1"/>
  <c r="AC78" i="13"/>
  <c r="AM35" i="13" s="1"/>
  <c r="AH35" i="13"/>
  <c r="AO21" i="13"/>
  <c r="AI67" i="13"/>
  <c r="AH67" i="13"/>
  <c r="AF67" i="13"/>
  <c r="AI69" i="13"/>
  <c r="AO23" i="13"/>
  <c r="AN23" i="13"/>
  <c r="AL23" i="13"/>
  <c r="AL27" i="13"/>
  <c r="AO27" i="13"/>
  <c r="AI17" i="13"/>
  <c r="AG44" i="13"/>
  <c r="AH17" i="13"/>
  <c r="AF17" i="13"/>
  <c r="AH68" i="13"/>
  <c r="AN31" i="13"/>
  <c r="AH75" i="13"/>
  <c r="AN15" i="13"/>
  <c r="AL15" i="13"/>
  <c r="AO15" i="13"/>
  <c r="AN16" i="13"/>
  <c r="AL16" i="13"/>
  <c r="AO16" i="13"/>
  <c r="AI22" i="13"/>
  <c r="AH22" i="13"/>
  <c r="AF22" i="13"/>
  <c r="AI30" i="13"/>
  <c r="AH30" i="13"/>
  <c r="AF30" i="13"/>
  <c r="AN17" i="13"/>
  <c r="AL17" i="13"/>
  <c r="AO17" i="13"/>
  <c r="AF27" i="13"/>
  <c r="AN26" i="13"/>
  <c r="AL26" i="13"/>
  <c r="AO26" i="13"/>
  <c r="AN19" i="13"/>
  <c r="AO19" i="13"/>
  <c r="AL19" i="13"/>
  <c r="AL30" i="13"/>
  <c r="AG43" i="13"/>
  <c r="AH16" i="13"/>
  <c r="AF16" i="13"/>
  <c r="AO28" i="13"/>
  <c r="AN28" i="13"/>
  <c r="AL28" i="13"/>
  <c r="AF26" i="13"/>
  <c r="AI20" i="13"/>
  <c r="AH20" i="13"/>
  <c r="AI74" i="13"/>
  <c r="AI18" i="13"/>
  <c r="AF18" i="13"/>
  <c r="AH18" i="13"/>
  <c r="AI25" i="13"/>
  <c r="AH25" i="13"/>
  <c r="AF25" i="13"/>
  <c r="AO35" i="13"/>
  <c r="AN35" i="13"/>
  <c r="AL35" i="13"/>
  <c r="C2" i="11"/>
  <c r="G77" i="11"/>
  <c r="H68" i="11"/>
  <c r="H67" i="11"/>
  <c r="H69" i="11" s="1"/>
  <c r="G63" i="11"/>
  <c r="H63" i="11" s="1"/>
  <c r="G62" i="11"/>
  <c r="H62" i="11" s="1"/>
  <c r="G61" i="11"/>
  <c r="H61" i="11" s="1"/>
  <c r="G60" i="11"/>
  <c r="H60" i="11" s="1"/>
  <c r="G59" i="11"/>
  <c r="H59" i="11" s="1"/>
  <c r="G58" i="11"/>
  <c r="H58" i="11" s="1"/>
  <c r="G57" i="11"/>
  <c r="H57" i="11" s="1"/>
  <c r="G56" i="11"/>
  <c r="H56" i="11" s="1"/>
  <c r="G55" i="11"/>
  <c r="H55" i="11" s="1"/>
  <c r="G54" i="11"/>
  <c r="H54" i="11" s="1"/>
  <c r="G53" i="11"/>
  <c r="H53" i="11" s="1"/>
  <c r="G52" i="11"/>
  <c r="H52" i="11" s="1"/>
  <c r="H51" i="11"/>
  <c r="H50" i="11"/>
  <c r="H49" i="11"/>
  <c r="H48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26" i="11"/>
  <c r="H25" i="11"/>
  <c r="H24" i="11"/>
  <c r="H23" i="11"/>
  <c r="H22" i="11"/>
  <c r="H21" i="11"/>
  <c r="H16" i="11"/>
  <c r="H15" i="11"/>
  <c r="H14" i="11"/>
  <c r="H13" i="11"/>
  <c r="H12" i="11"/>
  <c r="H11" i="11"/>
  <c r="H10" i="11"/>
  <c r="H9" i="11"/>
  <c r="H2" i="11"/>
  <c r="AH66" i="13" l="1"/>
  <c r="AD24" i="14"/>
  <c r="AO12" i="13"/>
  <c r="AN12" i="13"/>
  <c r="AI12" i="13"/>
  <c r="AA63" i="14"/>
  <c r="AG59" i="13"/>
  <c r="AO34" i="13"/>
  <c r="AL34" i="13"/>
  <c r="AG61" i="13"/>
  <c r="AI34" i="13"/>
  <c r="AF12" i="13"/>
  <c r="H27" i="11"/>
  <c r="AH24" i="13"/>
  <c r="AF24" i="13"/>
  <c r="AL18" i="13"/>
  <c r="AI68" i="13"/>
  <c r="AG57" i="13"/>
  <c r="AF33" i="13"/>
  <c r="AH33" i="13"/>
  <c r="AG52" i="13"/>
  <c r="AF52" i="13" s="1"/>
  <c r="H45" i="11"/>
  <c r="AL20" i="13"/>
  <c r="AN27" i="13"/>
  <c r="AF35" i="13"/>
  <c r="AN25" i="13"/>
  <c r="AH23" i="13"/>
  <c r="AI23" i="13"/>
  <c r="AI35" i="13"/>
  <c r="AN20" i="13"/>
  <c r="AA24" i="14"/>
  <c r="AF76" i="13"/>
  <c r="AG50" i="13"/>
  <c r="AH50" i="13" s="1"/>
  <c r="AG45" i="13"/>
  <c r="AI45" i="13" s="1"/>
  <c r="AO25" i="13"/>
  <c r="H17" i="11"/>
  <c r="AF74" i="13"/>
  <c r="AF34" i="13"/>
  <c r="AL31" i="13"/>
  <c r="AF69" i="13"/>
  <c r="AG49" i="13"/>
  <c r="AI49" i="13" s="1"/>
  <c r="AN30" i="13"/>
  <c r="AH73" i="13"/>
  <c r="AM36" i="13"/>
  <c r="AL36" i="13" s="1"/>
  <c r="AI73" i="13"/>
  <c r="AN18" i="13"/>
  <c r="AG47" i="13"/>
  <c r="AO24" i="13"/>
  <c r="AN13" i="13"/>
  <c r="AO22" i="13"/>
  <c r="AG51" i="13"/>
  <c r="AI51" i="13" s="1"/>
  <c r="AL24" i="13"/>
  <c r="AO13" i="13"/>
  <c r="AL22" i="13"/>
  <c r="AF29" i="13"/>
  <c r="AL14" i="13"/>
  <c r="AG39" i="13"/>
  <c r="AH39" i="13" s="1"/>
  <c r="AF28" i="13"/>
  <c r="AI72" i="13"/>
  <c r="AI13" i="13"/>
  <c r="AH29" i="13"/>
  <c r="AG36" i="13"/>
  <c r="AF36" i="13" s="1"/>
  <c r="AN14" i="13"/>
  <c r="AH28" i="13"/>
  <c r="AF72" i="13"/>
  <c r="AF13" i="13"/>
  <c r="AG78" i="13"/>
  <c r="AF78" i="13" s="1"/>
  <c r="AH76" i="13"/>
  <c r="AH13" i="13"/>
  <c r="AF66" i="13"/>
  <c r="AI75" i="13"/>
  <c r="AH26" i="13"/>
  <c r="AH27" i="13"/>
  <c r="AI26" i="13"/>
  <c r="AF32" i="13"/>
  <c r="AG42" i="13"/>
  <c r="AI42" i="13" s="1"/>
  <c r="AH32" i="13"/>
  <c r="AH15" i="13"/>
  <c r="AI32" i="13"/>
  <c r="AG48" i="13"/>
  <c r="AI48" i="13" s="1"/>
  <c r="AI15" i="13"/>
  <c r="AF21" i="13"/>
  <c r="AI28" i="13"/>
  <c r="AH14" i="13"/>
  <c r="AO33" i="13"/>
  <c r="AH21" i="13"/>
  <c r="AG60" i="13"/>
  <c r="AF60" i="13" s="1"/>
  <c r="AF14" i="13"/>
  <c r="AL33" i="13"/>
  <c r="AF77" i="13"/>
  <c r="AF31" i="13"/>
  <c r="AI14" i="13"/>
  <c r="AH77" i="13"/>
  <c r="AH31" i="13"/>
  <c r="AG41" i="13"/>
  <c r="AF41" i="13" s="1"/>
  <c r="AF70" i="13"/>
  <c r="AI31" i="13"/>
  <c r="AF19" i="13"/>
  <c r="AH70" i="13"/>
  <c r="AH71" i="13"/>
  <c r="AO32" i="13"/>
  <c r="AL21" i="13"/>
  <c r="AG56" i="13"/>
  <c r="AH56" i="13" s="1"/>
  <c r="AH19" i="13"/>
  <c r="AI71" i="13"/>
  <c r="AL32" i="13"/>
  <c r="AO29" i="13"/>
  <c r="AG46" i="13"/>
  <c r="AI46" i="13" s="1"/>
  <c r="AF20" i="13"/>
  <c r="AL29" i="13"/>
  <c r="AI44" i="13"/>
  <c r="AH44" i="13"/>
  <c r="AF44" i="13"/>
  <c r="AF47" i="13"/>
  <c r="AI47" i="13"/>
  <c r="AH47" i="13"/>
  <c r="AF53" i="13"/>
  <c r="AI53" i="13"/>
  <c r="AH53" i="13"/>
  <c r="AI52" i="13"/>
  <c r="AH52" i="13"/>
  <c r="AF43" i="13"/>
  <c r="AH43" i="13"/>
  <c r="AI43" i="13"/>
  <c r="AI60" i="13"/>
  <c r="AH60" i="13"/>
  <c r="AH48" i="13"/>
  <c r="AF48" i="13"/>
  <c r="AI54" i="13"/>
  <c r="AH54" i="13"/>
  <c r="AF54" i="13"/>
  <c r="AI57" i="13"/>
  <c r="AH57" i="13"/>
  <c r="AF57" i="13"/>
  <c r="AI59" i="13"/>
  <c r="AF59" i="13"/>
  <c r="AH59" i="13"/>
  <c r="AF61" i="13"/>
  <c r="AH61" i="13"/>
  <c r="AI61" i="13"/>
  <c r="AI55" i="13"/>
  <c r="AH55" i="13"/>
  <c r="AF55" i="13"/>
  <c r="AH62" i="13"/>
  <c r="AF62" i="13"/>
  <c r="AI62" i="13"/>
  <c r="AF40" i="13"/>
  <c r="AH40" i="13"/>
  <c r="AI40" i="13"/>
  <c r="AF58" i="13"/>
  <c r="AI58" i="13"/>
  <c r="AH58" i="13"/>
  <c r="H64" i="11"/>
  <c r="H78" i="11" s="1"/>
  <c r="B5" i="2"/>
  <c r="F13" i="2"/>
  <c r="D5" i="76" s="1"/>
  <c r="D13" i="43"/>
  <c r="B6" i="2"/>
  <c r="G13" i="2"/>
  <c r="F5" i="76" s="1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18" i="3"/>
  <c r="J17" i="3"/>
  <c r="J16" i="3"/>
  <c r="J15" i="3"/>
  <c r="J14" i="3"/>
  <c r="E12" i="3"/>
  <c r="K54" i="2"/>
  <c r="K53" i="2"/>
  <c r="K50" i="2"/>
  <c r="K49" i="2"/>
  <c r="K47" i="2"/>
  <c r="K46" i="2"/>
  <c r="K45" i="2"/>
  <c r="K44" i="2"/>
  <c r="K43" i="2"/>
  <c r="K42" i="2"/>
  <c r="K41" i="2"/>
  <c r="K40" i="2"/>
  <c r="K39" i="2"/>
  <c r="K38" i="2"/>
  <c r="K37" i="2"/>
  <c r="F3" i="1"/>
  <c r="F5" i="1"/>
  <c r="F7" i="1"/>
  <c r="H77" i="11" l="1"/>
  <c r="F13" i="43"/>
  <c r="AN36" i="13"/>
  <c r="AH41" i="13"/>
  <c r="AI41" i="13"/>
  <c r="H72" i="11"/>
  <c r="K7" i="75"/>
  <c r="K6" i="75"/>
  <c r="K5" i="75"/>
  <c r="AH45" i="13"/>
  <c r="AF45" i="13"/>
  <c r="AH78" i="13"/>
  <c r="AF42" i="13"/>
  <c r="AI78" i="13"/>
  <c r="AF49" i="13"/>
  <c r="AH49" i="13"/>
  <c r="AF46" i="13"/>
  <c r="AH46" i="13"/>
  <c r="AI36" i="13"/>
  <c r="AI50" i="13"/>
  <c r="AF50" i="13"/>
  <c r="AO36" i="13"/>
  <c r="AI39" i="13"/>
  <c r="AI63" i="13" s="1"/>
  <c r="K55" i="2"/>
  <c r="K56" i="2" s="1"/>
  <c r="J49" i="3"/>
  <c r="J50" i="3" s="1"/>
  <c r="J51" i="3" s="1"/>
  <c r="D18" i="3" s="1"/>
  <c r="AH36" i="13"/>
  <c r="AF51" i="13"/>
  <c r="AH51" i="13"/>
  <c r="AF39" i="13"/>
  <c r="AH42" i="13"/>
  <c r="AG63" i="13"/>
  <c r="AF63" i="13" s="1"/>
  <c r="AI56" i="13"/>
  <c r="AF56" i="13"/>
  <c r="D14" i="2"/>
  <c r="D14" i="43" s="1"/>
  <c r="G4" i="11" l="1"/>
  <c r="K57" i="2"/>
  <c r="E19" i="2" s="1"/>
  <c r="AH63" i="13"/>
  <c r="H73" i="11" l="1"/>
  <c r="H74" i="11"/>
  <c r="H76" i="1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<sst xmlns="http://schemas.openxmlformats.org/spreadsheetml/2006/main" count="5123" uniqueCount="2817">
  <si>
    <t>MavieSelect　工事カード</t>
    <phoneticPr fontId="3"/>
  </si>
  <si>
    <t>管理会社名</t>
    <rPh sb="0" eb="5">
      <t>カンリガイシャメイ</t>
    </rPh>
    <phoneticPr fontId="3"/>
  </si>
  <si>
    <t>地区</t>
    <rPh sb="0" eb="2">
      <t>チク</t>
    </rPh>
    <phoneticPr fontId="3"/>
  </si>
  <si>
    <t>物件名</t>
    <rPh sb="0" eb="3">
      <t>ブッケンメイ</t>
    </rPh>
    <phoneticPr fontId="3"/>
  </si>
  <si>
    <t>号室</t>
    <rPh sb="0" eb="2">
      <t>ゴウシツ</t>
    </rPh>
    <phoneticPr fontId="3"/>
  </si>
  <si>
    <t>住所</t>
    <rPh sb="0" eb="2">
      <t>ジュウショ</t>
    </rPh>
    <phoneticPr fontId="3"/>
  </si>
  <si>
    <t>オートロック</t>
    <phoneticPr fontId="3"/>
  </si>
  <si>
    <t>ドアジョイナー</t>
    <phoneticPr fontId="3"/>
  </si>
  <si>
    <t>キーボックス</t>
    <phoneticPr fontId="3"/>
  </si>
  <si>
    <t>マイロック</t>
    <phoneticPr fontId="3"/>
  </si>
  <si>
    <t>記載事項</t>
    <rPh sb="0" eb="4">
      <t>キサイジコウ</t>
    </rPh>
    <phoneticPr fontId="3"/>
  </si>
  <si>
    <t>　</t>
    <phoneticPr fontId="3"/>
  </si>
  <si>
    <t>　</t>
    <phoneticPr fontId="9"/>
  </si>
  <si>
    <t xml:space="preserve"> 御　　見　　積　　書</t>
    <rPh sb="1" eb="2">
      <t>オ</t>
    </rPh>
    <rPh sb="4" eb="11">
      <t>オミツモリショ</t>
    </rPh>
    <phoneticPr fontId="9"/>
  </si>
  <si>
    <t>日付</t>
    <phoneticPr fontId="9"/>
  </si>
  <si>
    <t xml:space="preserve"> </t>
    <phoneticPr fontId="9"/>
  </si>
  <si>
    <t>株式会社</t>
    <rPh sb="0" eb="4">
      <t>カブシキカイシャ</t>
    </rPh>
    <phoneticPr fontId="9"/>
  </si>
  <si>
    <t>Mavie Select</t>
  </si>
  <si>
    <t>様</t>
    <rPh sb="0" eb="1">
      <t>サマ</t>
    </rPh>
    <phoneticPr fontId="9"/>
  </si>
  <si>
    <t>〒060-0007</t>
    <phoneticPr fontId="9"/>
  </si>
  <si>
    <t>　　　　　　　　　</t>
    <phoneticPr fontId="9"/>
  </si>
  <si>
    <t>札幌市中央区北7条西22丁目1-12-201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9"/>
  </si>
  <si>
    <t>TEL：</t>
    <phoneticPr fontId="9"/>
  </si>
  <si>
    <t>011-699-6492</t>
    <phoneticPr fontId="9"/>
  </si>
  <si>
    <t>FAX：</t>
    <phoneticPr fontId="9"/>
  </si>
  <si>
    <t>011-699-6493</t>
    <phoneticPr fontId="9"/>
  </si>
  <si>
    <t>物件名：</t>
    <rPh sb="0" eb="2">
      <t>ブッケン</t>
    </rPh>
    <rPh sb="2" eb="3">
      <t>メイ</t>
    </rPh>
    <phoneticPr fontId="9"/>
  </si>
  <si>
    <t>号室</t>
    <rPh sb="0" eb="2">
      <t>ゴウシツ</t>
    </rPh>
    <phoneticPr fontId="9"/>
  </si>
  <si>
    <t>住所：</t>
    <phoneticPr fontId="9"/>
  </si>
  <si>
    <t>下記の通りお見積申し上げます。</t>
    <rPh sb="0" eb="2">
      <t>カキ</t>
    </rPh>
    <rPh sb="3" eb="4">
      <t>トオ</t>
    </rPh>
    <rPh sb="5" eb="8">
      <t>オミツモリ</t>
    </rPh>
    <rPh sb="8" eb="9">
      <t>モウ</t>
    </rPh>
    <rPh sb="10" eb="11">
      <t>ア</t>
    </rPh>
    <phoneticPr fontId="9"/>
  </si>
  <si>
    <t>御見積金額</t>
    <rPh sb="0" eb="3">
      <t>オミツモリ</t>
    </rPh>
    <rPh sb="3" eb="5">
      <t>キンガク</t>
    </rPh>
    <phoneticPr fontId="9"/>
  </si>
  <si>
    <t>単位：円</t>
    <rPh sb="0" eb="2">
      <t>タンイ</t>
    </rPh>
    <rPh sb="3" eb="4">
      <t>エン</t>
    </rPh>
    <phoneticPr fontId="9"/>
  </si>
  <si>
    <t>名称</t>
    <rPh sb="0" eb="2">
      <t>メイショウ</t>
    </rPh>
    <phoneticPr fontId="9"/>
  </si>
  <si>
    <t>仕様・規格</t>
    <rPh sb="0" eb="2">
      <t>シヨウ</t>
    </rPh>
    <rPh sb="3" eb="5">
      <t>キカク</t>
    </rPh>
    <phoneticPr fontId="9"/>
  </si>
  <si>
    <t>数量</t>
    <rPh sb="0" eb="2">
      <t>スウリョウ</t>
    </rPh>
    <phoneticPr fontId="9"/>
  </si>
  <si>
    <t>単位</t>
    <rPh sb="0" eb="2">
      <t>タンイ</t>
    </rPh>
    <phoneticPr fontId="9"/>
  </si>
  <si>
    <t>単価</t>
    <rPh sb="0" eb="2">
      <t>タンカ</t>
    </rPh>
    <phoneticPr fontId="9"/>
  </si>
  <si>
    <t>金額</t>
    <rPh sb="0" eb="2">
      <t>キンガク</t>
    </rPh>
    <phoneticPr fontId="9"/>
  </si>
  <si>
    <t>備考　　</t>
    <phoneticPr fontId="9"/>
  </si>
  <si>
    <t>小計</t>
    <phoneticPr fontId="9"/>
  </si>
  <si>
    <t>消費税（10％）</t>
    <phoneticPr fontId="9"/>
  </si>
  <si>
    <t>合計</t>
    <phoneticPr fontId="9"/>
  </si>
  <si>
    <t xml:space="preserve">日付    </t>
    <phoneticPr fontId="9"/>
  </si>
  <si>
    <t>現場住所：</t>
    <phoneticPr fontId="9"/>
  </si>
  <si>
    <t>オートロック</t>
    <phoneticPr fontId="9"/>
  </si>
  <si>
    <t>キーボックス</t>
    <phoneticPr fontId="9"/>
  </si>
  <si>
    <t>ドアジョイナー</t>
    <phoneticPr fontId="9"/>
  </si>
  <si>
    <t>マイロック</t>
    <phoneticPr fontId="9"/>
  </si>
  <si>
    <t>合計金額</t>
    <phoneticPr fontId="9"/>
  </si>
  <si>
    <t>玄関開放</t>
    <rPh sb="0" eb="2">
      <t>ゲンカン</t>
    </rPh>
    <rPh sb="2" eb="4">
      <t>カイホウ</t>
    </rPh>
    <phoneticPr fontId="9"/>
  </si>
  <si>
    <t>項目</t>
    <rPh sb="0" eb="2">
      <t>コウモク</t>
    </rPh>
    <phoneticPr fontId="9"/>
  </si>
  <si>
    <t>商品名</t>
    <rPh sb="0" eb="3">
      <t>ショウヒンメイ</t>
    </rPh>
    <phoneticPr fontId="9"/>
  </si>
  <si>
    <t>消費税</t>
    <rPh sb="0" eb="3">
      <t>ショウヒゼイ</t>
    </rPh>
    <phoneticPr fontId="9"/>
  </si>
  <si>
    <t>中央区</t>
    <rPh sb="0" eb="3">
      <t>チュウオウク</t>
    </rPh>
    <phoneticPr fontId="3"/>
  </si>
  <si>
    <t>リラ山鼻19条</t>
    <rPh sb="2" eb="4">
      <t>ヤマハナ</t>
    </rPh>
    <rPh sb="6" eb="7">
      <t>ジョウ</t>
    </rPh>
    <phoneticPr fontId="1"/>
  </si>
  <si>
    <t>札幌市中央区南19条西7丁目2-27</t>
    <rPh sb="0" eb="3">
      <t>サッポロシ</t>
    </rPh>
    <phoneticPr fontId="1"/>
  </si>
  <si>
    <t>呼5963</t>
    <rPh sb="0" eb="1">
      <t>ヨ</t>
    </rPh>
    <phoneticPr fontId="1"/>
  </si>
  <si>
    <t>ブランノワール苗穂</t>
    <rPh sb="7" eb="9">
      <t>ナエボ</t>
    </rPh>
    <phoneticPr fontId="1"/>
  </si>
  <si>
    <t>札幌市中央区北2条東12丁目98-24</t>
  </si>
  <si>
    <t>呼1609</t>
    <rPh sb="0" eb="1">
      <t>ヨ</t>
    </rPh>
    <phoneticPr fontId="1"/>
  </si>
  <si>
    <t>北区</t>
    <rPh sb="0" eb="2">
      <t>キタク</t>
    </rPh>
    <phoneticPr fontId="3"/>
  </si>
  <si>
    <t>アヴェニュー近美前</t>
    <rPh sb="6" eb="7">
      <t>キン</t>
    </rPh>
    <rPh sb="7" eb="8">
      <t>ビ</t>
    </rPh>
    <rPh sb="8" eb="9">
      <t>マエ</t>
    </rPh>
    <phoneticPr fontId="1"/>
  </si>
  <si>
    <t>札幌市中央区北1条西17丁目1-44</t>
    <rPh sb="0" eb="3">
      <t>サッポロシ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</si>
  <si>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♯9025</t>
  </si>
  <si>
    <t>東区</t>
    <rPh sb="0" eb="2">
      <t>ヒガシク</t>
    </rPh>
    <phoneticPr fontId="3"/>
  </si>
  <si>
    <t>南12条西9丁目戸建住宅</t>
    <rPh sb="0" eb="1">
      <t>ミナミ</t>
    </rPh>
    <rPh sb="3" eb="4">
      <t>ジョウ</t>
    </rPh>
    <rPh sb="4" eb="5">
      <t>ニシ</t>
    </rPh>
    <rPh sb="6" eb="8">
      <t>チョウメ</t>
    </rPh>
    <rPh sb="8" eb="10">
      <t>コダテ</t>
    </rPh>
    <rPh sb="10" eb="12">
      <t>ジュウタク</t>
    </rPh>
    <phoneticPr fontId="1"/>
  </si>
  <si>
    <t>札幌市中央区南12条西9丁目1-24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</si>
  <si>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西区</t>
    <rPh sb="0" eb="2">
      <t>ニシク</t>
    </rPh>
    <phoneticPr fontId="3"/>
  </si>
  <si>
    <t>シルヴェール</t>
  </si>
  <si>
    <t>札幌市中央区南５条西１２丁目1287−17</t>
  </si>
  <si>
    <t>南区</t>
    <rPh sb="0" eb="2">
      <t>ミナミク</t>
    </rPh>
    <phoneticPr fontId="3"/>
  </si>
  <si>
    <t>イビザ円山</t>
    <rPh sb="3" eb="5">
      <t>マルヤマ</t>
    </rPh>
    <phoneticPr fontId="1"/>
  </si>
  <si>
    <t>札幌市中央区南1条西21丁目3－17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</si>
  <si>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白石区</t>
    <rPh sb="0" eb="3">
      <t>シロイシク</t>
    </rPh>
    <phoneticPr fontId="3"/>
  </si>
  <si>
    <t>グラードエルヴィータ円山</t>
  </si>
  <si>
    <t>札幌市中央区大通西20丁目2-10</t>
    <rPh sb="0" eb="3">
      <t>サッポロシ</t>
    </rPh>
    <phoneticPr fontId="1"/>
  </si>
  <si>
    <t>＃5963</t>
  </si>
  <si>
    <t>豊平区</t>
    <rPh sb="0" eb="3">
      <t>トヨヒラク</t>
    </rPh>
    <phoneticPr fontId="3"/>
  </si>
  <si>
    <t>アルス北7条</t>
    <rPh sb="3" eb="4">
      <t>キタ</t>
    </rPh>
    <rPh sb="5" eb="6">
      <t>ジョウ</t>
    </rPh>
    <phoneticPr fontId="1"/>
  </si>
  <si>
    <t>札幌市中央区北7条西16丁目1-26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</si>
  <si>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厚別区</t>
    <rPh sb="0" eb="3">
      <t>アツベツク</t>
    </rPh>
    <phoneticPr fontId="3"/>
  </si>
  <si>
    <t>マウントビュー715</t>
  </si>
  <si>
    <t>札幌市中央区南7条西15丁目2-3</t>
  </si>
  <si>
    <t>手稲区</t>
    <rPh sb="0" eb="3">
      <t>テイネク</t>
    </rPh>
    <phoneticPr fontId="3"/>
  </si>
  <si>
    <t>宮の森ウルビス</t>
  </si>
  <si>
    <t>札幌市中央区宮の森２条７丁目１−４７</t>
  </si>
  <si>
    <t>呼5624</t>
    <rPh sb="0" eb="1">
      <t>ヨブ</t>
    </rPh>
    <phoneticPr fontId="1"/>
  </si>
  <si>
    <t>清田区</t>
    <rPh sb="0" eb="3">
      <t>キヨタク</t>
    </rPh>
    <phoneticPr fontId="3"/>
  </si>
  <si>
    <t>ライオンズマンション旭が丘第2</t>
  </si>
  <si>
    <t>札幌市中央区南９条西18-2-24</t>
  </si>
  <si>
    <t>市街</t>
    <rPh sb="0" eb="2">
      <t>シガイ</t>
    </rPh>
    <phoneticPr fontId="3"/>
  </si>
  <si>
    <t>カーサフォレスト北円山</t>
    <rPh sb="8" eb="11">
      <t>キタマルヤマ</t>
    </rPh>
    <phoneticPr fontId="1"/>
  </si>
  <si>
    <t>札幌市中央区北7条西25丁目3-10</t>
  </si>
  <si>
    <t>ラ・ヴェルト円山</t>
    <rPh sb="6" eb="8">
      <t>マルヤマ</t>
    </rPh>
    <phoneticPr fontId="1"/>
  </si>
  <si>
    <t>札幌市中央区北1条西20丁目2-5</t>
    <rPh sb="0" eb="6">
      <t>サッポロシチュウオウク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</si>
  <si>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クレステージS6W12タワー</t>
  </si>
  <si>
    <t>中央区南6条西12丁目1301-1</t>
  </si>
  <si>
    <t>※2525呼</t>
    <rPh sb="5" eb="6">
      <t>ヨブ</t>
    </rPh>
    <phoneticPr fontId="1"/>
  </si>
  <si>
    <t>寺島舎</t>
    <rPh sb="0" eb="2">
      <t>テラシマ</t>
    </rPh>
    <rPh sb="2" eb="3">
      <t>シャ</t>
    </rPh>
    <phoneticPr fontId="1"/>
  </si>
  <si>
    <t>札幌市中央区南13条西16丁目1-22</t>
    <rPh sb="0" eb="3">
      <t>サッポロシ</t>
    </rPh>
    <phoneticPr fontId="1"/>
  </si>
  <si>
    <t>079</t>
  </si>
  <si>
    <t>円山公園ビューアパートメント</t>
    <rPh sb="0" eb="4">
      <t>マルヤマコウエン</t>
    </rPh>
    <phoneticPr fontId="1"/>
  </si>
  <si>
    <t>札幌市中央区北3条西23丁目1-3</t>
    <rPh sb="0" eb="6">
      <t>サッポロシチュウオウク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</si>
  <si>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シャーメゾン宮の森</t>
    <rPh sb="6" eb="7">
      <t>ミヤ</t>
    </rPh>
    <rPh sb="8" eb="9">
      <t>モリ</t>
    </rPh>
    <phoneticPr fontId="1"/>
  </si>
  <si>
    <t>札幌市中央区宮の森2条12丁目1-24</t>
  </si>
  <si>
    <t>※1169※</t>
  </si>
  <si>
    <t>S-Court山鼻</t>
    <rPh sb="7" eb="9">
      <t>ヤマハナ</t>
    </rPh>
    <phoneticPr fontId="1"/>
  </si>
  <si>
    <t>札幌市中央区南17条西12丁目1-40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</si>
  <si>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南2条スクエアガーデン</t>
    <rPh sb="0" eb="1">
      <t>ミナミ</t>
    </rPh>
    <rPh sb="2" eb="3">
      <t>ジョウ</t>
    </rPh>
    <phoneticPr fontId="1"/>
  </si>
  <si>
    <t>札幌市中央区南2条西12丁目13-318-2</t>
  </si>
  <si>
    <t>円山公園ビューアパートメント</t>
  </si>
  <si>
    <t>札幌市中央区北３条西23丁目1-3</t>
  </si>
  <si>
    <t>オリンピア大通西18丁目マンション</t>
    <rPh sb="5" eb="8">
      <t>オオドオリニシ</t>
    </rPh>
    <rPh sb="10" eb="12">
      <t>チョウメ</t>
    </rPh>
    <phoneticPr fontId="1"/>
  </si>
  <si>
    <t>札幌市中央区大通西１８丁目1-3</t>
  </si>
  <si>
    <t>パレットハイツ麻生</t>
    <rPh sb="7" eb="9">
      <t>アサブ</t>
    </rPh>
    <phoneticPr fontId="1"/>
  </si>
  <si>
    <t>札幌市北区北37条西3丁目3-21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</si>
  <si>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屯田7条11丁目貸家</t>
    <rPh sb="0" eb="2">
      <t>トンデン</t>
    </rPh>
    <rPh sb="3" eb="4">
      <t>ジョウ</t>
    </rPh>
    <rPh sb="6" eb="8">
      <t>チョウメ</t>
    </rPh>
    <rPh sb="8" eb="10">
      <t>カシヤ</t>
    </rPh>
    <phoneticPr fontId="1"/>
  </si>
  <si>
    <t>札幌市北区屯田7条11丁目10-10</t>
    <rPh sb="0" eb="3">
      <t>サッポロシ</t>
    </rPh>
    <rPh sb="3" eb="5">
      <t>キタク</t>
    </rPh>
    <rPh sb="5" eb="7">
      <t>トンデン</t>
    </rPh>
    <rPh sb="8" eb="9">
      <t>ジョウ</t>
    </rPh>
    <rPh sb="11" eb="13">
      <t>チョウメ</t>
    </rPh>
    <phoneticPr fontId="1"/>
  </si>
  <si>
    <t>赤いマンション北大前</t>
    <rPh sb="0" eb="1">
      <t>アカ</t>
    </rPh>
    <rPh sb="7" eb="9">
      <t>ホクダイ</t>
    </rPh>
    <rPh sb="9" eb="10">
      <t>マエ</t>
    </rPh>
    <phoneticPr fontId="1"/>
  </si>
  <si>
    <t>札幌市北区北１０条西４丁目１−２４</t>
  </si>
  <si>
    <t>呼1016</t>
    <rPh sb="0" eb="1">
      <t>ヨブ</t>
    </rPh>
    <phoneticPr fontId="1"/>
  </si>
  <si>
    <t>北丘珠4条1丁目戸建住宅</t>
    <rPh sb="0" eb="3">
      <t>キタオカダマ</t>
    </rPh>
    <rPh sb="4" eb="5">
      <t>ジョウ</t>
    </rPh>
    <rPh sb="6" eb="8">
      <t>チョウメ</t>
    </rPh>
    <rPh sb="8" eb="10">
      <t>コダ</t>
    </rPh>
    <rPh sb="10" eb="12">
      <t>ジュウタク</t>
    </rPh>
    <phoneticPr fontId="1"/>
  </si>
  <si>
    <t>札幌市北区北丘珠4条1丁目20－12</t>
    <rPh sb="0" eb="3">
      <t>サッポロシ</t>
    </rPh>
    <rPh sb="3" eb="5">
      <t>キタク</t>
    </rPh>
    <rPh sb="5" eb="8">
      <t>キタオカダマ</t>
    </rPh>
    <rPh sb="9" eb="10">
      <t>ジョウ</t>
    </rPh>
    <rPh sb="11" eb="13">
      <t>チョウメ</t>
    </rPh>
    <phoneticPr fontId="1"/>
  </si>
  <si>
    <t>メゾンふじ</t>
  </si>
  <si>
    <t>札幌市北区篠路2条7丁目6－49</t>
  </si>
  <si>
    <t>ＦＩＮＥ　ＢＯＸ</t>
  </si>
  <si>
    <t>札幌市北区北18条西3丁目1-22</t>
    <rPh sb="0" eb="3">
      <t>サッポロシ</t>
    </rPh>
    <phoneticPr fontId="1"/>
  </si>
  <si>
    <t>ボレール</t>
  </si>
  <si>
    <t>札幌市北区屯田6条7丁目4-25</t>
    <rPh sb="0" eb="3">
      <t>サッポロシ</t>
    </rPh>
    <rPh sb="3" eb="5">
      <t>キタク</t>
    </rPh>
    <rPh sb="5" eb="7">
      <t>トンデン</t>
    </rPh>
    <rPh sb="8" eb="9">
      <t>ジョウ</t>
    </rPh>
    <rPh sb="10" eb="12">
      <t>チョウメ</t>
    </rPh>
    <phoneticPr fontId="1"/>
  </si>
  <si>
    <t>札幌市北区北37条西3丁目3-21</t>
  </si>
  <si>
    <t>アブニール</t>
  </si>
  <si>
    <t>札幌市北区屯田6条7丁目4-12</t>
    <rPh sb="0" eb="3">
      <t>サッポロシ</t>
    </rPh>
    <rPh sb="3" eb="5">
      <t>キタク</t>
    </rPh>
    <rPh sb="5" eb="7">
      <t>トンデン</t>
    </rPh>
    <rPh sb="8" eb="9">
      <t>ジョウ</t>
    </rPh>
    <rPh sb="10" eb="12">
      <t>チョウメ</t>
    </rPh>
    <phoneticPr fontId="1"/>
  </si>
  <si>
    <t>TY54</t>
  </si>
  <si>
    <t>札幌市北区新琴似11条16丁目6-15</t>
    <rPh sb="0" eb="3">
      <t>サッポロシ</t>
    </rPh>
    <rPh sb="3" eb="5">
      <t>キタク</t>
    </rPh>
    <rPh sb="5" eb="8">
      <t>シンコトニ</t>
    </rPh>
    <rPh sb="10" eb="11">
      <t>ジョウ</t>
    </rPh>
    <rPh sb="13" eb="15">
      <t>チョウメ</t>
    </rPh>
    <phoneticPr fontId="1"/>
  </si>
  <si>
    <t>シュペリュール</t>
  </si>
  <si>
    <t>札幌市北区屯田6条7丁目4-27</t>
    <rPh sb="0" eb="3">
      <t>サッポロシ</t>
    </rPh>
    <rPh sb="3" eb="5">
      <t>キタク</t>
    </rPh>
    <rPh sb="5" eb="7">
      <t>トンデン</t>
    </rPh>
    <rPh sb="8" eb="9">
      <t>ジョウ</t>
    </rPh>
    <rPh sb="10" eb="12">
      <t>チョウメ</t>
    </rPh>
    <phoneticPr fontId="1"/>
  </si>
  <si>
    <t>クルーザーバレー百合が原パークⅡ</t>
    <rPh sb="8" eb="10">
      <t>ユリ</t>
    </rPh>
    <rPh sb="11" eb="12">
      <t>ハラ</t>
    </rPh>
    <phoneticPr fontId="1"/>
  </si>
  <si>
    <t>札幌市北区百合が原9丁目6-17</t>
  </si>
  <si>
    <t>ヴィラージュN30</t>
  </si>
  <si>
    <t>札幌市北区北30条西3丁目2-8</t>
  </si>
  <si>
    <t>あいの里1条7丁目戸建住宅</t>
    <rPh sb="3" eb="4">
      <t>サト</t>
    </rPh>
    <rPh sb="5" eb="6">
      <t>ジョウ</t>
    </rPh>
    <rPh sb="7" eb="11">
      <t>チョウメコダテ</t>
    </rPh>
    <rPh sb="11" eb="13">
      <t>ジュウタク</t>
    </rPh>
    <phoneticPr fontId="1"/>
  </si>
  <si>
    <t>札幌市北区あいの里1条7丁目15-18</t>
    <rPh sb="0" eb="5">
      <t>サッポロシキタク</t>
    </rPh>
    <rPh sb="8" eb="9">
      <t>サト</t>
    </rPh>
    <rPh sb="10" eb="11">
      <t>ジョウ</t>
    </rPh>
    <rPh sb="12" eb="14">
      <t>チョウメ</t>
    </rPh>
    <phoneticPr fontId="1"/>
  </si>
  <si>
    <t>新川西3条3丁目貸家</t>
    <rPh sb="0" eb="3">
      <t>シンカワニシ</t>
    </rPh>
    <rPh sb="4" eb="5">
      <t>ジョウ</t>
    </rPh>
    <rPh sb="6" eb="8">
      <t>チョウメ</t>
    </rPh>
    <rPh sb="8" eb="10">
      <t>カシヤ</t>
    </rPh>
    <phoneticPr fontId="1"/>
  </si>
  <si>
    <t>札幌市北区新川西3条3丁目9-21</t>
  </si>
  <si>
    <t>札幌市北区新琴似11条16丁目6-15</t>
  </si>
  <si>
    <t>エクセルハイツ</t>
  </si>
  <si>
    <t>札幌市北区太平12条6丁目8-5</t>
    <rPh sb="0" eb="3">
      <t>サッポロシ</t>
    </rPh>
    <rPh sb="3" eb="5">
      <t>キタク</t>
    </rPh>
    <rPh sb="5" eb="7">
      <t>タイヘイ</t>
    </rPh>
    <rPh sb="9" eb="10">
      <t>ジョウ</t>
    </rPh>
    <rPh sb="11" eb="13">
      <t>チョウメ</t>
    </rPh>
    <phoneticPr fontId="1"/>
  </si>
  <si>
    <t>ラ・クラッセ札幌ステーションリネア　</t>
  </si>
  <si>
    <t>札幌市北区北13条西1丁目1-22</t>
  </si>
  <si>
    <t>ダイアパレス栄町中央</t>
    <phoneticPr fontId="9"/>
  </si>
  <si>
    <t>札幌市東区北43条東16丁目2-25</t>
  </si>
  <si>
    <t>シャトレ美香保公園Ⅲ</t>
    <phoneticPr fontId="9"/>
  </si>
  <si>
    <t>札幌市東区北23条東7丁目3-20</t>
  </si>
  <si>
    <t>東苗穂１０条２丁目戸建</t>
    <phoneticPr fontId="9"/>
  </si>
  <si>
    <t>札幌市東区東苗穂10条2丁目9-3</t>
  </si>
  <si>
    <t>クヴェレ15</t>
  </si>
  <si>
    <t>札幌市東区北15条東14丁目2-7</t>
  </si>
  <si>
    <t>グランディーN8</t>
  </si>
  <si>
    <t>札幌市東区北8条東3丁目2-20</t>
  </si>
  <si>
    <t>ブローブラン　</t>
  </si>
  <si>
    <t>札幌市東区北丘珠5条3丁目13-8</t>
  </si>
  <si>
    <t>RAPHLES</t>
  </si>
  <si>
    <t>札幌市東区北30条東2丁目1－12</t>
  </si>
  <si>
    <t>マルサンビルⅡ</t>
  </si>
  <si>
    <t>札幌市東区北23条東7丁目3-10</t>
  </si>
  <si>
    <t>シャトレ美香保公園Ⅱ</t>
  </si>
  <si>
    <t>札幌市東区北23条東7丁目3-6</t>
  </si>
  <si>
    <t>くろだビル</t>
  </si>
  <si>
    <t>札幌市東区北45条東8丁目3－1</t>
  </si>
  <si>
    <t>エスアール元町</t>
    <phoneticPr fontId="9"/>
  </si>
  <si>
    <t>札幌市東区北25条東16丁目3-24</t>
  </si>
  <si>
    <t>呼1016</t>
  </si>
  <si>
    <t>シャトレ美香保公園Ⅰ</t>
  </si>
  <si>
    <t>サニープレイス24</t>
  </si>
  <si>
    <t>札幌市東区北二十四条東15丁目3-14</t>
  </si>
  <si>
    <t>東区北28条東14丁目貸家</t>
    <phoneticPr fontId="9"/>
  </si>
  <si>
    <t>札幌市東区北28条東14丁目2-19</t>
  </si>
  <si>
    <t>北丘珠　RH-10</t>
    <phoneticPr fontId="9"/>
  </si>
  <si>
    <t>札幌市東区北丘珠4条1丁目20-12</t>
  </si>
  <si>
    <t>ヴェルデュール山の手</t>
    <rPh sb="7" eb="8">
      <t>ヤマ</t>
    </rPh>
    <rPh sb="9" eb="10">
      <t>テ</t>
    </rPh>
    <phoneticPr fontId="1"/>
  </si>
  <si>
    <t>札幌市西区山の手4条2丁目1-38</t>
  </si>
  <si>
    <t>♯2191</t>
  </si>
  <si>
    <t>グリーンハイム</t>
  </si>
  <si>
    <t>札幌市西区発寒4条5丁目7-30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</si>
  <si>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ハイツラブリーエイト</t>
  </si>
  <si>
    <t xml:space="preserve">札幌市西区八軒６条東１丁目４−１０ </t>
  </si>
  <si>
    <t>宮ヶ丘アンビシオン　イースト</t>
    <rPh sb="0" eb="3">
      <t>ミヤガオカ</t>
    </rPh>
    <phoneticPr fontId="1"/>
  </si>
  <si>
    <t xml:space="preserve">札幌市西区宮の沢3条4丁目14−13 </t>
  </si>
  <si>
    <t>宮ヶ丘アンビシオン　センター</t>
    <rPh sb="0" eb="3">
      <t>ミヤガオカ</t>
    </rPh>
    <phoneticPr fontId="1"/>
  </si>
  <si>
    <t>札幌市西区宮の沢3条4丁目14−14</t>
  </si>
  <si>
    <t>宮ヶ丘アンビシオン　ウエスト</t>
    <rPh sb="0" eb="3">
      <t>ミヤガオカ</t>
    </rPh>
    <phoneticPr fontId="1"/>
  </si>
  <si>
    <t>札幌市西区宮の沢3条4丁目14−15</t>
  </si>
  <si>
    <t>プラグレスⅡ</t>
  </si>
  <si>
    <t>札幌市西区宮の沢1条3丁目9-11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</si>
  <si>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シェノール札幌</t>
    <rPh sb="5" eb="7">
      <t>サッポロ</t>
    </rPh>
    <phoneticPr fontId="1"/>
  </si>
  <si>
    <t xml:space="preserve">札幌市西区山の手４条１丁目１−３０ </t>
  </si>
  <si>
    <t>シャーメゾンフォレナ発寒</t>
    <rPh sb="10" eb="12">
      <t>ハッサム</t>
    </rPh>
    <phoneticPr fontId="1"/>
  </si>
  <si>
    <t>札幌市西区発寒4条5丁目７－１５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</si>
  <si>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ソラーレ琴似</t>
    <rPh sb="4" eb="6">
      <t>コトニ</t>
    </rPh>
    <phoneticPr fontId="1"/>
  </si>
  <si>
    <t>札幌市西区琴似2条2丁目4－3</t>
    <rPh sb="0" eb="3">
      <t>サッポロシ</t>
    </rPh>
    <rPh sb="3" eb="5">
      <t>ニシク</t>
    </rPh>
    <rPh sb="5" eb="7">
      <t>コトニ</t>
    </rPh>
    <rPh sb="8" eb="9">
      <t>ジョウ</t>
    </rPh>
    <rPh sb="10" eb="12">
      <t>チョウメ</t>
    </rPh>
    <phoneticPr fontId="1"/>
  </si>
  <si>
    <t>プラグレス</t>
  </si>
  <si>
    <t>札幌市西区発寒6条5丁目8-25</t>
  </si>
  <si>
    <t>呼9815</t>
    <rPh sb="0" eb="1">
      <t>ヨブ</t>
    </rPh>
    <phoneticPr fontId="1"/>
  </si>
  <si>
    <t>宮丘公園ヒルズ</t>
    <rPh sb="0" eb="2">
      <t>ミヤオカ</t>
    </rPh>
    <rPh sb="2" eb="4">
      <t>コウエン</t>
    </rPh>
    <phoneticPr fontId="1"/>
  </si>
  <si>
    <t>札幌市西区宮の沢3条4丁目12-6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</si>
  <si>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♯5963</t>
  </si>
  <si>
    <t>宮の沢３条５丁目貸家</t>
    <rPh sb="0" eb="1">
      <t>ミヤ</t>
    </rPh>
    <rPh sb="2" eb="3">
      <t>サワ</t>
    </rPh>
    <rPh sb="4" eb="5">
      <t>ジョウ</t>
    </rPh>
    <rPh sb="6" eb="8">
      <t>チョウメ</t>
    </rPh>
    <rPh sb="8" eb="10">
      <t>カシヤ</t>
    </rPh>
    <phoneticPr fontId="1"/>
  </si>
  <si>
    <t>札幌市西区宮の沢3条5丁目9-11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</si>
  <si>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シャンブル</t>
  </si>
  <si>
    <t>札幌市西区宮の沢2条4丁目4-55</t>
  </si>
  <si>
    <t>呼1234</t>
    <rPh sb="0" eb="1">
      <t>ヨ</t>
    </rPh>
    <phoneticPr fontId="1"/>
  </si>
  <si>
    <t>発寒6条11丁目貸家</t>
    <rPh sb="0" eb="2">
      <t>ハッサム</t>
    </rPh>
    <rPh sb="8" eb="10">
      <t>カシヤ</t>
    </rPh>
    <phoneticPr fontId="1"/>
  </si>
  <si>
    <t>札幌市発寒西区6条11丁目9-26</t>
  </si>
  <si>
    <t>シャーメゾン発寒10.4</t>
    <rPh sb="6" eb="8">
      <t>ハッサム</t>
    </rPh>
    <phoneticPr fontId="1"/>
  </si>
  <si>
    <t>札幌市西区発寒10条4丁目4-5</t>
    <rPh sb="9" eb="10">
      <t>ジョウ</t>
    </rPh>
    <rPh sb="11" eb="13">
      <t>チョウメ</t>
    </rPh>
    <phoneticPr fontId="1"/>
  </si>
  <si>
    <t xml:space="preserve"> トウカイインテリジェントプラザマンション琴似</t>
  </si>
  <si>
    <t>札幌市西区琴似4条5丁目2-20</t>
  </si>
  <si>
    <t>レトアデュエット発寒Ⅱ</t>
    <rPh sb="8" eb="10">
      <t>ハッサム</t>
    </rPh>
    <phoneticPr fontId="1"/>
  </si>
  <si>
    <t>札幌市西区発寒11条2丁目7-45-2</t>
  </si>
  <si>
    <t>コーポ森</t>
    <rPh sb="3" eb="4">
      <t>モリ</t>
    </rPh>
    <phoneticPr fontId="1"/>
  </si>
  <si>
    <t>札幌市西区八軒10条東4丁目2-31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</si>
  <si>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発寒4条7丁目戸建</t>
    <rPh sb="0" eb="2">
      <t>ハッサム</t>
    </rPh>
    <rPh sb="3" eb="4">
      <t>ジョウ</t>
    </rPh>
    <rPh sb="5" eb="7">
      <t>チョウメ</t>
    </rPh>
    <rPh sb="7" eb="9">
      <t>コダテ</t>
    </rPh>
    <phoneticPr fontId="1"/>
  </si>
  <si>
    <t>札幌市西区発寒4条7丁目6-1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</si>
  <si>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クラリス琴似</t>
  </si>
  <si>
    <t>札幌市西区琴似4条5丁目2-11</t>
  </si>
  <si>
    <t>チェリーヒルズ</t>
  </si>
  <si>
    <t>札幌市南区簾舞3条3丁目5-15</t>
    <rPh sb="0" eb="3">
      <t>サッポロシ</t>
    </rPh>
    <rPh sb="3" eb="5">
      <t>ミナミク</t>
    </rPh>
    <rPh sb="5" eb="7">
      <t>ミスマイ</t>
    </rPh>
    <rPh sb="8" eb="9">
      <t>ジョウ</t>
    </rPh>
    <rPh sb="10" eb="12">
      <t>チョウメ</t>
    </rPh>
    <phoneticPr fontId="1"/>
  </si>
  <si>
    <t>Wise　place</t>
  </si>
  <si>
    <t>札幌市南区澄川6条4丁目3－5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</si>
  <si>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澄川6条11丁目戸建住宅</t>
    <rPh sb="0" eb="2">
      <t>スミカワ</t>
    </rPh>
    <rPh sb="3" eb="4">
      <t>ジョウ</t>
    </rPh>
    <rPh sb="6" eb="8">
      <t>チョウメ</t>
    </rPh>
    <rPh sb="8" eb="10">
      <t>コダテ</t>
    </rPh>
    <rPh sb="10" eb="12">
      <t>ジュウタク</t>
    </rPh>
    <phoneticPr fontId="1"/>
  </si>
  <si>
    <t>札幌市南区澄川6条11丁目22-6</t>
    <rPh sb="0" eb="3">
      <t>サッポロシ</t>
    </rPh>
    <rPh sb="3" eb="5">
      <t>ミナミク</t>
    </rPh>
    <rPh sb="5" eb="7">
      <t>スミカワ</t>
    </rPh>
    <rPh sb="8" eb="9">
      <t>ジョウ</t>
    </rPh>
    <rPh sb="11" eb="13">
      <t>チョウメ</t>
    </rPh>
    <phoneticPr fontId="1"/>
  </si>
  <si>
    <t>ライブリー・フォルシチア</t>
  </si>
  <si>
    <t>札幌市南区澄川4条7丁目4-10</t>
  </si>
  <si>
    <t>セイント白石</t>
    <rPh sb="4" eb="6">
      <t>シロイシ</t>
    </rPh>
    <phoneticPr fontId="1"/>
  </si>
  <si>
    <t>ダイアパレス白石</t>
    <rPh sb="6" eb="8">
      <t>シロイシ</t>
    </rPh>
    <phoneticPr fontId="1"/>
  </si>
  <si>
    <t>高橋ビル</t>
    <rPh sb="0" eb="2">
      <t>タカハシ</t>
    </rPh>
    <phoneticPr fontId="1"/>
  </si>
  <si>
    <t>エルムハイツⅠ</t>
  </si>
  <si>
    <t>ニューブリーズ栄通</t>
    <rPh sb="7" eb="9">
      <t>サカエドオリ</t>
    </rPh>
    <phoneticPr fontId="1"/>
  </si>
  <si>
    <t>愛北郷</t>
    <rPh sb="0" eb="3">
      <t>アイキタゴウ</t>
    </rPh>
    <phoneticPr fontId="1"/>
  </si>
  <si>
    <t>栄通21丁目プチパパ</t>
    <rPh sb="0" eb="2">
      <t>サカエドオリ</t>
    </rPh>
    <rPh sb="4" eb="6">
      <t>チョウメ</t>
    </rPh>
    <phoneticPr fontId="1"/>
  </si>
  <si>
    <t>MR壱番館</t>
    <rPh sb="2" eb="5">
      <t>イチバンカン</t>
    </rPh>
    <phoneticPr fontId="1"/>
  </si>
  <si>
    <t>エルムハイツⅡ</t>
  </si>
  <si>
    <t>マンションK</t>
  </si>
  <si>
    <t>エクセレンス白石</t>
    <rPh sb="6" eb="8">
      <t>シロイシ</t>
    </rPh>
    <phoneticPr fontId="1"/>
  </si>
  <si>
    <t>Bright東札幌</t>
  </si>
  <si>
    <t>第二コーポ渥美</t>
    <rPh sb="0" eb="2">
      <t>ダイ2</t>
    </rPh>
    <rPh sb="5" eb="7">
      <t>アツミ</t>
    </rPh>
    <phoneticPr fontId="1"/>
  </si>
  <si>
    <t>グレースコート</t>
  </si>
  <si>
    <t>リバティベル月寒</t>
    <rPh sb="6" eb="8">
      <t>ツキサム</t>
    </rPh>
    <phoneticPr fontId="1"/>
  </si>
  <si>
    <t>札幌市豊平区月寒東1条7丁目5-5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</si>
  <si>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0079</t>
  </si>
  <si>
    <t>クレインパレス平岸</t>
    <rPh sb="7" eb="9">
      <t>ヒラギシ</t>
    </rPh>
    <phoneticPr fontId="1"/>
  </si>
  <si>
    <t xml:space="preserve">札幌市豊平区平岸８条１３丁目１−２２ </t>
  </si>
  <si>
    <t>シルフ月寒</t>
    <rPh sb="3" eb="5">
      <t>ツキサム</t>
    </rPh>
    <phoneticPr fontId="1"/>
  </si>
  <si>
    <t>札幌市豊平区月寒東2条4丁目2-22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</si>
  <si>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呼6004</t>
    <rPh sb="0" eb="1">
      <t>ヨ</t>
    </rPh>
    <phoneticPr fontId="1"/>
  </si>
  <si>
    <t>アンコールトム</t>
  </si>
  <si>
    <t>札幌市豊平区平岸1条9丁目2-15</t>
  </si>
  <si>
    <t>♯0120</t>
  </si>
  <si>
    <t>シャーメゾンフォーバース</t>
  </si>
  <si>
    <t>札幌市豊平区西岡2条10丁目2-36</t>
    <rPh sb="0" eb="3">
      <t>サッポロシ</t>
    </rPh>
    <rPh sb="3" eb="6">
      <t>トヨヒラク</t>
    </rPh>
    <rPh sb="6" eb="8">
      <t>ニシオカ</t>
    </rPh>
    <rPh sb="9" eb="10">
      <t>ジョウ</t>
    </rPh>
    <rPh sb="12" eb="14">
      <t>チョウメ</t>
    </rPh>
    <phoneticPr fontId="1"/>
  </si>
  <si>
    <t>アンコールワット、トム</t>
  </si>
  <si>
    <t>Wise・M</t>
  </si>
  <si>
    <t>札幌市豊平区美園6条6丁目3－18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</si>
  <si>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美園5条7丁目戸建住宅</t>
    <rPh sb="0" eb="2">
      <t>ミソノ</t>
    </rPh>
    <rPh sb="3" eb="4">
      <t>ジョウ</t>
    </rPh>
    <rPh sb="5" eb="7">
      <t>チョウメ</t>
    </rPh>
    <rPh sb="7" eb="9">
      <t>コダ</t>
    </rPh>
    <rPh sb="9" eb="11">
      <t>ジュウタク</t>
    </rPh>
    <phoneticPr fontId="1"/>
  </si>
  <si>
    <t>札幌市豊平区美園5条7丁目3－3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</si>
  <si>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ヴェルデ月寒</t>
    <rPh sb="4" eb="6">
      <t>ツキサム</t>
    </rPh>
    <phoneticPr fontId="1"/>
  </si>
  <si>
    <t>札幌市豊平区月寒中央通4丁目4-18</t>
  </si>
  <si>
    <t>ヒルヴィレッジ西岡</t>
    <rPh sb="7" eb="9">
      <t>ニシオカ</t>
    </rPh>
    <phoneticPr fontId="1"/>
  </si>
  <si>
    <t>札幌市豊平区西岡3条10丁目2-38</t>
    <rPh sb="0" eb="6">
      <t>サッポロシトヨヒラク</t>
    </rPh>
    <rPh sb="6" eb="8">
      <t>ニシオカ</t>
    </rPh>
    <rPh sb="9" eb="10">
      <t>ジョウ</t>
    </rPh>
    <rPh sb="12" eb="14">
      <t>チョウメ</t>
    </rPh>
    <phoneticPr fontId="1"/>
  </si>
  <si>
    <t>ケイ</t>
  </si>
  <si>
    <t>札幌市豊平区平岸2条10丁目3-38</t>
    <rPh sb="0" eb="6">
      <t>サッポロシトヨヒラク</t>
    </rPh>
    <rPh sb="6" eb="8">
      <t>ヒラギシ</t>
    </rPh>
    <rPh sb="9" eb="10">
      <t>ジョウ</t>
    </rPh>
    <rPh sb="12" eb="14">
      <t>チョウメ</t>
    </rPh>
    <phoneticPr fontId="1"/>
  </si>
  <si>
    <t>#5963</t>
  </si>
  <si>
    <t>ＳＡＫＵＲＡ</t>
  </si>
  <si>
    <t>札幌市豊平区月寒東2条6丁目12-9</t>
  </si>
  <si>
    <t>メイユール西岡</t>
    <rPh sb="5" eb="7">
      <t>ニシオカ</t>
    </rPh>
    <phoneticPr fontId="1"/>
  </si>
  <si>
    <t>札幌市豊平区西岡3条11丁目8-2</t>
  </si>
  <si>
    <t>ホワイトヒルハウス</t>
  </si>
  <si>
    <t>札幌市豊平区平岸4条14丁目4-7</t>
  </si>
  <si>
    <t>ボナンザプレイスⅠ</t>
  </si>
  <si>
    <t>札幌市豊平区平岸4条12丁目4-4</t>
  </si>
  <si>
    <t>サンヒルズⅠ</t>
  </si>
  <si>
    <t>札幌市厚別区厚別南4丁目4-22</t>
  </si>
  <si>
    <t>サンヒルズⅡ</t>
  </si>
  <si>
    <t>札幌市厚別区厚別南4丁目4-24</t>
  </si>
  <si>
    <t>サンシティⅠ</t>
  </si>
  <si>
    <t>札幌市厚別区大谷地西1丁目5-32</t>
    <rPh sb="6" eb="9">
      <t>オオヤチ</t>
    </rPh>
    <rPh sb="9" eb="10">
      <t>ニシ</t>
    </rPh>
    <rPh sb="11" eb="13">
      <t>チョウメ</t>
    </rPh>
    <phoneticPr fontId="1"/>
  </si>
  <si>
    <t>呼1051</t>
    <rPh sb="0" eb="1">
      <t>ヨブ</t>
    </rPh>
    <phoneticPr fontId="1"/>
  </si>
  <si>
    <t>シャーメゾンフォーバース2</t>
  </si>
  <si>
    <t>札幌市手稲区前田9条17丁目2-15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</si>
  <si>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アコルデガーデンB棟</t>
    <rPh sb="9" eb="10">
      <t>トウ</t>
    </rPh>
    <phoneticPr fontId="9"/>
  </si>
  <si>
    <t>札幌市手稲区前田9条14丁目1－17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</si>
  <si>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クローバーＢ</t>
  </si>
  <si>
    <t>札幌市手稲区前田七条１８丁目２－２１</t>
  </si>
  <si>
    <t>アコルデガーデンA棟</t>
    <rPh sb="9" eb="10">
      <t>トウ</t>
    </rPh>
    <phoneticPr fontId="9"/>
  </si>
  <si>
    <t>北海道札幌市手稲区前田9条14丁目1-16</t>
  </si>
  <si>
    <t>クローバーA</t>
  </si>
  <si>
    <t>新発寒RH-10</t>
    <phoneticPr fontId="9"/>
  </si>
  <si>
    <t>札幌市手稲区新発寒6条8丁目5-7</t>
  </si>
  <si>
    <t>美しが丘5条6丁目貸家</t>
    <rPh sb="0" eb="1">
      <t>ウツク</t>
    </rPh>
    <rPh sb="3" eb="4">
      <t>オカ</t>
    </rPh>
    <rPh sb="5" eb="6">
      <t>ジョウ</t>
    </rPh>
    <rPh sb="7" eb="9">
      <t>チョウメ</t>
    </rPh>
    <rPh sb="9" eb="11">
      <t>カシヤ</t>
    </rPh>
    <phoneticPr fontId="1"/>
  </si>
  <si>
    <t>札幌市清田区美しが丘5条6丁目9-17</t>
    <rPh sb="0" eb="3">
      <t>サッポロシ</t>
    </rPh>
    <rPh sb="3" eb="6">
      <t>キヨタク</t>
    </rPh>
    <rPh sb="6" eb="7">
      <t>ウツク</t>
    </rPh>
    <rPh sb="9" eb="10">
      <t>オカ</t>
    </rPh>
    <rPh sb="11" eb="12">
      <t>ジョウ</t>
    </rPh>
    <rPh sb="13" eb="15">
      <t>チョウメ</t>
    </rPh>
    <phoneticPr fontId="1"/>
  </si>
  <si>
    <t>マイルストーン里塚A棟</t>
    <rPh sb="7" eb="9">
      <t>サトヅカ</t>
    </rPh>
    <rPh sb="10" eb="11">
      <t>トウ</t>
    </rPh>
    <phoneticPr fontId="1"/>
  </si>
  <si>
    <t>札幌市清田区里塚1条2丁目16-19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</si>
  <si>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マイルストーン里塚B棟</t>
    <rPh sb="7" eb="9">
      <t>サトヅカ</t>
    </rPh>
    <rPh sb="10" eb="11">
      <t>トウ</t>
    </rPh>
    <phoneticPr fontId="1"/>
  </si>
  <si>
    <t>札幌市清田区里塚1条2丁目16-18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</si>
  <si>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マイルストーン里塚C棟</t>
    <rPh sb="7" eb="9">
      <t>サトヅカ</t>
    </rPh>
    <rPh sb="10" eb="11">
      <t>トウ</t>
    </rPh>
    <phoneticPr fontId="1"/>
  </si>
  <si>
    <t>札幌市清田区里塚1条2丁目16-17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</si>
  <si>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マイルストーン里塚D棟</t>
    <rPh sb="7" eb="9">
      <t>サトヅカ</t>
    </rPh>
    <rPh sb="10" eb="11">
      <t>トウ</t>
    </rPh>
    <phoneticPr fontId="1"/>
  </si>
  <si>
    <t>札幌市清田区里塚1条2丁目16-20</t>
    <rPh sb="0" eb="3">
      <t>サッポロシ</t>
    </rPh>
    <rPh sb="3" eb="6">
      <t>キヨタク</t>
    </rPh>
    <rPh sb="6" eb="8">
      <t>サトヅカ</t>
    </rPh>
    <rPh sb="9" eb="10">
      <t>ジョウ</t>
    </rPh>
    <rPh sb="11" eb="13">
      <t>チョウメ</t>
    </rPh>
    <phoneticPr fontId="1"/>
  </si>
  <si>
    <t>CLUB-AT</t>
  </si>
  <si>
    <t>札幌市清田区北野三条３丁目１－２８</t>
  </si>
  <si>
    <t>アーバンハイツ羊ヶ丘Ⅰ</t>
  </si>
  <si>
    <t>札幌市清田区清田4条1丁目3-2</t>
  </si>
  <si>
    <t xml:space="preserve"> AL-呼0126</t>
    <rPh sb="4" eb="5">
      <t>ヨ</t>
    </rPh>
    <phoneticPr fontId="1"/>
  </si>
  <si>
    <t>アーバンハイツ羊ヶ丘Ⅱ</t>
  </si>
  <si>
    <t>札幌市清田区清田4条1丁目3-1</t>
  </si>
  <si>
    <t>アーバンハイツ羊ヶ丘Ⅲ</t>
    <rPh sb="7" eb="10">
      <t>ヒツジガオカ</t>
    </rPh>
    <phoneticPr fontId="1"/>
  </si>
  <si>
    <t>札幌市清田区清田4条1丁目3-8</t>
  </si>
  <si>
    <t>サンフォーレスト</t>
  </si>
  <si>
    <t>ハイツユートピア</t>
  </si>
  <si>
    <t>北広島市朝日町3丁目5-1</t>
  </si>
  <si>
    <t>プチポアン</t>
  </si>
  <si>
    <t>夕張郡長沼町銀座南1丁目1-4</t>
    <rPh sb="0" eb="3">
      <t>ユウバリグン</t>
    </rPh>
    <rPh sb="3" eb="6">
      <t>ナガヌマチョウ</t>
    </rPh>
    <rPh sb="6" eb="9">
      <t>ギンザミナミ</t>
    </rPh>
    <rPh sb="10" eb="12">
      <t>チョウメ</t>
    </rPh>
    <phoneticPr fontId="1"/>
  </si>
  <si>
    <t>ピースオブマインド恵庭</t>
  </si>
  <si>
    <t>北広島市稲穂町東5丁目2-2</t>
    <rPh sb="4" eb="7">
      <t>イナホチョウ</t>
    </rPh>
    <rPh sb="7" eb="8">
      <t>ヒガシ</t>
    </rPh>
    <rPh sb="9" eb="11">
      <t>チョウメ</t>
    </rPh>
    <phoneticPr fontId="1"/>
  </si>
  <si>
    <t>フォルシュA</t>
  </si>
  <si>
    <t>恵庭市相生町1-1-16</t>
  </si>
  <si>
    <t>千歳朝日プチパパA棟</t>
    <rPh sb="9" eb="10">
      <t>トウ</t>
    </rPh>
    <phoneticPr fontId="1"/>
  </si>
  <si>
    <t>滝川市東町6丁目1-23</t>
    <rPh sb="0" eb="3">
      <t>タキカワシ</t>
    </rPh>
    <rPh sb="3" eb="5">
      <t>ヒガシマチ</t>
    </rPh>
    <rPh sb="6" eb="8">
      <t>チョウメ</t>
    </rPh>
    <phoneticPr fontId="1"/>
  </si>
  <si>
    <t>花川南8-1戸建</t>
    <rPh sb="0" eb="2">
      <t>ハナカワ</t>
    </rPh>
    <rPh sb="2" eb="3">
      <t>ミナミ</t>
    </rPh>
    <rPh sb="6" eb="8">
      <t>コダテ</t>
    </rPh>
    <phoneticPr fontId="1"/>
  </si>
  <si>
    <t>千歳市朝日町5丁目1-2</t>
  </si>
  <si>
    <t>千歳朝日プチパパⅡ</t>
    <rPh sb="0" eb="4">
      <t>チトセアサヒ</t>
    </rPh>
    <phoneticPr fontId="1"/>
  </si>
  <si>
    <t>石狩市花川南8条1丁目50</t>
    <rPh sb="0" eb="3">
      <t>イシカリシ</t>
    </rPh>
    <rPh sb="3" eb="6">
      <t>ハナカワミナミ</t>
    </rPh>
    <rPh sb="7" eb="8">
      <t>ジョウ</t>
    </rPh>
    <rPh sb="9" eb="11">
      <t>チョウメ</t>
    </rPh>
    <phoneticPr fontId="1"/>
  </si>
  <si>
    <t>恵庭市美咲野３丁目2-7　貸家</t>
  </si>
  <si>
    <t>千歳市朝日町３丁目１−２</t>
  </si>
  <si>
    <t>千歳朝日プチパパB棟</t>
    <rPh sb="9" eb="10">
      <t>トウ</t>
    </rPh>
    <phoneticPr fontId="1"/>
  </si>
  <si>
    <t>恵庭市美咲野３丁目2-7　</t>
  </si>
  <si>
    <t>住み処田村</t>
  </si>
  <si>
    <t>恵庭市住吉町１丁目７－１７</t>
  </si>
  <si>
    <t>AL</t>
    <phoneticPr fontId="3"/>
  </si>
  <si>
    <t>ジョイナー</t>
    <phoneticPr fontId="3"/>
  </si>
  <si>
    <t>管理会社</t>
    <rPh sb="0" eb="4">
      <t>カンリガイシャ</t>
    </rPh>
    <phoneticPr fontId="3"/>
  </si>
  <si>
    <t>INOVE札幌資生館前</t>
  </si>
  <si>
    <t>札幌市中央区南4条西8丁目2-1-3</t>
  </si>
  <si>
    <t>呼0129</t>
  </si>
  <si>
    <t>INOVE札幌大通南</t>
  </si>
  <si>
    <t>札幌市中央区南3条東3丁目18-6</t>
  </si>
  <si>
    <t>INOVE札幌中島公園</t>
  </si>
  <si>
    <t>札幌市中央区南8条西1丁目13-18</t>
  </si>
  <si>
    <t>0832E</t>
  </si>
  <si>
    <t>INOVE札幌南7条Ⅱ</t>
  </si>
  <si>
    <t>呼8076　</t>
  </si>
  <si>
    <t>INOVE札幌南4条</t>
  </si>
  <si>
    <t xml:space="preserve">札幌市中央区南4条西13丁目1-23 </t>
  </si>
  <si>
    <t>INOVE札幌南7条Ⅰ</t>
  </si>
  <si>
    <t>呼0178　</t>
  </si>
  <si>
    <t>INOVE札幌南7条Ⅲ</t>
  </si>
  <si>
    <t>呼0622　</t>
  </si>
  <si>
    <t>cross中島公園</t>
  </si>
  <si>
    <t>呼5223</t>
  </si>
  <si>
    <t>cross南5条</t>
  </si>
  <si>
    <t>札幌市中央区南5条西9丁目1008-14</t>
  </si>
  <si>
    <t>INOVE札幌北16条</t>
    <rPh sb="5" eb="7">
      <t>サッポロ</t>
    </rPh>
    <rPh sb="7" eb="8">
      <t>キタ</t>
    </rPh>
    <rPh sb="10" eb="11">
      <t>ジョウ</t>
    </rPh>
    <phoneticPr fontId="1"/>
  </si>
  <si>
    <t>札幌市東区北16条東10丁目7-1</t>
  </si>
  <si>
    <t>INOVE札幌北15条A</t>
    <rPh sb="5" eb="7">
      <t>サッポロ</t>
    </rPh>
    <rPh sb="7" eb="8">
      <t>キタ</t>
    </rPh>
    <rPh sb="10" eb="11">
      <t>ジョウ</t>
    </rPh>
    <phoneticPr fontId="1"/>
  </si>
  <si>
    <t>札幌市東区北15条東18丁目1-27</t>
  </si>
  <si>
    <t>INOVE札幌環状通東</t>
    <rPh sb="5" eb="7">
      <t>サッポロ</t>
    </rPh>
    <rPh sb="7" eb="11">
      <t>カンジョウドオリヒガシ</t>
    </rPh>
    <phoneticPr fontId="1"/>
  </si>
  <si>
    <t>札幌市東区北14条東14丁目2-1</t>
  </si>
  <si>
    <t>呼1414</t>
  </si>
  <si>
    <t>INOVE札幌北15条B</t>
    <rPh sb="5" eb="7">
      <t>サッポロ</t>
    </rPh>
    <rPh sb="7" eb="8">
      <t>キタ</t>
    </rPh>
    <rPh sb="10" eb="11">
      <t>ジョウ</t>
    </rPh>
    <phoneticPr fontId="1"/>
  </si>
  <si>
    <t>INOVE東札幌</t>
    <rPh sb="5" eb="8">
      <t>ヒガシサッポロ</t>
    </rPh>
    <phoneticPr fontId="1"/>
  </si>
  <si>
    <t>札幌市白石区東札幌4条4丁目2-15</t>
  </si>
  <si>
    <t>INOVE札幌平岸2条</t>
    <rPh sb="5" eb="7">
      <t>サッポロ</t>
    </rPh>
    <rPh sb="7" eb="9">
      <t>ヒラギシ</t>
    </rPh>
    <rPh sb="10" eb="11">
      <t>ジョウ</t>
    </rPh>
    <phoneticPr fontId="1"/>
  </si>
  <si>
    <t>札幌市豊平区平岸2条2丁目3-43</t>
  </si>
  <si>
    <t>INOVE豊平公園</t>
    <rPh sb="5" eb="9">
      <t>トヨヒラコウエン</t>
    </rPh>
    <phoneticPr fontId="1"/>
  </si>
  <si>
    <t>INOVE札幌清田</t>
    <rPh sb="5" eb="7">
      <t>サッポロ</t>
    </rPh>
    <rPh sb="7" eb="9">
      <t>キヨタ</t>
    </rPh>
    <phoneticPr fontId="1"/>
  </si>
  <si>
    <t>札幌市清田区清田2条2丁目1-1</t>
  </si>
  <si>
    <t>※2211呼</t>
  </si>
  <si>
    <t>呼9080</t>
    <rPh sb="0" eb="1">
      <t>ヨ</t>
    </rPh>
    <phoneticPr fontId="3"/>
  </si>
  <si>
    <t xml:space="preserve"> </t>
    <phoneticPr fontId="3"/>
  </si>
  <si>
    <t>発注書作成</t>
    <rPh sb="0" eb="3">
      <t>ハッチュウショ</t>
    </rPh>
    <rPh sb="3" eb="5">
      <t>サクセイ</t>
    </rPh>
    <phoneticPr fontId="3"/>
  </si>
  <si>
    <t>会社名</t>
    <rPh sb="0" eb="3">
      <t>カイシャメイ</t>
    </rPh>
    <phoneticPr fontId="3"/>
  </si>
  <si>
    <t>インテリアヒサスエ</t>
    <phoneticPr fontId="3"/>
  </si>
  <si>
    <t>株式会社 小倉クロス</t>
    <rPh sb="0" eb="4">
      <t>カブシキガイシャ</t>
    </rPh>
    <rPh sb="5" eb="7">
      <t>オグラ</t>
    </rPh>
    <phoneticPr fontId="3"/>
  </si>
  <si>
    <t>株式会社 上坂紙店</t>
    <rPh sb="0" eb="4">
      <t>カブシキガイシャ</t>
    </rPh>
    <rPh sb="5" eb="9">
      <t>コウサカカミテン</t>
    </rPh>
    <phoneticPr fontId="3"/>
  </si>
  <si>
    <t>シンコール 株式会社</t>
    <rPh sb="6" eb="10">
      <t>カブシキガイシャ</t>
    </rPh>
    <phoneticPr fontId="3"/>
  </si>
  <si>
    <t>新規発注書</t>
    <rPh sb="0" eb="5">
      <t>シンキハッチュウショ</t>
    </rPh>
    <phoneticPr fontId="3"/>
  </si>
  <si>
    <t>山本内装</t>
    <rPh sb="0" eb="4">
      <t>ヤマモトナイソウ</t>
    </rPh>
    <phoneticPr fontId="3"/>
  </si>
  <si>
    <t>NAKANO</t>
    <phoneticPr fontId="3"/>
  </si>
  <si>
    <t>ドリームインテリア</t>
    <phoneticPr fontId="3"/>
  </si>
  <si>
    <t>原　価　計　算　書</t>
    <phoneticPr fontId="9"/>
  </si>
  <si>
    <t>現場名</t>
    <phoneticPr fontId="9"/>
  </si>
  <si>
    <t>実行予算</t>
    <phoneticPr fontId="9"/>
  </si>
  <si>
    <t>取引先</t>
    <rPh sb="0" eb="2">
      <t>トリヒキ</t>
    </rPh>
    <rPh sb="2" eb="3">
      <t>サキ</t>
    </rPh>
    <phoneticPr fontId="9"/>
  </si>
  <si>
    <t>自社作業</t>
    <rPh sb="0" eb="4">
      <t>ジシャサギョウ</t>
    </rPh>
    <phoneticPr fontId="9"/>
  </si>
  <si>
    <t>商品名</t>
    <phoneticPr fontId="9"/>
  </si>
  <si>
    <t>作業者</t>
    <rPh sb="0" eb="3">
      <t>サギョウシャ</t>
    </rPh>
    <phoneticPr fontId="9"/>
  </si>
  <si>
    <t>金額</t>
    <phoneticPr fontId="9"/>
  </si>
  <si>
    <t>吉田</t>
    <rPh sb="0" eb="2">
      <t>ヨシダ</t>
    </rPh>
    <phoneticPr fontId="9"/>
  </si>
  <si>
    <t>羽賀</t>
    <rPh sb="0" eb="2">
      <t>ハガ</t>
    </rPh>
    <phoneticPr fontId="9"/>
  </si>
  <si>
    <t>吉田・羽賀</t>
    <rPh sb="0" eb="2">
      <t>ヨシダ</t>
    </rPh>
    <rPh sb="3" eb="5">
      <t>ハガ</t>
    </rPh>
    <phoneticPr fontId="9"/>
  </si>
  <si>
    <t>町田</t>
    <rPh sb="0" eb="2">
      <t>マチダ</t>
    </rPh>
    <phoneticPr fontId="9"/>
  </si>
  <si>
    <t>佐々木</t>
    <rPh sb="0" eb="3">
      <t>ササキ</t>
    </rPh>
    <phoneticPr fontId="9"/>
  </si>
  <si>
    <t>計</t>
    <phoneticPr fontId="9"/>
  </si>
  <si>
    <t>業者手間（職人）</t>
    <rPh sb="0" eb="2">
      <t>ギョウシャ</t>
    </rPh>
    <rPh sb="2" eb="4">
      <t>テマ</t>
    </rPh>
    <rPh sb="5" eb="7">
      <t>ショクニン</t>
    </rPh>
    <phoneticPr fontId="9"/>
  </si>
  <si>
    <t>支払先</t>
    <phoneticPr fontId="9"/>
  </si>
  <si>
    <t>計</t>
    <rPh sb="0" eb="1">
      <t>ケイ</t>
    </rPh>
    <phoneticPr fontId="9"/>
  </si>
  <si>
    <t>業者購入（問屋）</t>
    <rPh sb="0" eb="2">
      <t>ギョウシャ</t>
    </rPh>
    <rPh sb="2" eb="4">
      <t>コウニュウ</t>
    </rPh>
    <rPh sb="5" eb="7">
      <t>トンヤ</t>
    </rPh>
    <phoneticPr fontId="9"/>
  </si>
  <si>
    <t>資材購入（店頭・インターネット）</t>
    <rPh sb="0" eb="2">
      <t>シザイ</t>
    </rPh>
    <rPh sb="2" eb="4">
      <t>コウニュウ</t>
    </rPh>
    <rPh sb="5" eb="7">
      <t>テントウ</t>
    </rPh>
    <phoneticPr fontId="9"/>
  </si>
  <si>
    <t>購入日</t>
    <rPh sb="0" eb="3">
      <t>コウニュウビ</t>
    </rPh>
    <phoneticPr fontId="9"/>
  </si>
  <si>
    <t>購入場所</t>
    <rPh sb="0" eb="4">
      <t>コウニュウバショ</t>
    </rPh>
    <phoneticPr fontId="9"/>
  </si>
  <si>
    <t>税込金額記入</t>
    <rPh sb="0" eb="4">
      <t>ゼイコミキンガク</t>
    </rPh>
    <rPh sb="4" eb="6">
      <t>キニュウ</t>
    </rPh>
    <phoneticPr fontId="9"/>
  </si>
  <si>
    <t>単価に税抜反映されます</t>
    <rPh sb="0" eb="2">
      <t>タンカ</t>
    </rPh>
    <rPh sb="3" eb="5">
      <t>ゼイヌキ</t>
    </rPh>
    <rPh sb="5" eb="7">
      <t>ハンエイ</t>
    </rPh>
    <phoneticPr fontId="9"/>
  </si>
  <si>
    <t>ゴミ処理・コインパーキング料金</t>
    <rPh sb="2" eb="4">
      <t>ショリ</t>
    </rPh>
    <rPh sb="13" eb="15">
      <t>リョウキン</t>
    </rPh>
    <phoneticPr fontId="9"/>
  </si>
  <si>
    <t>ゴミ処理費</t>
    <rPh sb="2" eb="5">
      <t>ショリヒ</t>
    </rPh>
    <phoneticPr fontId="9"/>
  </si>
  <si>
    <t>式</t>
    <rPh sb="0" eb="1">
      <t>シキ</t>
    </rPh>
    <phoneticPr fontId="9"/>
  </si>
  <si>
    <t>コインパーキング</t>
    <phoneticPr fontId="9"/>
  </si>
  <si>
    <t>原価金額</t>
    <rPh sb="0" eb="2">
      <t>ゲンカ</t>
    </rPh>
    <phoneticPr fontId="9"/>
  </si>
  <si>
    <t>利益金額</t>
    <phoneticPr fontId="9"/>
  </si>
  <si>
    <t>利益率</t>
    <phoneticPr fontId="9"/>
  </si>
  <si>
    <t>％</t>
    <phoneticPr fontId="9"/>
  </si>
  <si>
    <t>業者支払</t>
    <rPh sb="0" eb="2">
      <t>ギョウシャ</t>
    </rPh>
    <rPh sb="2" eb="4">
      <t>シハライ</t>
    </rPh>
    <phoneticPr fontId="9"/>
  </si>
  <si>
    <t>資材費</t>
    <rPh sb="0" eb="2">
      <t>シザイ</t>
    </rPh>
    <rPh sb="2" eb="3">
      <t>ヒ</t>
    </rPh>
    <phoneticPr fontId="9"/>
  </si>
  <si>
    <t>日付</t>
    <rPh sb="0" eb="2">
      <t>ヒヅケ</t>
    </rPh>
    <phoneticPr fontId="3"/>
  </si>
  <si>
    <t>担当者</t>
    <rPh sb="0" eb="3">
      <t>タントウシャ</t>
    </rPh>
    <phoneticPr fontId="3"/>
  </si>
  <si>
    <t>坂下</t>
    <rPh sb="0" eb="2">
      <t>サカシタ</t>
    </rPh>
    <phoneticPr fontId="3"/>
  </si>
  <si>
    <t>町田</t>
    <rPh sb="0" eb="2">
      <t>マチダ</t>
    </rPh>
    <phoneticPr fontId="3"/>
  </si>
  <si>
    <t>佐々木</t>
    <rPh sb="0" eb="3">
      <t>ササキ</t>
    </rPh>
    <phoneticPr fontId="3"/>
  </si>
  <si>
    <t>物件名　</t>
    <rPh sb="0" eb="2">
      <t>ブッケン</t>
    </rPh>
    <rPh sb="2" eb="3">
      <t>メイ</t>
    </rPh>
    <phoneticPr fontId="9"/>
  </si>
  <si>
    <t>発効日</t>
    <rPh sb="0" eb="3">
      <t>ハッコウビ</t>
    </rPh>
    <phoneticPr fontId="9"/>
  </si>
  <si>
    <t>メニューへ戻る</t>
    <rPh sb="5" eb="6">
      <t>モド</t>
    </rPh>
    <phoneticPr fontId="9"/>
  </si>
  <si>
    <t>居間</t>
    <rPh sb="0" eb="2">
      <t>イマ</t>
    </rPh>
    <phoneticPr fontId="9"/>
  </si>
  <si>
    <t>（m)</t>
    <phoneticPr fontId="9"/>
  </si>
  <si>
    <t>合計</t>
    <rPh sb="0" eb="2">
      <t>ゴウケイ</t>
    </rPh>
    <phoneticPr fontId="9"/>
  </si>
  <si>
    <t>手前
(右)</t>
    <rPh sb="0" eb="2">
      <t>テマエ</t>
    </rPh>
    <rPh sb="4" eb="5">
      <t>ミギ</t>
    </rPh>
    <phoneticPr fontId="9"/>
  </si>
  <si>
    <t>中</t>
    <rPh sb="0" eb="1">
      <t>チュウ</t>
    </rPh>
    <phoneticPr fontId="9"/>
  </si>
  <si>
    <t>奥
(左)</t>
    <rPh sb="0" eb="1">
      <t>オク</t>
    </rPh>
    <rPh sb="3" eb="4">
      <t>ヒダリ</t>
    </rPh>
    <phoneticPr fontId="9"/>
  </si>
  <si>
    <t>和室</t>
    <rPh sb="0" eb="2">
      <t>ワシツ</t>
    </rPh>
    <phoneticPr fontId="9"/>
  </si>
  <si>
    <t>天井</t>
    <rPh sb="0" eb="2">
      <t>テンジョウ</t>
    </rPh>
    <phoneticPr fontId="9"/>
  </si>
  <si>
    <t>見積書へ戻る</t>
    <rPh sb="0" eb="3">
      <t>ミツモリショ</t>
    </rPh>
    <rPh sb="4" eb="5">
      <t>モド</t>
    </rPh>
    <phoneticPr fontId="9"/>
  </si>
  <si>
    <t>発注書へ戻る</t>
    <rPh sb="0" eb="3">
      <t>ハッチュウショ</t>
    </rPh>
    <rPh sb="4" eb="5">
      <t>モド</t>
    </rPh>
    <phoneticPr fontId="9"/>
  </si>
  <si>
    <t>収納
天井</t>
    <rPh sb="0" eb="2">
      <t>シュウノウ</t>
    </rPh>
    <rPh sb="3" eb="5">
      <t>テンジョウ</t>
    </rPh>
    <phoneticPr fontId="9"/>
  </si>
  <si>
    <t>×1.1</t>
    <phoneticPr fontId="9"/>
  </si>
  <si>
    <t>ｍ</t>
    <phoneticPr fontId="9"/>
  </si>
  <si>
    <t>㎡</t>
    <phoneticPr fontId="9"/>
  </si>
  <si>
    <t>㎡×0.85</t>
    <phoneticPr fontId="9"/>
  </si>
  <si>
    <t>壁</t>
    <rPh sb="0" eb="1">
      <t>カベ</t>
    </rPh>
    <phoneticPr fontId="9"/>
  </si>
  <si>
    <t>収納</t>
    <rPh sb="0" eb="2">
      <t>シュウノウ</t>
    </rPh>
    <phoneticPr fontId="9"/>
  </si>
  <si>
    <t>収納
壁</t>
    <rPh sb="0" eb="2">
      <t>シュウノウ</t>
    </rPh>
    <rPh sb="3" eb="4">
      <t>カベ</t>
    </rPh>
    <phoneticPr fontId="9"/>
  </si>
  <si>
    <t>#1000</t>
    <phoneticPr fontId="9"/>
  </si>
  <si>
    <t>リピ</t>
    <phoneticPr fontId="9"/>
  </si>
  <si>
    <t>台所</t>
    <rPh sb="0" eb="2">
      <t>ダイドコロ</t>
    </rPh>
    <phoneticPr fontId="9"/>
  </si>
  <si>
    <t>UT</t>
    <phoneticPr fontId="9"/>
  </si>
  <si>
    <t>トイレ</t>
    <phoneticPr fontId="9"/>
  </si>
  <si>
    <t>玄関</t>
    <rPh sb="0" eb="2">
      <t>ゲンカン</t>
    </rPh>
    <phoneticPr fontId="9"/>
  </si>
  <si>
    <t>＃1000</t>
    <phoneticPr fontId="9"/>
  </si>
  <si>
    <t>見積用平米数</t>
    <rPh sb="0" eb="3">
      <t>ミツモリヨウ</t>
    </rPh>
    <rPh sb="3" eb="5">
      <t>ヘイベイ</t>
    </rPh>
    <rPh sb="5" eb="6">
      <t>スウ</t>
    </rPh>
    <phoneticPr fontId="9"/>
  </si>
  <si>
    <t>手(右)</t>
    <rPh sb="0" eb="1">
      <t>テ</t>
    </rPh>
    <rPh sb="2" eb="3">
      <t>ミギ</t>
    </rPh>
    <phoneticPr fontId="9"/>
  </si>
  <si>
    <t>中(左)</t>
    <rPh sb="0" eb="1">
      <t>ナカ</t>
    </rPh>
    <rPh sb="2" eb="3">
      <t>ヒダリ</t>
    </rPh>
    <phoneticPr fontId="9"/>
  </si>
  <si>
    <t>奥</t>
    <rPh sb="0" eb="1">
      <t>オク</t>
    </rPh>
    <phoneticPr fontId="9"/>
  </si>
  <si>
    <t>床</t>
    <rPh sb="0" eb="1">
      <t>ユカ</t>
    </rPh>
    <phoneticPr fontId="9"/>
  </si>
  <si>
    <t>見積用</t>
    <rPh sb="0" eb="2">
      <t>ミツモリ</t>
    </rPh>
    <rPh sb="2" eb="3">
      <t>ヨウ</t>
    </rPh>
    <phoneticPr fontId="9"/>
  </si>
  <si>
    <t>㎡計</t>
    <rPh sb="1" eb="2">
      <t>ケイ</t>
    </rPh>
    <phoneticPr fontId="9"/>
  </si>
  <si>
    <t>㎡計×1.8</t>
    <rPh sb="1" eb="2">
      <t>ケイ</t>
    </rPh>
    <phoneticPr fontId="9"/>
  </si>
  <si>
    <t>WC</t>
    <phoneticPr fontId="9"/>
  </si>
  <si>
    <t>土間</t>
    <rPh sb="0" eb="2">
      <t>ドマ</t>
    </rPh>
    <phoneticPr fontId="9"/>
  </si>
  <si>
    <t>使用材料</t>
    <rPh sb="0" eb="2">
      <t>シヨウ</t>
    </rPh>
    <rPh sb="2" eb="4">
      <t>ザイリョウ</t>
    </rPh>
    <phoneticPr fontId="9"/>
  </si>
  <si>
    <t>ｍ計</t>
    <rPh sb="1" eb="2">
      <t>ケイ</t>
    </rPh>
    <phoneticPr fontId="9"/>
  </si>
  <si>
    <t>見切り
必要箇所</t>
    <rPh sb="0" eb="2">
      <t>ミキ</t>
    </rPh>
    <rPh sb="4" eb="8">
      <t>ヒツヨウカショ</t>
    </rPh>
    <phoneticPr fontId="9"/>
  </si>
  <si>
    <t>巾木</t>
    <rPh sb="0" eb="2">
      <t>ハバキ</t>
    </rPh>
    <phoneticPr fontId="9"/>
  </si>
  <si>
    <t>枚</t>
    <rPh sb="0" eb="1">
      <t>マイ</t>
    </rPh>
    <phoneticPr fontId="9"/>
  </si>
  <si>
    <t>巾木
合計</t>
    <rPh sb="0" eb="2">
      <t>ハバキ</t>
    </rPh>
    <rPh sb="3" eb="5">
      <t>ゴウケイ</t>
    </rPh>
    <phoneticPr fontId="9"/>
  </si>
  <si>
    <t>実寸</t>
    <rPh sb="0" eb="2">
      <t>ジッスン</t>
    </rPh>
    <phoneticPr fontId="9"/>
  </si>
  <si>
    <t>株式会社B・M・G</t>
  </si>
  <si>
    <t>郵便番号</t>
    <rPh sb="0" eb="4">
      <t>ユウビンバンゴウ</t>
    </rPh>
    <phoneticPr fontId="3"/>
  </si>
  <si>
    <t>札幌市北区北10条西4丁目1-24</t>
    <phoneticPr fontId="3"/>
  </si>
  <si>
    <t>〒001-0010　</t>
  </si>
  <si>
    <t>北海道札幌市中央区南4条西8丁目-2</t>
    <phoneticPr fontId="3"/>
  </si>
  <si>
    <t>物件</t>
    <rPh sb="0" eb="2">
      <t>ブッケン</t>
    </rPh>
    <phoneticPr fontId="3"/>
  </si>
  <si>
    <t>INOVE札幌資生館前３A　</t>
  </si>
  <si>
    <t>赤いマンション北大前1階</t>
    <rPh sb="0" eb="1">
      <t>アカ</t>
    </rPh>
    <rPh sb="7" eb="10">
      <t>ホクダイマエ</t>
    </rPh>
    <rPh sb="11" eb="12">
      <t>カイ</t>
    </rPh>
    <phoneticPr fontId="3"/>
  </si>
  <si>
    <t>札幌市中央区南28条西8丁目1-17</t>
  </si>
  <si>
    <t>〒064-0928　</t>
  </si>
  <si>
    <t>〒001-0010　</t>
    <phoneticPr fontId="3"/>
  </si>
  <si>
    <t>〒064-0804</t>
    <phoneticPr fontId="3"/>
  </si>
  <si>
    <t>〒062-0931　</t>
  </si>
  <si>
    <t>札幌市豊平区平岸1条12丁目1-45</t>
    <phoneticPr fontId="3"/>
  </si>
  <si>
    <t>〒 080-0052　　</t>
  </si>
  <si>
    <t>帯広市新町東2丁目5番地3</t>
  </si>
  <si>
    <t>〒006-0806</t>
  </si>
  <si>
    <t>札幌市手稲区手稲山口624</t>
  </si>
  <si>
    <t>〒 065-0016</t>
    <phoneticPr fontId="3"/>
  </si>
  <si>
    <t>札幌市東区北16条東16丁目3番26号</t>
  </si>
  <si>
    <t>〒065-0024</t>
    <phoneticPr fontId="3"/>
  </si>
  <si>
    <t>札幌市東区北24条東9丁目1-31</t>
    <phoneticPr fontId="3"/>
  </si>
  <si>
    <t>〒002-8053</t>
    <phoneticPr fontId="3"/>
  </si>
  <si>
    <t>札幌市北区篠路町篠路444番地33　</t>
    <phoneticPr fontId="3"/>
  </si>
  <si>
    <t>小倉クロス</t>
    <rPh sb="0" eb="2">
      <t>オグラ</t>
    </rPh>
    <phoneticPr fontId="3"/>
  </si>
  <si>
    <t>品名</t>
  </si>
  <si>
    <t>単位</t>
  </si>
  <si>
    <t>新単価</t>
  </si>
  <si>
    <t>備考</t>
  </si>
  <si>
    <t>クロス (#1000) サンゲツ・リリカラ</t>
  </si>
  <si>
    <t>m</t>
  </si>
  <si>
    <t>クロス (#500) サンゲツ・リリカラ</t>
  </si>
  <si>
    <t>住宅用CF サンゲツ・リリカラ</t>
  </si>
  <si>
    <t>店舗用CF（1.82m巾）サンゲツ</t>
  </si>
  <si>
    <t>ソフト巾木 (H-40/60) ケース売</t>
  </si>
  <si>
    <t>枚</t>
  </si>
  <si>
    <t>ソフト巾木 (H-60) バラ</t>
  </si>
  <si>
    <t>ソフト巾木 (H-75) ケース売</t>
  </si>
  <si>
    <t>ソフト巾木 (H-75) バラ</t>
  </si>
  <si>
    <t>ソフト巾木 (H-100) バラ</t>
  </si>
  <si>
    <t>ソフト巾木 (H-100) ケース売</t>
  </si>
  <si>
    <t>リアテック サンゲツ</t>
  </si>
  <si>
    <t>掛率 45.0%</t>
  </si>
  <si>
    <t>フロアタイル サンゲツ・リリカラ</t>
  </si>
  <si>
    <t>ケース・枚</t>
  </si>
  <si>
    <t>カーペット（巾成）サンゲツ</t>
  </si>
  <si>
    <t>カーペット（フリー）サンゲツ</t>
  </si>
  <si>
    <t>m²</t>
  </si>
  <si>
    <t>NT-350・350V/L サンゲツ</t>
  </si>
  <si>
    <t>520円</t>
  </si>
  <si>
    <t>※旧価格に誤記の可能性あり</t>
  </si>
  <si>
    <t>エスリュームプレーン 2mm</t>
  </si>
  <si>
    <t>エスリュームマーブル 2mm</t>
  </si>
  <si>
    <t>エスリュームミスト/ルーミー/カルド/ウッドⅡ 2mm</t>
  </si>
  <si>
    <t>ストロング サンゲツ</t>
  </si>
  <si>
    <t>ノンスキッド サンゲツ</t>
  </si>
  <si>
    <t>溶接棒 サンゲツ</t>
  </si>
  <si>
    <t>巻</t>
  </si>
  <si>
    <t>クロス貼施工代（賃貸空室）</t>
  </si>
  <si>
    <t>450円</t>
  </si>
  <si>
    <t>クロス貼施工代（分譲・戸建）</t>
  </si>
  <si>
    <t>500円</t>
  </si>
  <si>
    <t>クロス貼施工代（人工精算物件）</t>
  </si>
  <si>
    <t>式</t>
  </si>
  <si>
    <t>23,000円</t>
  </si>
  <si>
    <t>クロス （得値）</t>
    <rPh sb="5" eb="7">
      <t>トクネ</t>
    </rPh>
    <phoneticPr fontId="3"/>
  </si>
  <si>
    <t>ｍ</t>
    <phoneticPr fontId="3"/>
  </si>
  <si>
    <t>サンゲツ・リリカラ #500</t>
  </si>
  <si>
    <t>245円</t>
  </si>
  <si>
    <t>サンゲツ・リリカラ #1000</t>
  </si>
  <si>
    <t>サンゲツ 掲示板クロス</t>
  </si>
  <si>
    <t>掛率 60%</t>
  </si>
  <si>
    <t>リアテック</t>
  </si>
  <si>
    <t>掛率 47%</t>
  </si>
  <si>
    <t>Hフロア 1.8mm</t>
  </si>
  <si>
    <t>1,540円</t>
  </si>
  <si>
    <t>Hフロア 2.3mm厚・3.5mm厚・消臭快適</t>
  </si>
  <si>
    <t>掛率 45%</t>
  </si>
  <si>
    <t>Hフロア 2m巾</t>
  </si>
  <si>
    <t>2,050円</t>
  </si>
  <si>
    <t>L45遮音フロア</t>
  </si>
  <si>
    <t>掛率 64%</t>
  </si>
  <si>
    <t>エスリュームプレーン 2.0mm</t>
  </si>
  <si>
    <t>2,550円</t>
  </si>
  <si>
    <t>エスリュームプレーン 2.5mm</t>
  </si>
  <si>
    <t>2,700円</t>
  </si>
  <si>
    <t>エスリュームマーブル 2.0mm</t>
  </si>
  <si>
    <t>2,650円</t>
  </si>
  <si>
    <t>エスリュームマーブル 2.5mm</t>
  </si>
  <si>
    <t>2,800円</t>
  </si>
  <si>
    <t>サンゲツ フロアタイル</t>
  </si>
  <si>
    <t>掛率 57%</t>
  </si>
  <si>
    <t>サンゲツ カーペット フリー</t>
  </si>
  <si>
    <t>サンゲツ カーペット ロール</t>
  </si>
  <si>
    <t>掛率 53%</t>
  </si>
  <si>
    <t>ストロング・ナーシングフロア</t>
  </si>
  <si>
    <t>掛率 56%</t>
  </si>
  <si>
    <t>ノンスキッド</t>
  </si>
  <si>
    <t>掛率 62%</t>
  </si>
  <si>
    <t>サンゲツ 巾木 40mm</t>
  </si>
  <si>
    <t>ケース</t>
  </si>
  <si>
    <t>サンゲツ 巾木 60mm</t>
  </si>
  <si>
    <t>2,900円</t>
  </si>
  <si>
    <t>サンゲツ 巾木 75mm</t>
  </si>
  <si>
    <t>3,200円</t>
  </si>
  <si>
    <t>サンゲツ 巾木 100mm</t>
  </si>
  <si>
    <t>3,900円</t>
  </si>
  <si>
    <t>リリカラ 巾木 40mm</t>
  </si>
  <si>
    <t>3,375円</t>
  </si>
  <si>
    <t>リリカラ 巾木 60mm</t>
  </si>
  <si>
    <t>3,625円</t>
  </si>
  <si>
    <t>リリカラ 巾木 75mm</t>
  </si>
  <si>
    <t>4,000円</t>
  </si>
  <si>
    <t>リリカラ 巾木 100mm</t>
  </si>
  <si>
    <t>4,875円</t>
  </si>
  <si>
    <t>カーペットタイル NT-350</t>
  </si>
  <si>
    <t>490円</t>
  </si>
  <si>
    <t>カーペットタイル NT-350G</t>
  </si>
  <si>
    <t>カーペットタイル NT-350S</t>
  </si>
  <si>
    <t>590円</t>
  </si>
  <si>
    <t>カーペットタイル NT-700</t>
  </si>
  <si>
    <t>680円</t>
  </si>
  <si>
    <t>カーペットタイル NT-700S</t>
  </si>
  <si>
    <t>720円</t>
  </si>
  <si>
    <t>カーペットタイル NT-700H</t>
  </si>
  <si>
    <t>カーペットタイル NT-8000</t>
  </si>
  <si>
    <t>掛率 50%</t>
  </si>
  <si>
    <t>クロス施工代</t>
  </si>
  <si>
    <t>2024年12月1日より改定</t>
  </si>
  <si>
    <t>フロアタイル施工代</t>
  </si>
  <si>
    <t>920円</t>
  </si>
  <si>
    <t>CF施工代</t>
  </si>
  <si>
    <t>650円</t>
  </si>
  <si>
    <t>巾木施工代</t>
  </si>
  <si>
    <t>130円</t>
  </si>
  <si>
    <t>上坂紙店</t>
    <rPh sb="0" eb="4">
      <t>コウサカカミテン</t>
    </rPh>
    <phoneticPr fontId="3"/>
  </si>
  <si>
    <t>ベストクロス</t>
  </si>
  <si>
    <t>ビッグエース</t>
  </si>
  <si>
    <t>箱</t>
  </si>
  <si>
    <t>ポンリューム住宅用</t>
  </si>
  <si>
    <t>ソフト巾木 40mm（25枚入）</t>
  </si>
  <si>
    <t>ソフト巾木 75mm（25枚入）</t>
  </si>
  <si>
    <t>ロール巾木 60mm（25m巻）</t>
  </si>
  <si>
    <t>ガード巾木 200mm（10m巻）</t>
  </si>
  <si>
    <t>木目巾木 60mm（25枚入）</t>
  </si>
  <si>
    <t>ニューウッディワイド巾木 300mm（10m巻）</t>
  </si>
  <si>
    <t>巾木 100mm（25m巻）</t>
  </si>
  <si>
    <t>巾木 60mm（25枚入）</t>
  </si>
  <si>
    <t>巾木 100mm（25枚入）</t>
  </si>
  <si>
    <t>シンコール</t>
    <phoneticPr fontId="3"/>
  </si>
  <si>
    <t>SLクロス</t>
    <phoneticPr fontId="3"/>
  </si>
  <si>
    <t>E2（2m幅）</t>
  </si>
  <si>
    <t>ロワゾブルー</t>
  </si>
  <si>
    <t>ヒルズパークサイド116</t>
  </si>
  <si>
    <t>ラピス桑園</t>
    <rPh sb="3" eb="5">
      <t>ソウエン</t>
    </rPh>
    <phoneticPr fontId="1"/>
  </si>
  <si>
    <t>クレアホームズ幌西</t>
    <rPh sb="7" eb="9">
      <t>ホロニシ</t>
    </rPh>
    <phoneticPr fontId="1"/>
  </si>
  <si>
    <t>南10条西20丁目1-2戸建住宅</t>
    <rPh sb="0" eb="1">
      <t>ミナミ</t>
    </rPh>
    <rPh sb="3" eb="4">
      <t>ジョウ</t>
    </rPh>
    <rPh sb="4" eb="5">
      <t>ニシ</t>
    </rPh>
    <rPh sb="7" eb="9">
      <t>チョウメ</t>
    </rPh>
    <rPh sb="12" eb="14">
      <t>コダテ</t>
    </rPh>
    <rPh sb="14" eb="16">
      <t>ジュウタク</t>
    </rPh>
    <phoneticPr fontId="1"/>
  </si>
  <si>
    <t>カペラ大通南</t>
    <rPh sb="3" eb="6">
      <t>オオドオリミナミ</t>
    </rPh>
    <phoneticPr fontId="1"/>
  </si>
  <si>
    <t>札幌市中央区北９条西１６丁目２８－１６８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</si>
  <si>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札幌市中央区南１４条西１８丁目７−１７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</si>
  <si>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札幌市中央区南10条西20丁目1-2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</si>
  <si>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札幌市中央区南１８条西１３丁目１−６</t>
  </si>
  <si>
    <t>札幌市中央区南11条西6丁目1-26</t>
    <rPh sb="9" eb="10">
      <t>ジョウ</t>
    </rPh>
    <rPh sb="10" eb="11">
      <t>ニシ</t>
    </rPh>
    <rPh sb="12" eb="14">
      <t>チョウメ</t>
    </rPh>
    <phoneticPr fontId="1"/>
  </si>
  <si>
    <t>札幌市中央区南8条西11丁目2-9</t>
    <rPh sb="0" eb="3">
      <t>サッポロシ</t>
    </rPh>
    <phoneticPr fontId="1"/>
  </si>
  <si>
    <t>呼1813</t>
    <rPh sb="0" eb="1">
      <t>ヨブ</t>
    </rPh>
    <phoneticPr fontId="1"/>
  </si>
  <si>
    <t>呼7228</t>
    <rPh sb="0" eb="1">
      <t>ヨブ</t>
    </rPh>
    <phoneticPr fontId="1"/>
  </si>
  <si>
    <t>呼5963</t>
    <rPh sb="0" eb="1">
      <t>ヨブ</t>
    </rPh>
    <phoneticPr fontId="1"/>
  </si>
  <si>
    <t>アルカーサルⅣ</t>
  </si>
  <si>
    <t>札幌市北区北22条西6丁目2-8</t>
    <rPh sb="0" eb="5">
      <t>サッポロシキタク</t>
    </rPh>
    <rPh sb="5" eb="6">
      <t>キタ</t>
    </rPh>
    <rPh sb="8" eb="10">
      <t>ジョウニシ</t>
    </rPh>
    <rPh sb="11" eb="13">
      <t>チョウメ</t>
    </rPh>
    <phoneticPr fontId="1"/>
  </si>
  <si>
    <t>2206※</t>
  </si>
  <si>
    <t>アリコベールハウスⅡ</t>
  </si>
  <si>
    <t>美和ハイツ</t>
    <rPh sb="0" eb="2">
      <t>ミワ</t>
    </rPh>
    <phoneticPr fontId="1"/>
  </si>
  <si>
    <t>ハウスオブリザ北26条</t>
    <rPh sb="7" eb="8">
      <t>キタ</t>
    </rPh>
    <rPh sb="10" eb="11">
      <t>ジョウ</t>
    </rPh>
    <phoneticPr fontId="1"/>
  </si>
  <si>
    <t>　</t>
    <phoneticPr fontId="1"/>
  </si>
  <si>
    <t>札幌市東区北10条東15丁目1-7</t>
  </si>
  <si>
    <t>札幌市東区北23条東3丁目3-3</t>
  </si>
  <si>
    <t>札幌市東区北２６条東２０丁目３−１０</t>
  </si>
  <si>
    <t>グランメール西町北A</t>
    <rPh sb="6" eb="9">
      <t>ニシマチキタ</t>
    </rPh>
    <phoneticPr fontId="1"/>
  </si>
  <si>
    <t>ルーデンスプレイス発寒</t>
    <rPh sb="9" eb="11">
      <t>ハッサム</t>
    </rPh>
    <phoneticPr fontId="1"/>
  </si>
  <si>
    <t>札幌市西区西町北4丁目2－16</t>
    <rPh sb="0" eb="3">
      <t>サッポロシ</t>
    </rPh>
    <rPh sb="3" eb="7">
      <t>ニシクニシマチ</t>
    </rPh>
    <rPh sb="7" eb="8">
      <t>キタ</t>
    </rPh>
    <rPh sb="9" eb="11">
      <t>チョウメ</t>
    </rPh>
    <phoneticPr fontId="1"/>
  </si>
  <si>
    <t>札幌市西区発寒14条2丁目4-29</t>
  </si>
  <si>
    <t>呼0729</t>
    <rPh sb="0" eb="1">
      <t>ヨ</t>
    </rPh>
    <phoneticPr fontId="1"/>
  </si>
  <si>
    <t>Lavita澄川Ⅱ</t>
  </si>
  <si>
    <t>(株)LINE事務所</t>
    <rPh sb="0" eb="3">
      <t>カブシキガイシャ</t>
    </rPh>
    <rPh sb="7" eb="10">
      <t>ジムショ</t>
    </rPh>
    <phoneticPr fontId="1"/>
  </si>
  <si>
    <t>札幌市南区澄川4条2丁目8-30</t>
  </si>
  <si>
    <t>＃4141</t>
  </si>
  <si>
    <t>札幌市中央区南28条西8丁目1番17号</t>
  </si>
  <si>
    <t>グランメールFPC本郷通10南</t>
    <rPh sb="9" eb="12">
      <t>ホンゴウドオリ</t>
    </rPh>
    <rPh sb="14" eb="15">
      <t>ミナミ</t>
    </rPh>
    <phoneticPr fontId="1"/>
  </si>
  <si>
    <t>ラヴィータ東札幌</t>
  </si>
  <si>
    <t>札幌市白石区本郷通10丁目南１－１８</t>
    <rPh sb="0" eb="3">
      <t>サッポロシ</t>
    </rPh>
    <rPh sb="3" eb="6">
      <t>シロイシク</t>
    </rPh>
    <rPh sb="6" eb="9">
      <t>ホンゴウドオリ</t>
    </rPh>
    <rPh sb="11" eb="13">
      <t>チョウメ</t>
    </rPh>
    <rPh sb="13" eb="14">
      <t>ミナミ</t>
    </rPh>
    <phoneticPr fontId="1"/>
  </si>
  <si>
    <t>札幌市白石区東札幌5条5丁目14-9</t>
  </si>
  <si>
    <t>♯4141</t>
  </si>
  <si>
    <t>♯2103</t>
    <phoneticPr fontId="3"/>
  </si>
  <si>
    <t>レジーナ</t>
  </si>
  <si>
    <t>リブファインド南平岸店</t>
    <rPh sb="7" eb="11">
      <t>ミナミヒラギシテン</t>
    </rPh>
    <phoneticPr fontId="1"/>
  </si>
  <si>
    <t>5.7ビル</t>
  </si>
  <si>
    <t>弘信マンション</t>
    <rPh sb="0" eb="2">
      <t>ヒロノブ</t>
    </rPh>
    <phoneticPr fontId="1"/>
  </si>
  <si>
    <t>スマイルアークM</t>
  </si>
  <si>
    <t>FourSeasons福住</t>
    <rPh sb="11" eb="13">
      <t>フクズミ</t>
    </rPh>
    <phoneticPr fontId="1"/>
  </si>
  <si>
    <t>スイスコテージ</t>
  </si>
  <si>
    <t>札幌市豊平区平岸3条17丁目1-12</t>
    <rPh sb="0" eb="6">
      <t>サッポロシトヨヒラク</t>
    </rPh>
    <rPh sb="6" eb="8">
      <t>ヒラギシ</t>
    </rPh>
    <rPh sb="9" eb="10">
      <t>ジョウ</t>
    </rPh>
    <rPh sb="12" eb="14">
      <t>チョウメ</t>
    </rPh>
    <phoneticPr fontId="1"/>
  </si>
  <si>
    <t>♯0813</t>
  </si>
  <si>
    <t>札幌市豊平区平岸３条１４丁目１−１</t>
  </si>
  <si>
    <t>札幌市豊平区平岸５条７丁目８−１</t>
  </si>
  <si>
    <t>＊2310呼</t>
  </si>
  <si>
    <t>札幌市豊平区平岸３条７丁目１３−１６</t>
  </si>
  <si>
    <t>札幌市豊平区平岸5条6丁目5-11</t>
  </si>
  <si>
    <t>札幌市豊平区西岡4条1丁目3-13</t>
    <rPh sb="0" eb="3">
      <t>サッポロシ</t>
    </rPh>
    <rPh sb="3" eb="6">
      <t>トヨヒラク</t>
    </rPh>
    <rPh sb="6" eb="8">
      <t>ニシオカ</t>
    </rPh>
    <rPh sb="9" eb="10">
      <t>ジョウ</t>
    </rPh>
    <rPh sb="11" eb="13">
      <t>チョウメ</t>
    </rPh>
    <phoneticPr fontId="1"/>
  </si>
  <si>
    <t>呼0401</t>
    <rPh sb="0" eb="1">
      <t>ヨブ</t>
    </rPh>
    <phoneticPr fontId="1"/>
  </si>
  <si>
    <t>札幌市豊平区平岸5条10丁目6-24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</si>
  <si>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エクセレント曙</t>
    <rPh sb="6" eb="7">
      <t>アケボノ</t>
    </rPh>
    <phoneticPr fontId="1"/>
  </si>
  <si>
    <t>ミディアムヒル5・1</t>
  </si>
  <si>
    <t>札幌市手稲区曙3条3丁目14-29</t>
    <rPh sb="0" eb="3">
      <t>サッポロシ</t>
    </rPh>
    <rPh sb="3" eb="6">
      <t>テイネク</t>
    </rPh>
    <rPh sb="6" eb="7">
      <t>アケボノ</t>
    </rPh>
    <rPh sb="8" eb="9">
      <t>ジョウ</t>
    </rPh>
    <rPh sb="10" eb="12">
      <t>チョウメ</t>
    </rPh>
    <phoneticPr fontId="1"/>
  </si>
  <si>
    <t>札幌市手稲区西宮の沢5条1丁目9-20</t>
    <rPh sb="0" eb="3">
      <t>サッポロシ</t>
    </rPh>
    <rPh sb="3" eb="6">
      <t>テイネク</t>
    </rPh>
    <rPh sb="6" eb="8">
      <t>ニシミヤ</t>
    </rPh>
    <rPh sb="9" eb="10">
      <t>サワ</t>
    </rPh>
    <rPh sb="11" eb="12">
      <t>ジョウ</t>
    </rPh>
    <rPh sb="13" eb="15">
      <t>チョウメ</t>
    </rPh>
    <phoneticPr fontId="1"/>
  </si>
  <si>
    <t>株式会社ハウスメイトパートナーズ</t>
    <rPh sb="0" eb="4">
      <t>カブシキガイシャ</t>
    </rPh>
    <phoneticPr fontId="3"/>
  </si>
  <si>
    <t>株式会社第一住建</t>
    <rPh sb="0" eb="4">
      <t>カブシキカイシャ</t>
    </rPh>
    <rPh sb="4" eb="8">
      <t>ダイイチジュウケン</t>
    </rPh>
    <phoneticPr fontId="3"/>
  </si>
  <si>
    <t>株式会社LINE</t>
    <rPh sb="0" eb="4">
      <t>カブシキガイシャ</t>
    </rPh>
    <phoneticPr fontId="3"/>
  </si>
  <si>
    <t>株式会社アセットプランニング</t>
    <rPh sb="0" eb="4">
      <t>カブシキガイシャ</t>
    </rPh>
    <phoneticPr fontId="3"/>
  </si>
  <si>
    <t>株式会社プロテクト</t>
    <phoneticPr fontId="3"/>
  </si>
  <si>
    <t>株式会社丸信ワタナベ</t>
    <phoneticPr fontId="3"/>
  </si>
  <si>
    <t>イデアトータルクリーン</t>
    <phoneticPr fontId="3"/>
  </si>
  <si>
    <t>ItoBiken</t>
  </si>
  <si>
    <t>ItoBiken</t>
    <phoneticPr fontId="3"/>
  </si>
  <si>
    <t>有限会社衛生洗浄設備</t>
    <rPh sb="0" eb="4">
      <t>ユウゲンガイシャ</t>
    </rPh>
    <rPh sb="4" eb="10">
      <t>エイセイセンジョウセツビ</t>
    </rPh>
    <phoneticPr fontId="3"/>
  </si>
  <si>
    <t>株式会社香川建具製作所</t>
    <rPh sb="0" eb="4">
      <t>カブシキガイシャ</t>
    </rPh>
    <rPh sb="4" eb="11">
      <t>カガワタテグセイサクショ</t>
    </rPh>
    <phoneticPr fontId="3"/>
  </si>
  <si>
    <t>株式会社ガラスフリーク</t>
    <rPh sb="0" eb="4">
      <t>カブシキガイシャ</t>
    </rPh>
    <phoneticPr fontId="3"/>
  </si>
  <si>
    <t>株式会社成田ガラス</t>
    <rPh sb="0" eb="4">
      <t>カブシキガイシャ</t>
    </rPh>
    <rPh sb="4" eb="6">
      <t>ナリタ</t>
    </rPh>
    <phoneticPr fontId="3"/>
  </si>
  <si>
    <t>株式会社札幌ベニヤ商会</t>
    <rPh sb="0" eb="4">
      <t>カブシキガイシャ</t>
    </rPh>
    <rPh sb="4" eb="6">
      <t>サッポロ</t>
    </rPh>
    <rPh sb="9" eb="11">
      <t>ショウカイ</t>
    </rPh>
    <phoneticPr fontId="3"/>
  </si>
  <si>
    <t>泰平建材株式会社</t>
    <rPh sb="0" eb="4">
      <t>タイヘイケンザイ</t>
    </rPh>
    <rPh sb="4" eb="8">
      <t>カブシキガイシャ</t>
    </rPh>
    <phoneticPr fontId="3"/>
  </si>
  <si>
    <t>Deco’ｓ</t>
  </si>
  <si>
    <t>Deco’ｓ</t>
    <phoneticPr fontId="3"/>
  </si>
  <si>
    <t>工藤畳商会</t>
    <rPh sb="0" eb="5">
      <t>クドウタタミショウカイ</t>
    </rPh>
    <phoneticPr fontId="3"/>
  </si>
  <si>
    <t>合同会社塗装工房北彩</t>
    <rPh sb="0" eb="4">
      <t>ゴウドウガイシャ</t>
    </rPh>
    <rPh sb="4" eb="10">
      <t>トソウコウボウホクサイ</t>
    </rPh>
    <phoneticPr fontId="3"/>
  </si>
  <si>
    <t>株式会社eガス</t>
    <rPh sb="0" eb="4">
      <t>カブシキガイシャ</t>
    </rPh>
    <phoneticPr fontId="3"/>
  </si>
  <si>
    <t>列1</t>
  </si>
  <si>
    <t>ドリームインテリア</t>
  </si>
  <si>
    <t>クロス施工費</t>
    <rPh sb="3" eb="6">
      <t>セコウヒ</t>
    </rPh>
    <phoneticPr fontId="3"/>
  </si>
  <si>
    <t>㎡</t>
  </si>
  <si>
    <t>㎡</t>
    <phoneticPr fontId="3"/>
  </si>
  <si>
    <t>430円</t>
    <rPh sb="3" eb="4">
      <t>エン</t>
    </rPh>
    <phoneticPr fontId="3"/>
  </si>
  <si>
    <t>CF施工費</t>
    <rPh sb="2" eb="5">
      <t>セコウヒ</t>
    </rPh>
    <phoneticPr fontId="3"/>
  </si>
  <si>
    <t>巾木施工費</t>
    <rPh sb="0" eb="5">
      <t>ハバキセコウヒ</t>
    </rPh>
    <phoneticPr fontId="3"/>
  </si>
  <si>
    <t>130円</t>
    <rPh sb="3" eb="4">
      <t>エン</t>
    </rPh>
    <phoneticPr fontId="3"/>
  </si>
  <si>
    <t>列2</t>
  </si>
  <si>
    <t>列3</t>
  </si>
  <si>
    <t>450円</t>
    <rPh sb="3" eb="4">
      <t>エン</t>
    </rPh>
    <phoneticPr fontId="3"/>
  </si>
  <si>
    <t>シャンプードレッサー交換</t>
    <rPh sb="10" eb="12">
      <t>コウカン</t>
    </rPh>
    <phoneticPr fontId="3"/>
  </si>
  <si>
    <t>式</t>
    <rPh sb="0" eb="1">
      <t>シキ</t>
    </rPh>
    <phoneticPr fontId="3"/>
  </si>
  <si>
    <t>18,000円</t>
    <rPh sb="2" eb="7">
      <t>000エン</t>
    </rPh>
    <phoneticPr fontId="3"/>
  </si>
  <si>
    <t>溶接などあれば別途</t>
    <rPh sb="0" eb="2">
      <t>ヨウセツ</t>
    </rPh>
    <rPh sb="7" eb="9">
      <t>ベット</t>
    </rPh>
    <phoneticPr fontId="3"/>
  </si>
  <si>
    <t>レンジフード交換</t>
    <rPh sb="6" eb="8">
      <t>コウカン</t>
    </rPh>
    <phoneticPr fontId="3"/>
  </si>
  <si>
    <t>16,500円</t>
    <rPh sb="2" eb="7">
      <t>500エン</t>
    </rPh>
    <phoneticPr fontId="3"/>
  </si>
  <si>
    <t>混合栓交換</t>
    <rPh sb="0" eb="5">
      <t>コンゴウセンコウカン</t>
    </rPh>
    <phoneticPr fontId="3"/>
  </si>
  <si>
    <t>8,000円</t>
    <rPh sb="1" eb="6">
      <t>000エン</t>
    </rPh>
    <phoneticPr fontId="3"/>
  </si>
  <si>
    <t>点検口造作＋1,500円</t>
    <rPh sb="0" eb="5">
      <t>テンケンコウゾウサク</t>
    </rPh>
    <rPh sb="7" eb="12">
      <t>500エン</t>
    </rPh>
    <phoneticPr fontId="3"/>
  </si>
  <si>
    <t>排水つまり抜き　ラバーカップ</t>
    <rPh sb="0" eb="2">
      <t>ハイスイ</t>
    </rPh>
    <rPh sb="5" eb="6">
      <t>ヌ</t>
    </rPh>
    <phoneticPr fontId="3"/>
  </si>
  <si>
    <t>9,000円</t>
    <rPh sb="1" eb="6">
      <t>000エン</t>
    </rPh>
    <phoneticPr fontId="3"/>
  </si>
  <si>
    <t>オーバーフロー管交換</t>
    <rPh sb="7" eb="10">
      <t>カンコウカン</t>
    </rPh>
    <phoneticPr fontId="3"/>
  </si>
  <si>
    <t>タンク脱着込み</t>
    <rPh sb="3" eb="5">
      <t>ダッチャク</t>
    </rPh>
    <rPh sb="5" eb="6">
      <t>コ</t>
    </rPh>
    <phoneticPr fontId="3"/>
  </si>
  <si>
    <t>衛生洗浄設備</t>
    <rPh sb="0" eb="6">
      <t>エイセイセンジョウセツビ</t>
    </rPh>
    <phoneticPr fontId="3"/>
  </si>
  <si>
    <t>畳表替え</t>
    <rPh sb="0" eb="3">
      <t>タタミオモテガ</t>
    </rPh>
    <phoneticPr fontId="3"/>
  </si>
  <si>
    <t>枚</t>
    <rPh sb="0" eb="1">
      <t>マイ</t>
    </rPh>
    <phoneticPr fontId="3"/>
  </si>
  <si>
    <t>札幌市白石区北郷3条4丁目4-1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</si>
  <si>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呼7625</t>
    <rPh sb="0" eb="1">
      <t>ヨ</t>
    </rPh>
    <phoneticPr fontId="1"/>
  </si>
  <si>
    <t>札幌市白石区南郷通（北）１丁目北2-32</t>
  </si>
  <si>
    <t>札幌市白石区東札幌3条3丁目5-9</t>
    <rPh sb="0" eb="3">
      <t>サッポロシ</t>
    </rPh>
    <phoneticPr fontId="1"/>
  </si>
  <si>
    <t>札幌市白石区菊水5条2丁目1-27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</si>
  <si>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札幌市白石区栄通1丁目13-15</t>
    <rPh sb="0" eb="3">
      <t>サッポロシ</t>
    </rPh>
    <rPh sb="3" eb="6">
      <t>シロイシク</t>
    </rPh>
    <rPh sb="6" eb="7">
      <t>サカエ</t>
    </rPh>
    <rPh sb="7" eb="8">
      <t>ドオリ</t>
    </rPh>
    <rPh sb="9" eb="11">
      <t>チョウメ</t>
    </rPh>
    <phoneticPr fontId="1"/>
  </si>
  <si>
    <t>札幌市白石区北郷5条3丁目1-1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</si>
  <si>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札幌市白石区栄通21丁目7-6</t>
    <rPh sb="0" eb="3">
      <t>サッポロシ</t>
    </rPh>
    <rPh sb="3" eb="6">
      <t>シロイシク</t>
    </rPh>
    <rPh sb="6" eb="7">
      <t>サカエ</t>
    </rPh>
    <rPh sb="7" eb="8">
      <t>ドオリ</t>
    </rPh>
    <rPh sb="10" eb="12">
      <t>チョウメ</t>
    </rPh>
    <phoneticPr fontId="1"/>
  </si>
  <si>
    <t>札幌市白石区菊水元町8条3丁目1-3</t>
    <rPh sb="0" eb="3">
      <t>サッポロシ</t>
    </rPh>
    <rPh sb="3" eb="6">
      <t>シロイシク</t>
    </rPh>
    <rPh sb="6" eb="8">
      <t>キクスイ</t>
    </rPh>
    <rPh sb="8" eb="9">
      <t>モト</t>
    </rPh>
    <rPh sb="9" eb="10">
      <t>マチ</t>
    </rPh>
    <rPh sb="11" eb="12">
      <t>ジョウ</t>
    </rPh>
    <rPh sb="13" eb="15">
      <t>チョウメ</t>
    </rPh>
    <phoneticPr fontId="1"/>
  </si>
  <si>
    <t>札幌市白石区菊水5条2丁目1-26</t>
  </si>
  <si>
    <t>札幌市白石区平和通16丁目北2-13　</t>
  </si>
  <si>
    <t>札幌市白石区栄通16丁目4-12</t>
  </si>
  <si>
    <t>呼1222</t>
  </si>
  <si>
    <t>札幌市白石区東札幌2条6丁目79</t>
  </si>
  <si>
    <t>札幌市白石区東札幌２条４丁目10-11</t>
  </si>
  <si>
    <t>札幌市白石区東札幌4条5丁目1-30</t>
  </si>
  <si>
    <t>トイレ交換</t>
    <rPh sb="3" eb="5">
      <t>コウカン</t>
    </rPh>
    <phoneticPr fontId="3"/>
  </si>
  <si>
    <t>シャンプードレッサー　W600</t>
    <phoneticPr fontId="3"/>
  </si>
  <si>
    <t>シャンプードレッサー　W750</t>
    <phoneticPr fontId="3"/>
  </si>
  <si>
    <t>シャンプードレッサー　キャビネット　W600</t>
    <phoneticPr fontId="3"/>
  </si>
  <si>
    <t>シャンプードレッサー　キャビネット　W750</t>
    <phoneticPr fontId="3"/>
  </si>
  <si>
    <t>シャンプードレッサー　洗面台　W600</t>
    <rPh sb="11" eb="14">
      <t>センメンダイ</t>
    </rPh>
    <phoneticPr fontId="3"/>
  </si>
  <si>
    <t>シャンプードレッサー　洗面台　W750</t>
    <rPh sb="11" eb="14">
      <t>センメンダイ</t>
    </rPh>
    <phoneticPr fontId="3"/>
  </si>
  <si>
    <t>株式会社ハウスメイトマネジメント</t>
    <phoneticPr fontId="3"/>
  </si>
  <si>
    <t>コンフォート旭ヶ丘</t>
    <rPh sb="6" eb="9">
      <t>アサヒガオカ</t>
    </rPh>
    <phoneticPr fontId="1"/>
  </si>
  <si>
    <t>シティハイム南6条</t>
    <rPh sb="6" eb="7">
      <t>ミナミ</t>
    </rPh>
    <rPh sb="8" eb="9">
      <t>ジョウ</t>
    </rPh>
    <phoneticPr fontId="1"/>
  </si>
  <si>
    <t>ロイヤルハイアット</t>
  </si>
  <si>
    <t>南15条西12丁目戸建住宅</t>
    <rPh sb="0" eb="1">
      <t>ミナミ</t>
    </rPh>
    <rPh sb="3" eb="4">
      <t>ジョウ</t>
    </rPh>
    <rPh sb="4" eb="5">
      <t>ニシ</t>
    </rPh>
    <rPh sb="7" eb="9">
      <t>チョウメ</t>
    </rPh>
    <rPh sb="9" eb="11">
      <t>コダテ</t>
    </rPh>
    <rPh sb="11" eb="13">
      <t>ジュウタク</t>
    </rPh>
    <phoneticPr fontId="1"/>
  </si>
  <si>
    <t>インフィニティ宮の森II</t>
    <rPh sb="7" eb="8">
      <t>ミヤ</t>
    </rPh>
    <rPh sb="9" eb="10">
      <t>モリ</t>
    </rPh>
    <phoneticPr fontId="1"/>
  </si>
  <si>
    <t>ミントジャムスS14</t>
  </si>
  <si>
    <t>ibiza中島公園</t>
  </si>
  <si>
    <t>アップタウンハイツ</t>
  </si>
  <si>
    <t>朝日プラザアクシス南11条</t>
    <rPh sb="0" eb="2">
      <t>アサヒ</t>
    </rPh>
    <rPh sb="9" eb="10">
      <t>ミナミ</t>
    </rPh>
    <rPh sb="12" eb="13">
      <t>ジョウ</t>
    </rPh>
    <phoneticPr fontId="1"/>
  </si>
  <si>
    <t>三信ビル</t>
  </si>
  <si>
    <t>ibiza北円山</t>
    <rPh sb="5" eb="6">
      <t>キタ</t>
    </rPh>
    <rPh sb="6" eb="8">
      <t>マルヤマ</t>
    </rPh>
    <phoneticPr fontId="1"/>
  </si>
  <si>
    <t>Dグラフォート札幌ステーションタワー</t>
    <rPh sb="7" eb="9">
      <t>サッポロ</t>
    </rPh>
    <phoneticPr fontId="1"/>
  </si>
  <si>
    <t>札幌市中央区南9条西18丁目2-17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</si>
  <si>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札幌市中央区南6条西12丁目1286-9</t>
    <rPh sb="0" eb="7">
      <t>サッポロシチュウオウクミナミ</t>
    </rPh>
    <rPh sb="8" eb="9">
      <t>ジョウ</t>
    </rPh>
    <rPh sb="9" eb="10">
      <t>ニシ</t>
    </rPh>
    <rPh sb="12" eb="14">
      <t>チョウメ</t>
    </rPh>
    <phoneticPr fontId="1"/>
  </si>
  <si>
    <t>札幌市中央区南2条西12丁目323番地8</t>
  </si>
  <si>
    <t>札幌市中央区南15西12丁目3-30</t>
    <rPh sb="6" eb="7">
      <t>ミナミ</t>
    </rPh>
    <rPh sb="9" eb="10">
      <t>ニシ</t>
    </rPh>
    <rPh sb="12" eb="14">
      <t>チョウメ</t>
    </rPh>
    <phoneticPr fontId="1"/>
  </si>
  <si>
    <t>札幌市中央区宮の森3条6丁目7-12</t>
  </si>
  <si>
    <t>札幌市中央区南14条西8丁目1-35</t>
  </si>
  <si>
    <t>札幌市中央区南10条西６丁目6-12</t>
  </si>
  <si>
    <t>北海道札幌市中央区北1条西28丁目1-1</t>
  </si>
  <si>
    <t>札幌市中央区南11条西8丁目3-1</t>
  </si>
  <si>
    <t>札幌市中央区南3条西3丁目10</t>
  </si>
  <si>
    <t>札幌市中央区北2条西24丁目2-27</t>
  </si>
  <si>
    <t>札幌市中央区北8条西3丁目32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1" eb="13">
      <t>チョウメ</t>
    </rPh>
    <phoneticPr fontId="1"/>
  </si>
  <si>
    <t>呼0625</t>
    <rPh sb="0" eb="1">
      <t>ヨ</t>
    </rPh>
    <phoneticPr fontId="1"/>
  </si>
  <si>
    <t>＃1480</t>
  </si>
  <si>
    <t>※1129呼</t>
  </si>
  <si>
    <t>※2115呼</t>
  </si>
  <si>
    <t>※5963</t>
  </si>
  <si>
    <t>アルファグレイシャス麻生</t>
    <rPh sb="10" eb="12">
      <t>アサブ</t>
    </rPh>
    <phoneticPr fontId="1"/>
  </si>
  <si>
    <t>エヴァ</t>
  </si>
  <si>
    <t>アプリーラテラス屯田</t>
    <rPh sb="8" eb="10">
      <t>トンデン</t>
    </rPh>
    <phoneticPr fontId="1"/>
  </si>
  <si>
    <t>アプリーラ新琴似</t>
    <rPh sb="5" eb="8">
      <t>シンコトニ</t>
    </rPh>
    <phoneticPr fontId="1"/>
  </si>
  <si>
    <t>メゾン麻生</t>
    <rPh sb="3" eb="5">
      <t>アサブ</t>
    </rPh>
    <phoneticPr fontId="1"/>
  </si>
  <si>
    <t>土るみ</t>
    <rPh sb="0" eb="1">
      <t>ド</t>
    </rPh>
    <phoneticPr fontId="1"/>
  </si>
  <si>
    <t>ドルミ35ｃ</t>
  </si>
  <si>
    <t>札幌市北区麻生町7丁目5-10</t>
    <rPh sb="0" eb="3">
      <t>サッポロシ</t>
    </rPh>
    <rPh sb="3" eb="5">
      <t>キタク</t>
    </rPh>
    <rPh sb="5" eb="8">
      <t>アサブチョウ</t>
    </rPh>
    <rPh sb="9" eb="11">
      <t>チョウメ</t>
    </rPh>
    <phoneticPr fontId="1"/>
  </si>
  <si>
    <t>札幌市北区北23条西9丁目2-46</t>
  </si>
  <si>
    <t>呼2309</t>
  </si>
  <si>
    <t>札幌市北区屯田2条1丁目7-50</t>
  </si>
  <si>
    <t>北海道札幌市北区新琴似１条１１丁目１０−１０</t>
  </si>
  <si>
    <t>※5963呼</t>
  </si>
  <si>
    <t>北区北34条西11丁目1-9</t>
  </si>
  <si>
    <t>札幌市北区北35条東2丁目8-2</t>
    <rPh sb="0" eb="3">
      <t>サッポロシ</t>
    </rPh>
    <rPh sb="3" eb="5">
      <t>キタク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</si>
  <si>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マリオンコート18</t>
  </si>
  <si>
    <t>第一駒矢ビル</t>
    <rPh sb="0" eb="2">
      <t>ダイイチ</t>
    </rPh>
    <rPh sb="2" eb="3">
      <t>コマ</t>
    </rPh>
    <rPh sb="3" eb="4">
      <t>ヤ</t>
    </rPh>
    <phoneticPr fontId="1"/>
  </si>
  <si>
    <t>アプリーラ伏古</t>
    <rPh sb="5" eb="7">
      <t>フシコ</t>
    </rPh>
    <phoneticPr fontId="1"/>
  </si>
  <si>
    <t>スピカ元町</t>
    <rPh sb="3" eb="5">
      <t>モトマチ</t>
    </rPh>
    <phoneticPr fontId="1"/>
  </si>
  <si>
    <t>札幌市東区北18条東17丁目2-12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</si>
  <si>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札幌市東区北34条東17丁目2-1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</si>
  <si>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札幌市東区伏古9条2丁目5-6</t>
  </si>
  <si>
    <t>※0902呼</t>
  </si>
  <si>
    <t>札幌市東区北27条東17丁目1-2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</si>
  <si>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シティハイム二十四軒</t>
    <rPh sb="6" eb="10">
      <t>ニジュウヨンケン</t>
    </rPh>
    <phoneticPr fontId="1"/>
  </si>
  <si>
    <t>カナディアンホーム</t>
  </si>
  <si>
    <t>ベルフルール琴似</t>
    <rPh sb="6" eb="8">
      <t>コトニ</t>
    </rPh>
    <phoneticPr fontId="1"/>
  </si>
  <si>
    <t>ルーデンスプレイス宮丘弐番館</t>
    <rPh sb="9" eb="11">
      <t>ミヤオカ</t>
    </rPh>
    <rPh sb="11" eb="14">
      <t>ニバンカン</t>
    </rPh>
    <phoneticPr fontId="1"/>
  </si>
  <si>
    <t>プリエ琴似</t>
  </si>
  <si>
    <t>札幌市西区二十四軒3条4丁目5-11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</si>
  <si>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札幌市西区山の手3条8丁目3-4</t>
  </si>
  <si>
    <t>札幌市西区琴似1条5丁目2-21</t>
    <rPh sb="5" eb="7">
      <t>コトニ</t>
    </rPh>
    <rPh sb="8" eb="9">
      <t>ジョウ</t>
    </rPh>
    <rPh sb="10" eb="12">
      <t>チョウメ</t>
    </rPh>
    <phoneticPr fontId="1"/>
  </si>
  <si>
    <t>札幌市西区宮の沢3条5丁目24-13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</si>
  <si>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呼0202</t>
    <rPh sb="0" eb="1">
      <t>ヨ</t>
    </rPh>
    <phoneticPr fontId="1"/>
  </si>
  <si>
    <t>札幌市西区山の手三条１丁目3-25</t>
  </si>
  <si>
    <t>マイルーム澄川</t>
    <rPh sb="5" eb="7">
      <t>スミカワ</t>
    </rPh>
    <phoneticPr fontId="1"/>
  </si>
  <si>
    <t>ベル澄川</t>
    <rPh sb="2" eb="4">
      <t>スミカワ</t>
    </rPh>
    <phoneticPr fontId="1"/>
  </si>
  <si>
    <t>シティハイム澄川</t>
    <rPh sb="6" eb="8">
      <t>スミカワ</t>
    </rPh>
    <phoneticPr fontId="1"/>
  </si>
  <si>
    <t>エバーグリーンもいわ</t>
  </si>
  <si>
    <t>札幌市南区澄川2条4丁目10-1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</si>
  <si>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札幌市南区澄川3条4丁目7-24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</si>
  <si>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札幌市南区川沿4条4丁目8-20</t>
  </si>
  <si>
    <t>０８０８</t>
  </si>
  <si>
    <t>ホワイトグルス</t>
  </si>
  <si>
    <t>トロピカルハイツ栄通</t>
    <rPh sb="8" eb="10">
      <t>サカエドオリ</t>
    </rPh>
    <phoneticPr fontId="1"/>
  </si>
  <si>
    <t>プラーザ菊水元町</t>
    <rPh sb="4" eb="6">
      <t>キクスイ</t>
    </rPh>
    <rPh sb="6" eb="7">
      <t>モト</t>
    </rPh>
    <rPh sb="7" eb="8">
      <t>マチ</t>
    </rPh>
    <phoneticPr fontId="1"/>
  </si>
  <si>
    <t>ジェンティーレ本郷</t>
  </si>
  <si>
    <t>コーポ土肥A</t>
    <rPh sb="3" eb="5">
      <t>ドイ</t>
    </rPh>
    <phoneticPr fontId="1"/>
  </si>
  <si>
    <t>コーポ土肥B</t>
    <rPh sb="3" eb="5">
      <t>ドイ</t>
    </rPh>
    <phoneticPr fontId="1"/>
  </si>
  <si>
    <t>ライフコートV</t>
  </si>
  <si>
    <t>シエスタ３・１</t>
  </si>
  <si>
    <t>プロムナードハイム</t>
  </si>
  <si>
    <t>ラ・カーサ川下</t>
    <rPh sb="5" eb="7">
      <t>カワシモ</t>
    </rPh>
    <phoneticPr fontId="1"/>
  </si>
  <si>
    <t>プレジール本郷</t>
  </si>
  <si>
    <t>札幌市白石区菊水6条2丁目4-1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</si>
  <si>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札幌市白石区栄通16丁目4-50</t>
  </si>
  <si>
    <t>札幌市白石区菊水元町7条1丁目10-10</t>
    <rPh sb="6" eb="10">
      <t>キクスイモトマチ</t>
    </rPh>
    <rPh sb="11" eb="12">
      <t>ジョウ</t>
    </rPh>
    <rPh sb="13" eb="15">
      <t>チョウメ</t>
    </rPh>
    <phoneticPr fontId="1"/>
  </si>
  <si>
    <t>呼1016</t>
    <rPh sb="0" eb="1">
      <t>ヨ</t>
    </rPh>
    <phoneticPr fontId="1"/>
  </si>
  <si>
    <t>札幌市白石区本郷通5丁目南4-20</t>
  </si>
  <si>
    <t>＃0038</t>
  </si>
  <si>
    <t>札幌市白石区栄通6丁目12-11</t>
  </si>
  <si>
    <t>札幌市白石区栄通6丁目12-12</t>
  </si>
  <si>
    <t>白石区本郷通7丁目北1-11</t>
  </si>
  <si>
    <t>札幌市白石区菊水3条1丁目7-8</t>
  </si>
  <si>
    <t>呼2023</t>
  </si>
  <si>
    <t>札幌市白石区栄通13丁目4-23</t>
    <rPh sb="0" eb="3">
      <t>サッポロシ</t>
    </rPh>
    <phoneticPr fontId="1"/>
  </si>
  <si>
    <t>札幌市白石区川下1条5丁目1-24</t>
    <rPh sb="0" eb="3">
      <t>サッポロシ</t>
    </rPh>
    <rPh sb="3" eb="6">
      <t>シロイシク</t>
    </rPh>
    <rPh sb="6" eb="8">
      <t>カワシモ</t>
    </rPh>
    <rPh sb="9" eb="10">
      <t>ジョウ</t>
    </rPh>
    <rPh sb="11" eb="13">
      <t>チョウメ</t>
    </rPh>
    <phoneticPr fontId="1"/>
  </si>
  <si>
    <t>札幌市白石区本郷通2丁目北1-12</t>
  </si>
  <si>
    <t>プチマーズ</t>
  </si>
  <si>
    <t>ラトゥール月寒東</t>
  </si>
  <si>
    <t>カソスソール美園</t>
  </si>
  <si>
    <t>ブリオーレ月寒中央</t>
    <rPh sb="5" eb="9">
      <t>ツキサムチュウオウ</t>
    </rPh>
    <phoneticPr fontId="1"/>
  </si>
  <si>
    <t>マーブル南郷</t>
    <rPh sb="4" eb="6">
      <t>ナンゴウ</t>
    </rPh>
    <phoneticPr fontId="1"/>
  </si>
  <si>
    <t>サイバーヴィラ</t>
  </si>
  <si>
    <t>フォースアベニュー美園</t>
    <rPh sb="9" eb="11">
      <t>ミソノ</t>
    </rPh>
    <phoneticPr fontId="1"/>
  </si>
  <si>
    <t>グープレイス豊平</t>
    <rPh sb="6" eb="8">
      <t>トヨヒラ</t>
    </rPh>
    <phoneticPr fontId="1"/>
  </si>
  <si>
    <t>ヴィガラス南平岸</t>
    <rPh sb="7" eb="8">
      <t>キシ</t>
    </rPh>
    <phoneticPr fontId="1"/>
  </si>
  <si>
    <t>札幌市豊平区平岸1条1丁目5-8</t>
  </si>
  <si>
    <t>札幌市豊平区月寒東二条４丁目2-18</t>
  </si>
  <si>
    <t>豊平区美園11条5丁目3-11</t>
  </si>
  <si>
    <t>＃0428</t>
  </si>
  <si>
    <t>札幌市豊平区月寒西1条7丁目2－1</t>
  </si>
  <si>
    <t>#6756</t>
  </si>
  <si>
    <t>豊平区月寒東5-6-3-10</t>
  </si>
  <si>
    <t>＃4351</t>
  </si>
  <si>
    <t>札幌市豊平区月寒東2条３丁目2-23</t>
    <rPh sb="0" eb="3">
      <t>サッポロシ</t>
    </rPh>
    <phoneticPr fontId="1"/>
  </si>
  <si>
    <t>札幌市豊平区美園4条8丁目1-25</t>
  </si>
  <si>
    <t>#1371</t>
  </si>
  <si>
    <t>札幌市豊平区豊平1条6丁目2-11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</si>
  <si>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札幌市豊平区平岸3条17丁目7-5</t>
  </si>
  <si>
    <t>グランシーAN</t>
  </si>
  <si>
    <t>アプリーラ青葉町A棟</t>
  </si>
  <si>
    <t>アプリーラ青葉町B棟</t>
  </si>
  <si>
    <t>エクセレントA</t>
  </si>
  <si>
    <t>エクセレントB</t>
  </si>
  <si>
    <t>札幌市厚別区厚別西1条2丁目1-17</t>
  </si>
  <si>
    <t>札幌市厚別区青葉町8丁目3-5</t>
  </si>
  <si>
    <t>札幌市厚別区青葉町8丁目3-3</t>
  </si>
  <si>
    <t>札幌市厚別区厚別中央3条3丁目4-8</t>
    <rPh sb="0" eb="3">
      <t>サッポロシ</t>
    </rPh>
    <rPh sb="3" eb="6">
      <t>アツベツク</t>
    </rPh>
    <rPh sb="6" eb="10">
      <t>アツベツチュウオウ</t>
    </rPh>
    <rPh sb="11" eb="12">
      <t>ジョウ</t>
    </rPh>
    <rPh sb="13" eb="15">
      <t>チョウメ</t>
    </rPh>
    <phoneticPr fontId="1"/>
  </si>
  <si>
    <t>アプリーラ稲穂</t>
  </si>
  <si>
    <t>札幌市手稲区稲穂2条7丁目4-26</t>
  </si>
  <si>
    <t>セレーノコート美しが丘</t>
    <rPh sb="7" eb="8">
      <t>ウツク</t>
    </rPh>
    <rPh sb="10" eb="11">
      <t>オカ</t>
    </rPh>
    <phoneticPr fontId="1"/>
  </si>
  <si>
    <t>平岡　戸建</t>
    <rPh sb="0" eb="2">
      <t>ヒラオカ</t>
    </rPh>
    <rPh sb="3" eb="5">
      <t>コダテ</t>
    </rPh>
    <phoneticPr fontId="1"/>
  </si>
  <si>
    <t>札幌市清田区美しが丘2条8丁目14-7</t>
  </si>
  <si>
    <t>平岡４条１丁目１４-３２</t>
  </si>
  <si>
    <t>T-プレミア</t>
  </si>
  <si>
    <t>アプリーラ中央町D</t>
  </si>
  <si>
    <t>アプリーラ中央町A</t>
  </si>
  <si>
    <t>KTNスクウェア</t>
  </si>
  <si>
    <t>アプリーラ中央町C</t>
    <rPh sb="5" eb="8">
      <t>チュウオウチョウ</t>
    </rPh>
    <phoneticPr fontId="1"/>
  </si>
  <si>
    <t>Tプレミア2</t>
  </si>
  <si>
    <t>アプリーラ大麻桜木町</t>
    <rPh sb="5" eb="10">
      <t>オオアササクラギチョウ</t>
    </rPh>
    <phoneticPr fontId="1"/>
  </si>
  <si>
    <t>アプリーラ中央町B</t>
    <rPh sb="5" eb="7">
      <t>チュウオウ</t>
    </rPh>
    <rPh sb="7" eb="8">
      <t>チョウ</t>
    </rPh>
    <phoneticPr fontId="1"/>
  </si>
  <si>
    <t>アプリーラ大麻栄町</t>
  </si>
  <si>
    <t>フォーサイトカレッジII</t>
  </si>
  <si>
    <t>江別市野幌美幸町17-8</t>
    <rPh sb="0" eb="3">
      <t>エベツシ</t>
    </rPh>
    <rPh sb="3" eb="5">
      <t>ノッポロ</t>
    </rPh>
    <rPh sb="5" eb="8">
      <t>ミユキチョウ</t>
    </rPh>
    <phoneticPr fontId="1"/>
  </si>
  <si>
    <t>江別市中央町43番地21</t>
  </si>
  <si>
    <t>※5963呼</t>
    <rPh sb="5" eb="6">
      <t>ヨ</t>
    </rPh>
    <phoneticPr fontId="1"/>
  </si>
  <si>
    <t>江別市中央町43番地4</t>
  </si>
  <si>
    <t>江別市東野幌本町5-24</t>
    <rPh sb="0" eb="3">
      <t>エベツシ</t>
    </rPh>
    <rPh sb="3" eb="6">
      <t>ヒガシノッポロ</t>
    </rPh>
    <rPh sb="6" eb="8">
      <t>ホンチョウ</t>
    </rPh>
    <phoneticPr fontId="1"/>
  </si>
  <si>
    <t>北海道江別市中央町43-20</t>
  </si>
  <si>
    <t>江別市見晴台29-1</t>
  </si>
  <si>
    <t>江別市大麻桜木町13-9</t>
  </si>
  <si>
    <t>※1309呼</t>
  </si>
  <si>
    <t>北海道江別市中央町43-3</t>
  </si>
  <si>
    <t>北海道江別市大麻栄町8-22</t>
  </si>
  <si>
    <t>江別市野幌若葉町60-21</t>
    <rPh sb="0" eb="3">
      <t>エベツシ</t>
    </rPh>
    <rPh sb="3" eb="5">
      <t>ノッポロ</t>
    </rPh>
    <rPh sb="5" eb="8">
      <t>ワカバチョウ</t>
    </rPh>
    <phoneticPr fontId="1"/>
  </si>
  <si>
    <t>江別市大麻桜木町17-20</t>
  </si>
  <si>
    <t>インペリアルエバー中島公園Ⅱ</t>
  </si>
  <si>
    <t>札幌市中央区南７条西２丁目２−３０</t>
  </si>
  <si>
    <t>サムティレジデンスS7</t>
  </si>
  <si>
    <t>札幌市中央区南7条西6丁目423-43</t>
  </si>
  <si>
    <t>ピソアルテ</t>
  </si>
  <si>
    <t xml:space="preserve">札幌市中央区南6条西7丁目7-7 </t>
  </si>
  <si>
    <t>D-STUDIO</t>
  </si>
  <si>
    <t>札幌市中央区南8条西9丁目1032−63</t>
  </si>
  <si>
    <t>テラスフィーノ</t>
  </si>
  <si>
    <t>札幌市中央区南5条西9丁目1016‐21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</si>
  <si>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※1025呼</t>
    <rPh sb="5" eb="6">
      <t>ヨ</t>
    </rPh>
    <phoneticPr fontId="1"/>
  </si>
  <si>
    <t>ハビタエイトビル</t>
  </si>
  <si>
    <t>札幌市中央区南8条西1丁目13番28号</t>
  </si>
  <si>
    <t>アムスタワー</t>
  </si>
  <si>
    <t>テラスアクシス</t>
  </si>
  <si>
    <t>プリオール北27条</t>
    <rPh sb="5" eb="6">
      <t>キタ</t>
    </rPh>
    <rPh sb="8" eb="9">
      <t>ジョウ</t>
    </rPh>
    <phoneticPr fontId="1"/>
  </si>
  <si>
    <t>札幌市北区北27条西4丁目2-21</t>
  </si>
  <si>
    <t>テラス北大前</t>
    <rPh sb="3" eb="6">
      <t>ホクダイマエ</t>
    </rPh>
    <phoneticPr fontId="1"/>
  </si>
  <si>
    <t>札幌市北区北12条西4丁目1-14</t>
  </si>
  <si>
    <t>ダイアパレス北10条</t>
    <rPh sb="6" eb="7">
      <t>キタ</t>
    </rPh>
    <rPh sb="9" eb="10">
      <t>ジョウ</t>
    </rPh>
    <phoneticPr fontId="1"/>
  </si>
  <si>
    <t>札幌市東区北10条東6丁目1－30</t>
  </si>
  <si>
    <t>EOS　Primero</t>
  </si>
  <si>
    <t>札幌市東区北１７条東９丁目２−１８</t>
  </si>
  <si>
    <t>フロンティア北10条</t>
    <rPh sb="6" eb="7">
      <t>キタ</t>
    </rPh>
    <rPh sb="9" eb="10">
      <t>ジョウ</t>
    </rPh>
    <phoneticPr fontId="1"/>
  </si>
  <si>
    <t>札幌市東区北10条東12丁目2-4</t>
    <rPh sb="0" eb="3">
      <t>サッポロシ</t>
    </rPh>
    <rPh sb="3" eb="5">
      <t>ヒガシク</t>
    </rPh>
    <rPh sb="12" eb="14">
      <t>チョウメ</t>
    </rPh>
    <phoneticPr fontId="1"/>
  </si>
  <si>
    <t>グランメールWEST9</t>
  </si>
  <si>
    <t>西区西町北9丁目1-20</t>
  </si>
  <si>
    <t>＃2103</t>
  </si>
  <si>
    <t>LEE東札幌A棟</t>
    <rPh sb="3" eb="6">
      <t>ヒガシサッポロ</t>
    </rPh>
    <rPh sb="7" eb="8">
      <t>トウ</t>
    </rPh>
    <phoneticPr fontId="1"/>
  </si>
  <si>
    <t>札幌市白石区東札幌3条4丁目5-1</t>
  </si>
  <si>
    <t>グランメールFPC本郷通10丁目南</t>
    <rPh sb="9" eb="12">
      <t>ホンゴウドオリ</t>
    </rPh>
    <rPh sb="14" eb="16">
      <t>チョウメ</t>
    </rPh>
    <rPh sb="16" eb="17">
      <t>ミナミ</t>
    </rPh>
    <phoneticPr fontId="1"/>
  </si>
  <si>
    <t>♯２１０３</t>
  </si>
  <si>
    <t>北郷貸事務所</t>
    <rPh sb="0" eb="2">
      <t>キタゴウ</t>
    </rPh>
    <rPh sb="2" eb="6">
      <t>カシジムショ</t>
    </rPh>
    <phoneticPr fontId="1"/>
  </si>
  <si>
    <t>札幌市白石区北郷2条6丁目3-13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</si>
  <si>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TerraceToyohira</t>
  </si>
  <si>
    <t>札幌市豊平区豊平4条3丁目4-13</t>
  </si>
  <si>
    <t>グランドジョラス</t>
  </si>
  <si>
    <t>札幌市豊平区平岸3条11丁目4-14</t>
  </si>
  <si>
    <t>呼0450</t>
  </si>
  <si>
    <t>サニーウェル前田</t>
  </si>
  <si>
    <t>札幌市手稲区前田5条11丁目2-1</t>
  </si>
  <si>
    <t>プルミエ22</t>
  </si>
  <si>
    <t>札幌市中央区北1条西22丁目3-34</t>
  </si>
  <si>
    <t>タウンシップ旭ヶ丘</t>
  </si>
  <si>
    <t>札幌市中央区南１１条西２３丁目４</t>
  </si>
  <si>
    <t>大通裏参道</t>
  </si>
  <si>
    <t>札幌市中央区南３条西２０丁目３−５</t>
  </si>
  <si>
    <t>プルミエ21</t>
  </si>
  <si>
    <t>札幌市中央区南1条西21丁目3-5</t>
  </si>
  <si>
    <t>トーカンマンション啓明</t>
  </si>
  <si>
    <t>札幌市中央区南11条西23丁目4-1</t>
  </si>
  <si>
    <t>北1条西27丁目　池上様宅</t>
  </si>
  <si>
    <t>札幌市中央区北1条西27丁目3-6</t>
  </si>
  <si>
    <t>チサンマンション植物園</t>
  </si>
  <si>
    <t>札幌市中央区北５条西１０丁目２−１</t>
  </si>
  <si>
    <t>クレド</t>
  </si>
  <si>
    <t>札幌市中央区南７条西１５丁目１−１</t>
  </si>
  <si>
    <t>シティハウス円山裏参道レジデンス</t>
  </si>
  <si>
    <t>札幌市中央区南2条西21丁目1-40</t>
  </si>
  <si>
    <t>ライオンズシティ大通公園</t>
  </si>
  <si>
    <t>札幌市中央区北１条西８丁目２−４９</t>
  </si>
  <si>
    <t>円山ブロードハイツ</t>
  </si>
  <si>
    <t>札幌市中央区南1条西27丁目1-45</t>
  </si>
  <si>
    <t>円山プレイス</t>
  </si>
  <si>
    <t>札幌市中央区南5条西24丁目1-14</t>
  </si>
  <si>
    <t>Ｄ’グラフォート札幌ステーションタワー</t>
  </si>
  <si>
    <t>札幌市北区北８条西３丁目</t>
  </si>
  <si>
    <t>カサブランカ</t>
  </si>
  <si>
    <t xml:space="preserve">札幌市中央区南7西13丁目3-17   </t>
  </si>
  <si>
    <t>ヴィルヌーブ裏参道</t>
  </si>
  <si>
    <t>札幌市中央区南１条西２４丁目１−１３</t>
  </si>
  <si>
    <t>フラット裏参道3・22</t>
  </si>
  <si>
    <t>札幌市中央区南3条西22丁目2-26</t>
  </si>
  <si>
    <t>呼4875</t>
  </si>
  <si>
    <t>ナカビシグランドハイツ北円山</t>
  </si>
  <si>
    <t>札幌市中央区北8条西24丁目1-30</t>
  </si>
  <si>
    <t>ファミール西１５</t>
  </si>
  <si>
    <t>札幌市中央区大通西１５丁目２－１８ ２番地18</t>
  </si>
  <si>
    <t>フラット北35条2</t>
  </si>
  <si>
    <t>札幌市北区北35条西２丁目1-35</t>
  </si>
  <si>
    <t>＃8075</t>
  </si>
  <si>
    <t>ノースシティ616</t>
  </si>
  <si>
    <t>札幌市北区新琴似6条16丁目2-16</t>
  </si>
  <si>
    <t>プレミスト札幌ターミナルタワー</t>
    <rPh sb="5" eb="7">
      <t>サッポロ</t>
    </rPh>
    <phoneticPr fontId="1"/>
  </si>
  <si>
    <t>成田様邸　</t>
    <rPh sb="0" eb="3">
      <t>ナリタサマ</t>
    </rPh>
    <rPh sb="3" eb="4">
      <t>テイ</t>
    </rPh>
    <phoneticPr fontId="1"/>
  </si>
  <si>
    <t>北海道札幌市東区北7条東1丁目1-10</t>
  </si>
  <si>
    <t>札幌市東区北19条東3丁目5番15</t>
    <rPh sb="0" eb="3">
      <t>サッポロシ</t>
    </rPh>
    <rPh sb="3" eb="5">
      <t>ヒガシク</t>
    </rPh>
    <phoneticPr fontId="1"/>
  </si>
  <si>
    <t>ハイムコンフォルト</t>
  </si>
  <si>
    <t>札幌市西区二十四軒４条４丁目１０－２８</t>
  </si>
  <si>
    <t>ベルファーレ発寒</t>
  </si>
  <si>
    <t>札幌市西区発寒4条7丁目4-8</t>
  </si>
  <si>
    <t>アーク琴似2・5</t>
  </si>
  <si>
    <t>札幌市西区琴似二条５丁目２－１６ ４４４番地2</t>
  </si>
  <si>
    <t>ライフステージ</t>
  </si>
  <si>
    <t>札幌市西区琴似2条7丁目2-40</t>
  </si>
  <si>
    <t>呼1065</t>
  </si>
  <si>
    <t>アップライズ平和</t>
  </si>
  <si>
    <t>札幌市西区平和2条6丁目1-43</t>
  </si>
  <si>
    <t>0609</t>
    <phoneticPr fontId="3"/>
  </si>
  <si>
    <t>0401</t>
    <phoneticPr fontId="3"/>
  </si>
  <si>
    <t>コーポ多田</t>
  </si>
  <si>
    <t>札幌市南区南沢5条4丁目1-24</t>
  </si>
  <si>
    <t>ベルメゾン菊水</t>
  </si>
  <si>
    <t>札幌市白石区菊水六条2丁目8番20号</t>
  </si>
  <si>
    <t>カーム19</t>
  </si>
  <si>
    <t>札幌市白石区本通19丁目南5-14</t>
  </si>
  <si>
    <t>PLAZA IN 東札幌Ⅱ</t>
  </si>
  <si>
    <t>札幌市白石区東札幌２条６丁目４−２７</t>
  </si>
  <si>
    <t>呼0529</t>
  </si>
  <si>
    <t>TMS平岸</t>
  </si>
  <si>
    <t>平岸4条6丁目1-23</t>
  </si>
  <si>
    <t>ヴィアーレ平岸</t>
  </si>
  <si>
    <t>札幌市豊平区平岸2条11丁目1-14</t>
  </si>
  <si>
    <t>＃0211</t>
  </si>
  <si>
    <t>ベル豊平</t>
  </si>
  <si>
    <t>北海道札幌市豊平区豊平五条６丁目１－５</t>
  </si>
  <si>
    <t>月寒EAST</t>
  </si>
  <si>
    <t>札幌市豊平区月寒東1条8丁目1-11</t>
  </si>
  <si>
    <t>メゾンドシャンブル</t>
  </si>
  <si>
    <t>札幌市厚別区厚別中央2条1丁目2-22</t>
  </si>
  <si>
    <t>呼0207</t>
  </si>
  <si>
    <t>ハイツモトファイブ</t>
  </si>
  <si>
    <t>札幌市厚別区大谷地2丁目5-40</t>
  </si>
  <si>
    <t>＃0123</t>
  </si>
  <si>
    <t>キング20パレス</t>
  </si>
  <si>
    <t>札幌市手稲区手稲本町3条1丁目2-20</t>
  </si>
  <si>
    <t>平野商会</t>
    <rPh sb="0" eb="4">
      <t>ヒラノショウカイ</t>
    </rPh>
    <phoneticPr fontId="3"/>
  </si>
  <si>
    <t>株式会社札幌ウィークリー</t>
    <phoneticPr fontId="3"/>
  </si>
  <si>
    <t>〒060-0004</t>
  </si>
  <si>
    <t>札幌市中央区北4条西16丁目1番地　　　</t>
  </si>
  <si>
    <t xml:space="preserve"> 第一ビル 6F</t>
  </si>
  <si>
    <t>〒060-0807</t>
  </si>
  <si>
    <t>札幌市北区北7条西5丁目5-3</t>
  </si>
  <si>
    <t>札幌千代田ビル１階・４階</t>
  </si>
  <si>
    <t>株式会社アプリーズ</t>
    <phoneticPr fontId="3"/>
  </si>
  <si>
    <t>〒060-0061</t>
  </si>
  <si>
    <t>札幌市中央区南1条西5丁目19-1　　　</t>
  </si>
  <si>
    <t>郵政福祉札幌第1ビル 3F</t>
  </si>
  <si>
    <t>号室　　　　</t>
    <rPh sb="0" eb="2">
      <t>ゴウシツ</t>
    </rPh>
    <phoneticPr fontId="3"/>
  </si>
  <si>
    <t>住所    　</t>
    <rPh sb="0" eb="2">
      <t>ジュウショ</t>
    </rPh>
    <phoneticPr fontId="3"/>
  </si>
  <si>
    <t>呼0405</t>
  </si>
  <si>
    <t>手書き入力</t>
    <rPh sb="0" eb="2">
      <t>テガ</t>
    </rPh>
    <rPh sb="3" eb="5">
      <t>ニュウリョク</t>
    </rPh>
    <phoneticPr fontId="3"/>
  </si>
  <si>
    <t>グランメール幌西B棟</t>
    <phoneticPr fontId="3"/>
  </si>
  <si>
    <t>札幌市中央区南9条西12丁目2-2</t>
    <phoneticPr fontId="3"/>
  </si>
  <si>
    <t>札幌市中央区南９条西4丁目3-1</t>
    <rPh sb="0" eb="3">
      <t>サッポロシ</t>
    </rPh>
    <phoneticPr fontId="3"/>
  </si>
  <si>
    <t>札幌市中央区南５条西9丁目1014-5</t>
    <rPh sb="0" eb="3">
      <t>サッポロシ</t>
    </rPh>
    <phoneticPr fontId="3"/>
  </si>
  <si>
    <t>札幌市中央区北11条西20丁目1-6</t>
    <rPh sb="0" eb="3">
      <t>サッポロシ</t>
    </rPh>
    <phoneticPr fontId="3"/>
  </si>
  <si>
    <t>まめの木保育園</t>
    <rPh sb="3" eb="7">
      <t>キホイクエン</t>
    </rPh>
    <phoneticPr fontId="3"/>
  </si>
  <si>
    <t>クロス施工</t>
    <rPh sb="3" eb="5">
      <t>セコウ</t>
    </rPh>
    <phoneticPr fontId="9"/>
  </si>
  <si>
    <t>CF工事</t>
    <rPh sb="2" eb="4">
      <t>コウジ</t>
    </rPh>
    <phoneticPr fontId="9"/>
  </si>
  <si>
    <t>設備、水回り工事</t>
    <rPh sb="0" eb="2">
      <t>セツビ</t>
    </rPh>
    <rPh sb="3" eb="4">
      <t>ミズ</t>
    </rPh>
    <rPh sb="4" eb="5">
      <t>マワ</t>
    </rPh>
    <rPh sb="6" eb="8">
      <t>コウジ</t>
    </rPh>
    <phoneticPr fontId="9"/>
  </si>
  <si>
    <t>居間クロス張替　　　天井</t>
    <rPh sb="0" eb="2">
      <t>イマ</t>
    </rPh>
    <rPh sb="5" eb="7">
      <t>ハリカエ</t>
    </rPh>
    <rPh sb="10" eb="12">
      <t>テンジョウ</t>
    </rPh>
    <phoneticPr fontId="9"/>
  </si>
  <si>
    <t>居間　　 CF貼り</t>
    <rPh sb="0" eb="2">
      <t>イマ</t>
    </rPh>
    <rPh sb="7" eb="8">
      <t>ハ</t>
    </rPh>
    <phoneticPr fontId="9"/>
  </si>
  <si>
    <t>キッチン交換　シンク、吊戸、ガス台</t>
    <rPh sb="4" eb="6">
      <t>コウカン</t>
    </rPh>
    <rPh sb="11" eb="13">
      <t>ツリト</t>
    </rPh>
    <rPh sb="16" eb="17">
      <t>ダイ</t>
    </rPh>
    <phoneticPr fontId="9"/>
  </si>
  <si>
    <t>居間クロス張替　　　壁</t>
    <rPh sb="0" eb="2">
      <t>イマ</t>
    </rPh>
    <rPh sb="5" eb="7">
      <t>ハリカエ</t>
    </rPh>
    <rPh sb="10" eb="11">
      <t>カベ</t>
    </rPh>
    <phoneticPr fontId="9"/>
  </si>
  <si>
    <t>居間　　 CF貼り　 収納含む</t>
    <rPh sb="0" eb="2">
      <t>イマ</t>
    </rPh>
    <rPh sb="7" eb="8">
      <t>ハ</t>
    </rPh>
    <rPh sb="11" eb="13">
      <t>シュウノウ</t>
    </rPh>
    <rPh sb="13" eb="14">
      <t>フク</t>
    </rPh>
    <phoneticPr fontId="9"/>
  </si>
  <si>
    <t>※　キッチンサイズ記入</t>
    <rPh sb="9" eb="11">
      <t>キニュウ</t>
    </rPh>
    <phoneticPr fontId="9"/>
  </si>
  <si>
    <t>居間クロス張替　　　収納　天井壁</t>
    <rPh sb="0" eb="2">
      <t>イマ</t>
    </rPh>
    <rPh sb="5" eb="7">
      <t>ハリカエ</t>
    </rPh>
    <rPh sb="10" eb="12">
      <t>シュウノウ</t>
    </rPh>
    <rPh sb="13" eb="16">
      <t>テンジョウカベ</t>
    </rPh>
    <phoneticPr fontId="9"/>
  </si>
  <si>
    <t>台所　　 CF貼り　</t>
    <rPh sb="0" eb="2">
      <t>ダイドコロ</t>
    </rPh>
    <rPh sb="7" eb="8">
      <t>ハ</t>
    </rPh>
    <phoneticPr fontId="9"/>
  </si>
  <si>
    <t>台所混合栓交換　壁式</t>
    <rPh sb="0" eb="2">
      <t>ダイドコロ</t>
    </rPh>
    <rPh sb="2" eb="7">
      <t>コンゴウセンコウカン</t>
    </rPh>
    <rPh sb="8" eb="10">
      <t>カベシキ</t>
    </rPh>
    <phoneticPr fontId="9"/>
  </si>
  <si>
    <t>居間クロス張替　　　マスキング部</t>
    <rPh sb="0" eb="2">
      <t>イマ</t>
    </rPh>
    <rPh sb="5" eb="7">
      <t>ハリカエ</t>
    </rPh>
    <rPh sb="15" eb="16">
      <t>ブ</t>
    </rPh>
    <phoneticPr fontId="9"/>
  </si>
  <si>
    <t>台所　　 CF貼り　 収納含む</t>
    <rPh sb="0" eb="2">
      <t>ダイドコロ</t>
    </rPh>
    <rPh sb="7" eb="8">
      <t>ハ</t>
    </rPh>
    <rPh sb="11" eb="14">
      <t>シュウノウフク</t>
    </rPh>
    <phoneticPr fontId="9"/>
  </si>
  <si>
    <t>台所混合栓交換　ワンホール</t>
    <rPh sb="0" eb="7">
      <t>ダイドコロコンゴウセンコウカン</t>
    </rPh>
    <phoneticPr fontId="9"/>
  </si>
  <si>
    <t>居間アクセントクロス施工</t>
    <rPh sb="0" eb="2">
      <t>イマ</t>
    </rPh>
    <rPh sb="10" eb="12">
      <t>セコウ</t>
    </rPh>
    <phoneticPr fontId="9"/>
  </si>
  <si>
    <t>洋間左</t>
    <rPh sb="0" eb="3">
      <t>ヨウマヒダリ</t>
    </rPh>
    <phoneticPr fontId="9"/>
  </si>
  <si>
    <t>台所混合栓交換　デッキ式　シングルレバー</t>
    <rPh sb="0" eb="7">
      <t>ダイドコロコンゴウセンコウカン</t>
    </rPh>
    <rPh sb="11" eb="12">
      <t>シキ</t>
    </rPh>
    <phoneticPr fontId="9"/>
  </si>
  <si>
    <t>台所クロス張替      天井</t>
    <rPh sb="0" eb="2">
      <t>ダイドコロ</t>
    </rPh>
    <rPh sb="5" eb="7">
      <t>ハリカエ</t>
    </rPh>
    <rPh sb="13" eb="15">
      <t>テンジョウ</t>
    </rPh>
    <phoneticPr fontId="9"/>
  </si>
  <si>
    <t>台所混合栓交換　デッキ式　2バルブ</t>
    <rPh sb="0" eb="7">
      <t>ダイドコロコンゴウセンコウカン</t>
    </rPh>
    <rPh sb="11" eb="12">
      <t>シキ</t>
    </rPh>
    <phoneticPr fontId="9"/>
  </si>
  <si>
    <t>台所クロス張替      壁</t>
    <rPh sb="0" eb="2">
      <t>ダイドコロ</t>
    </rPh>
    <rPh sb="5" eb="7">
      <t>ハリカエ</t>
    </rPh>
    <rPh sb="13" eb="14">
      <t>カベ</t>
    </rPh>
    <phoneticPr fontId="9"/>
  </si>
  <si>
    <t>洋間（左側手前）　CF貼り　</t>
    <rPh sb="0" eb="2">
      <t>ヨウマ</t>
    </rPh>
    <rPh sb="3" eb="5">
      <t>ヒダリガワ</t>
    </rPh>
    <rPh sb="5" eb="7">
      <t>テマエ</t>
    </rPh>
    <rPh sb="11" eb="12">
      <t>ハ</t>
    </rPh>
    <phoneticPr fontId="9"/>
  </si>
  <si>
    <t>台所混合栓交換　カートリッジ、パッキン交換</t>
    <rPh sb="0" eb="7">
      <t>ダイドコロコンゴウセンコウカン</t>
    </rPh>
    <rPh sb="19" eb="21">
      <t>コウカン</t>
    </rPh>
    <phoneticPr fontId="9"/>
  </si>
  <si>
    <t>台所クロス張替      収納　天井壁</t>
    <rPh sb="0" eb="2">
      <t>ダイドコロ</t>
    </rPh>
    <rPh sb="5" eb="7">
      <t>ハリカエ</t>
    </rPh>
    <rPh sb="13" eb="15">
      <t>シュウノウ</t>
    </rPh>
    <rPh sb="16" eb="19">
      <t>テンジョウカベ</t>
    </rPh>
    <phoneticPr fontId="9"/>
  </si>
  <si>
    <t>洋間（左側手前）　CF貼り　収納含む</t>
    <rPh sb="0" eb="2">
      <t>ヨウマ</t>
    </rPh>
    <rPh sb="3" eb="5">
      <t>ヒダリガワ</t>
    </rPh>
    <rPh sb="5" eb="7">
      <t>テマエ</t>
    </rPh>
    <rPh sb="11" eb="12">
      <t>ハ</t>
    </rPh>
    <rPh sb="14" eb="17">
      <t>シュウノウフク</t>
    </rPh>
    <phoneticPr fontId="9"/>
  </si>
  <si>
    <t>台所排水詰まり解消</t>
    <rPh sb="0" eb="2">
      <t>ダイドコロ</t>
    </rPh>
    <rPh sb="2" eb="4">
      <t>ハイスイ</t>
    </rPh>
    <rPh sb="4" eb="5">
      <t>ツ</t>
    </rPh>
    <rPh sb="7" eb="9">
      <t>カイショウ</t>
    </rPh>
    <phoneticPr fontId="9"/>
  </si>
  <si>
    <t>台所クロス張替　　  マスキング部</t>
    <rPh sb="0" eb="2">
      <t>ダイドコロ</t>
    </rPh>
    <rPh sb="5" eb="7">
      <t>ハリカエ</t>
    </rPh>
    <rPh sb="16" eb="17">
      <t>ブ</t>
    </rPh>
    <phoneticPr fontId="9"/>
  </si>
  <si>
    <t>洋間（左側奥）   　CF貼り　</t>
    <rPh sb="0" eb="2">
      <t>ヨウマ</t>
    </rPh>
    <rPh sb="3" eb="5">
      <t>ヒダリガワ</t>
    </rPh>
    <rPh sb="5" eb="6">
      <t>オク</t>
    </rPh>
    <rPh sb="13" eb="14">
      <t>ハ</t>
    </rPh>
    <phoneticPr fontId="9"/>
  </si>
  <si>
    <t>台所排水漏水修理</t>
    <rPh sb="0" eb="2">
      <t>ダイドコロ</t>
    </rPh>
    <rPh sb="2" eb="4">
      <t>ハイスイ</t>
    </rPh>
    <rPh sb="4" eb="8">
      <t>ロウスイシュウリ</t>
    </rPh>
    <phoneticPr fontId="9"/>
  </si>
  <si>
    <t>台所アクセントクロス施工</t>
    <rPh sb="0" eb="2">
      <t>ダイドコロ</t>
    </rPh>
    <rPh sb="10" eb="12">
      <t>セコウ</t>
    </rPh>
    <phoneticPr fontId="9"/>
  </si>
  <si>
    <t>洋間（左側奥）　   CF貼り　収納含む</t>
    <rPh sb="0" eb="2">
      <t>ヨウマ</t>
    </rPh>
    <rPh sb="3" eb="5">
      <t>ヒダリガワ</t>
    </rPh>
    <rPh sb="5" eb="6">
      <t>オク</t>
    </rPh>
    <rPh sb="13" eb="14">
      <t>ハ</t>
    </rPh>
    <rPh sb="16" eb="19">
      <t>シュウノウフク</t>
    </rPh>
    <phoneticPr fontId="9"/>
  </si>
  <si>
    <t>台所排水トラップ交換　ホース共</t>
    <rPh sb="0" eb="2">
      <t>ダイドコロ</t>
    </rPh>
    <rPh sb="2" eb="4">
      <t>ハイスイ</t>
    </rPh>
    <rPh sb="8" eb="10">
      <t>コウカン</t>
    </rPh>
    <rPh sb="14" eb="15">
      <t>トモ</t>
    </rPh>
    <phoneticPr fontId="9"/>
  </si>
  <si>
    <t>LDK</t>
    <phoneticPr fontId="9"/>
  </si>
  <si>
    <t>LDKクロス張替　　 天井</t>
    <rPh sb="6" eb="8">
      <t>ハリカエ</t>
    </rPh>
    <rPh sb="11" eb="13">
      <t>テンジョウ</t>
    </rPh>
    <phoneticPr fontId="9"/>
  </si>
  <si>
    <t>洋間右</t>
    <rPh sb="0" eb="3">
      <t>ヨウマミギ</t>
    </rPh>
    <phoneticPr fontId="9"/>
  </si>
  <si>
    <t>台所底板貼り</t>
    <rPh sb="0" eb="2">
      <t>ダイドコロ</t>
    </rPh>
    <rPh sb="2" eb="4">
      <t>ソコイタ</t>
    </rPh>
    <rPh sb="4" eb="5">
      <t>ハ</t>
    </rPh>
    <phoneticPr fontId="9"/>
  </si>
  <si>
    <t>LDKクロス張替  　 壁</t>
    <rPh sb="6" eb="8">
      <t>ハリカエ</t>
    </rPh>
    <rPh sb="12" eb="13">
      <t>カベ</t>
    </rPh>
    <phoneticPr fontId="9"/>
  </si>
  <si>
    <t>台所防臭処理　</t>
    <rPh sb="0" eb="2">
      <t>ダイドコロ</t>
    </rPh>
    <rPh sb="2" eb="6">
      <t>ボウシュウショリ</t>
    </rPh>
    <phoneticPr fontId="9"/>
  </si>
  <si>
    <t>LDKクロス張替　　 収納　天井壁</t>
    <rPh sb="6" eb="8">
      <t>ハリカエ</t>
    </rPh>
    <rPh sb="11" eb="13">
      <t>シュウノウ</t>
    </rPh>
    <rPh sb="14" eb="17">
      <t>テンジョウカベ</t>
    </rPh>
    <phoneticPr fontId="9"/>
  </si>
  <si>
    <t>洋間（右側手前）　CF貼り　</t>
    <rPh sb="0" eb="2">
      <t>ヨウマ</t>
    </rPh>
    <rPh sb="3" eb="5">
      <t>ミギガワ</t>
    </rPh>
    <rPh sb="5" eb="7">
      <t>テマエ</t>
    </rPh>
    <rPh sb="11" eb="12">
      <t>ハ</t>
    </rPh>
    <phoneticPr fontId="9"/>
  </si>
  <si>
    <t>浴室、浴槽</t>
    <rPh sb="0" eb="2">
      <t>ヨクシツ</t>
    </rPh>
    <rPh sb="3" eb="5">
      <t>ヨクソウ</t>
    </rPh>
    <phoneticPr fontId="9"/>
  </si>
  <si>
    <t>浴室混合栓交換　サーモ式</t>
    <rPh sb="0" eb="2">
      <t>ヨクシツ</t>
    </rPh>
    <rPh sb="2" eb="5">
      <t>コンゴウセン</t>
    </rPh>
    <rPh sb="5" eb="7">
      <t>コウカン</t>
    </rPh>
    <rPh sb="11" eb="12">
      <t>シキ</t>
    </rPh>
    <phoneticPr fontId="9"/>
  </si>
  <si>
    <t>LDKクロス張替　　 マスキング部</t>
    <rPh sb="6" eb="8">
      <t>ハリカエ</t>
    </rPh>
    <rPh sb="16" eb="17">
      <t>ブ</t>
    </rPh>
    <phoneticPr fontId="9"/>
  </si>
  <si>
    <t>洋間（右側手前）　CF貼り　収納含む</t>
    <rPh sb="0" eb="2">
      <t>ヨウマ</t>
    </rPh>
    <rPh sb="3" eb="5">
      <t>ミギガワ</t>
    </rPh>
    <rPh sb="5" eb="7">
      <t>テマエ</t>
    </rPh>
    <rPh sb="11" eb="12">
      <t>ハ</t>
    </rPh>
    <rPh sb="14" eb="17">
      <t>シュウノウフク</t>
    </rPh>
    <phoneticPr fontId="9"/>
  </si>
  <si>
    <t>浴室混合栓交換　2バルブ</t>
    <rPh sb="0" eb="5">
      <t>ヨクシツコンゴウセン</t>
    </rPh>
    <rPh sb="5" eb="7">
      <t>コウカン</t>
    </rPh>
    <phoneticPr fontId="9"/>
  </si>
  <si>
    <t>LDKアクセントクロス施工</t>
    <rPh sb="11" eb="13">
      <t>セコウ</t>
    </rPh>
    <phoneticPr fontId="9"/>
  </si>
  <si>
    <t>洋間（右側奥）   　CF貼り　</t>
    <rPh sb="0" eb="2">
      <t>ヨウマ</t>
    </rPh>
    <rPh sb="3" eb="5">
      <t>ミギガワ</t>
    </rPh>
    <rPh sb="5" eb="6">
      <t>オク</t>
    </rPh>
    <rPh sb="13" eb="14">
      <t>ハ</t>
    </rPh>
    <phoneticPr fontId="9"/>
  </si>
  <si>
    <t>浴室混合栓パッキン交換</t>
    <rPh sb="0" eb="2">
      <t>ヨクシツ</t>
    </rPh>
    <rPh sb="2" eb="5">
      <t>コンゴウセン</t>
    </rPh>
    <rPh sb="9" eb="11">
      <t>コウカン</t>
    </rPh>
    <phoneticPr fontId="9"/>
  </si>
  <si>
    <t>洋間</t>
    <rPh sb="0" eb="2">
      <t>ヨウマ</t>
    </rPh>
    <phoneticPr fontId="9"/>
  </si>
  <si>
    <t>洋間クロス張替　　 天井</t>
    <rPh sb="0" eb="2">
      <t>ヨウマ</t>
    </rPh>
    <rPh sb="5" eb="7">
      <t>ハリカエ</t>
    </rPh>
    <rPh sb="10" eb="12">
      <t>テンジョウ</t>
    </rPh>
    <phoneticPr fontId="9"/>
  </si>
  <si>
    <t>洋間（右側奥）　   CF貼り　収納含む</t>
    <rPh sb="0" eb="2">
      <t>ヨウマ</t>
    </rPh>
    <rPh sb="3" eb="5">
      <t>ミギガワ</t>
    </rPh>
    <rPh sb="5" eb="6">
      <t>オク</t>
    </rPh>
    <rPh sb="13" eb="14">
      <t>ハ</t>
    </rPh>
    <rPh sb="16" eb="19">
      <t>シュウノウフク</t>
    </rPh>
    <phoneticPr fontId="9"/>
  </si>
  <si>
    <t>浴室シャワーホースヘッド交換</t>
    <rPh sb="0" eb="2">
      <t>ヨクシツ</t>
    </rPh>
    <rPh sb="12" eb="14">
      <t>コウカン</t>
    </rPh>
    <phoneticPr fontId="9"/>
  </si>
  <si>
    <t>洋間クロス張替  　 壁</t>
    <rPh sb="0" eb="2">
      <t>ヨウマ</t>
    </rPh>
    <rPh sb="5" eb="7">
      <t>ハリカエ</t>
    </rPh>
    <rPh sb="11" eb="12">
      <t>カベ</t>
    </rPh>
    <phoneticPr fontId="9"/>
  </si>
  <si>
    <t>洋間中</t>
    <rPh sb="0" eb="3">
      <t>ヨウマチュウ</t>
    </rPh>
    <phoneticPr fontId="9"/>
  </si>
  <si>
    <t>浴室鏡交換　　※サイズ記入</t>
    <rPh sb="0" eb="2">
      <t>ヨクシツ</t>
    </rPh>
    <rPh sb="2" eb="5">
      <t>カガミコウカン</t>
    </rPh>
    <rPh sb="11" eb="13">
      <t>キニュウ</t>
    </rPh>
    <phoneticPr fontId="9"/>
  </si>
  <si>
    <t>洋間クロス張替　　 収納　天井壁</t>
    <rPh sb="0" eb="2">
      <t>ヨウマ</t>
    </rPh>
    <rPh sb="5" eb="7">
      <t>ハリカエ</t>
    </rPh>
    <rPh sb="10" eb="12">
      <t>シュウノウ</t>
    </rPh>
    <rPh sb="13" eb="16">
      <t>テンジョウカベ</t>
    </rPh>
    <phoneticPr fontId="9"/>
  </si>
  <si>
    <t>浴槽　ゴム栓、チェーン交換</t>
    <rPh sb="0" eb="2">
      <t>ヨクソウ</t>
    </rPh>
    <rPh sb="5" eb="6">
      <t>セン</t>
    </rPh>
    <rPh sb="11" eb="13">
      <t>コウカン</t>
    </rPh>
    <phoneticPr fontId="9"/>
  </si>
  <si>
    <t>洋間クロス張替　　 マスキング部</t>
    <rPh sb="0" eb="2">
      <t>ヨウマ</t>
    </rPh>
    <rPh sb="5" eb="7">
      <t>ハリカエ</t>
    </rPh>
    <rPh sb="15" eb="16">
      <t>ブ</t>
    </rPh>
    <phoneticPr fontId="9"/>
  </si>
  <si>
    <t>玄関　　 CF貼り</t>
    <rPh sb="0" eb="2">
      <t>ゲンカン</t>
    </rPh>
    <rPh sb="7" eb="8">
      <t>ハ</t>
    </rPh>
    <phoneticPr fontId="9"/>
  </si>
  <si>
    <t>浴室排水詰まり解消</t>
    <rPh sb="0" eb="2">
      <t>ヨクシツ</t>
    </rPh>
    <rPh sb="2" eb="4">
      <t>ハイスイ</t>
    </rPh>
    <rPh sb="4" eb="5">
      <t>ツ</t>
    </rPh>
    <rPh sb="7" eb="9">
      <t>カイショウ</t>
    </rPh>
    <phoneticPr fontId="9"/>
  </si>
  <si>
    <t>洋間アクセントクロス施工</t>
    <rPh sb="0" eb="2">
      <t>ヨウマ</t>
    </rPh>
    <rPh sb="10" eb="12">
      <t>セコウ</t>
    </rPh>
    <phoneticPr fontId="9"/>
  </si>
  <si>
    <t>玄関　　 CF貼り　収納含む</t>
    <rPh sb="0" eb="2">
      <t>ゲンカン</t>
    </rPh>
    <rPh sb="7" eb="8">
      <t>ハ</t>
    </rPh>
    <rPh sb="10" eb="13">
      <t>シュウノウフク</t>
    </rPh>
    <phoneticPr fontId="9"/>
  </si>
  <si>
    <t>浴室換気扇交換　　※　品番記入</t>
    <rPh sb="0" eb="2">
      <t>ヨクシツ</t>
    </rPh>
    <rPh sb="2" eb="7">
      <t>カンキセンコウカン</t>
    </rPh>
    <rPh sb="11" eb="15">
      <t>ヒンバンキニュウ</t>
    </rPh>
    <phoneticPr fontId="9"/>
  </si>
  <si>
    <t>UT　　　 CF貼り　　</t>
    <rPh sb="8" eb="9">
      <t>ハ</t>
    </rPh>
    <phoneticPr fontId="9"/>
  </si>
  <si>
    <t>浴室換気乾燥暖房機交換</t>
    <rPh sb="0" eb="2">
      <t>ヨクシツ</t>
    </rPh>
    <rPh sb="2" eb="9">
      <t>カンキカンソウダンボウキ</t>
    </rPh>
    <rPh sb="9" eb="11">
      <t>コウカン</t>
    </rPh>
    <phoneticPr fontId="9"/>
  </si>
  <si>
    <t>UT　　　 CF貼り　収納含む</t>
    <rPh sb="8" eb="9">
      <t>ハ</t>
    </rPh>
    <rPh sb="11" eb="14">
      <t>シュウノウフク</t>
    </rPh>
    <phoneticPr fontId="9"/>
  </si>
  <si>
    <t>UT シャンプードレッサー交換　※サイズ記入</t>
    <rPh sb="13" eb="15">
      <t>コウカン</t>
    </rPh>
    <rPh sb="20" eb="22">
      <t>キニュウ</t>
    </rPh>
    <phoneticPr fontId="9"/>
  </si>
  <si>
    <t>WC　　　 CF貼り</t>
    <rPh sb="8" eb="9">
      <t>ハ</t>
    </rPh>
    <phoneticPr fontId="9"/>
  </si>
  <si>
    <t>UT シャンプードレッサーキャビネット交換　※サイズ記入</t>
    <rPh sb="19" eb="21">
      <t>コウカン</t>
    </rPh>
    <rPh sb="26" eb="28">
      <t>キニュウ</t>
    </rPh>
    <phoneticPr fontId="9"/>
  </si>
  <si>
    <t>WC　　　 CF貼り　収納含む</t>
    <rPh sb="8" eb="9">
      <t>ハ</t>
    </rPh>
    <rPh sb="11" eb="14">
      <t>シュウノウフク</t>
    </rPh>
    <phoneticPr fontId="9"/>
  </si>
  <si>
    <t>UT シャンプードレッサー下台交換　※サイズ記入</t>
    <rPh sb="13" eb="15">
      <t>シタダイ</t>
    </rPh>
    <rPh sb="15" eb="17">
      <t>コウカン</t>
    </rPh>
    <rPh sb="22" eb="24">
      <t>キニュウ</t>
    </rPh>
    <phoneticPr fontId="9"/>
  </si>
  <si>
    <t>洋間（左側手前）クロス張替　天井</t>
    <rPh sb="0" eb="2">
      <t>ヨウマ</t>
    </rPh>
    <rPh sb="3" eb="5">
      <t>ヒダリガワ</t>
    </rPh>
    <rPh sb="5" eb="7">
      <t>テマエ</t>
    </rPh>
    <rPh sb="11" eb="13">
      <t>ハリカエ</t>
    </rPh>
    <rPh sb="14" eb="16">
      <t>テンジョウ</t>
    </rPh>
    <phoneticPr fontId="9"/>
  </si>
  <si>
    <t>階段</t>
    <rPh sb="0" eb="2">
      <t>カイダン</t>
    </rPh>
    <phoneticPr fontId="9"/>
  </si>
  <si>
    <t>階段　　 CF貼り</t>
    <rPh sb="0" eb="2">
      <t>カイダン</t>
    </rPh>
    <rPh sb="7" eb="8">
      <t>ハ</t>
    </rPh>
    <phoneticPr fontId="9"/>
  </si>
  <si>
    <t>UT　シャンプードレッサー交換に伴うクロス張替</t>
    <rPh sb="13" eb="15">
      <t>コウカン</t>
    </rPh>
    <rPh sb="16" eb="17">
      <t>トモナ</t>
    </rPh>
    <rPh sb="21" eb="23">
      <t>ハリカエ</t>
    </rPh>
    <phoneticPr fontId="9"/>
  </si>
  <si>
    <t>洋間（左側手前）クロス張替　壁</t>
    <rPh sb="0" eb="2">
      <t>ヨウマ</t>
    </rPh>
    <rPh sb="3" eb="5">
      <t>ヒダリガワ</t>
    </rPh>
    <rPh sb="5" eb="7">
      <t>テマエ</t>
    </rPh>
    <rPh sb="11" eb="13">
      <t>ハリカエ</t>
    </rPh>
    <rPh sb="14" eb="15">
      <t>カベ</t>
    </rPh>
    <phoneticPr fontId="9"/>
  </si>
  <si>
    <t>階段　　 CF貼り　収納含む</t>
    <rPh sb="0" eb="2">
      <t>カイダン</t>
    </rPh>
    <rPh sb="10" eb="13">
      <t>シュウノウフク</t>
    </rPh>
    <phoneticPr fontId="9"/>
  </si>
  <si>
    <t>UT　シャンプードレッサー交換に伴うCF貼り</t>
    <rPh sb="13" eb="15">
      <t>コウカン</t>
    </rPh>
    <rPh sb="16" eb="17">
      <t>トモナ</t>
    </rPh>
    <rPh sb="20" eb="21">
      <t>ハ</t>
    </rPh>
    <phoneticPr fontId="9"/>
  </si>
  <si>
    <t>洋間（左側手前）クロス張替　収納　天井壁</t>
    <rPh sb="0" eb="2">
      <t>ヨウマ</t>
    </rPh>
    <rPh sb="3" eb="5">
      <t>ヒダリガワ</t>
    </rPh>
    <rPh sb="5" eb="7">
      <t>テマエ</t>
    </rPh>
    <rPh sb="11" eb="13">
      <t>ハリカエ</t>
    </rPh>
    <rPh sb="14" eb="16">
      <t>シュウノウ</t>
    </rPh>
    <rPh sb="17" eb="20">
      <t>テンジョウカベ</t>
    </rPh>
    <phoneticPr fontId="9"/>
  </si>
  <si>
    <t>ホール</t>
    <phoneticPr fontId="9"/>
  </si>
  <si>
    <t>ホール　CF貼り</t>
    <rPh sb="6" eb="7">
      <t>ハ</t>
    </rPh>
    <phoneticPr fontId="9"/>
  </si>
  <si>
    <t>UT　シャンプードレッサー交換に伴う床見切り取付</t>
    <rPh sb="13" eb="15">
      <t>コウカン</t>
    </rPh>
    <rPh sb="16" eb="17">
      <t>トモナ</t>
    </rPh>
    <rPh sb="18" eb="21">
      <t>ユカミキ</t>
    </rPh>
    <rPh sb="22" eb="24">
      <t>トリツケ</t>
    </rPh>
    <phoneticPr fontId="9"/>
  </si>
  <si>
    <t>洋間（左側奥）   クロス張替　天井</t>
    <rPh sb="0" eb="2">
      <t>ヨウマ</t>
    </rPh>
    <rPh sb="3" eb="5">
      <t>ヒダリガワ</t>
    </rPh>
    <rPh sb="5" eb="6">
      <t>オク</t>
    </rPh>
    <rPh sb="13" eb="15">
      <t>ハリカエ</t>
    </rPh>
    <rPh sb="16" eb="18">
      <t>テンジョウ</t>
    </rPh>
    <phoneticPr fontId="9"/>
  </si>
  <si>
    <t>ホール　CF貼り　収納含む</t>
    <rPh sb="6" eb="7">
      <t>ハ</t>
    </rPh>
    <rPh sb="9" eb="12">
      <t>シュウノウフク</t>
    </rPh>
    <phoneticPr fontId="9"/>
  </si>
  <si>
    <t>UT　混合栓交換　</t>
    <rPh sb="3" eb="8">
      <t>コンゴウセンコウカン</t>
    </rPh>
    <phoneticPr fontId="9"/>
  </si>
  <si>
    <t>洋間（左側奥）   クロス張替　壁</t>
    <rPh sb="0" eb="2">
      <t>ヨウマ</t>
    </rPh>
    <rPh sb="3" eb="5">
      <t>ヒダリガワ</t>
    </rPh>
    <rPh sb="5" eb="6">
      <t>オク</t>
    </rPh>
    <rPh sb="13" eb="15">
      <t>ハリカエ</t>
    </rPh>
    <rPh sb="16" eb="17">
      <t>カベ</t>
    </rPh>
    <phoneticPr fontId="9"/>
  </si>
  <si>
    <t>フロアタイル工事</t>
    <rPh sb="6" eb="8">
      <t>コウジ</t>
    </rPh>
    <phoneticPr fontId="9"/>
  </si>
  <si>
    <t>UT　洗面台排水詰まり解消</t>
    <rPh sb="3" eb="6">
      <t>センメンダイ</t>
    </rPh>
    <rPh sb="6" eb="8">
      <t>ハイスイ</t>
    </rPh>
    <rPh sb="8" eb="9">
      <t>ツ</t>
    </rPh>
    <rPh sb="11" eb="13">
      <t>カイショウ</t>
    </rPh>
    <phoneticPr fontId="9"/>
  </si>
  <si>
    <t>洋間（左側奥）   クロス張替　収納　天井壁</t>
    <rPh sb="0" eb="2">
      <t>ヨウマ</t>
    </rPh>
    <rPh sb="3" eb="5">
      <t>ヒダリガワ</t>
    </rPh>
    <rPh sb="5" eb="6">
      <t>オク</t>
    </rPh>
    <rPh sb="13" eb="15">
      <t>ハリカエ</t>
    </rPh>
    <rPh sb="16" eb="18">
      <t>シュウノウ</t>
    </rPh>
    <rPh sb="19" eb="22">
      <t>テンジョウカベ</t>
    </rPh>
    <phoneticPr fontId="9"/>
  </si>
  <si>
    <t>居間　　 フロアタイル貼り</t>
    <rPh sb="0" eb="2">
      <t>イマ</t>
    </rPh>
    <rPh sb="11" eb="12">
      <t>ハ</t>
    </rPh>
    <phoneticPr fontId="9"/>
  </si>
  <si>
    <t>UT　シャンプードレッサー底板貼り</t>
    <rPh sb="13" eb="15">
      <t>ソコイタ</t>
    </rPh>
    <rPh sb="15" eb="16">
      <t>ハ</t>
    </rPh>
    <phoneticPr fontId="9"/>
  </si>
  <si>
    <t>洋間左アクセントクロス施工</t>
    <rPh sb="0" eb="2">
      <t>ヨウマ</t>
    </rPh>
    <rPh sb="2" eb="3">
      <t>ヒダリ</t>
    </rPh>
    <rPh sb="11" eb="13">
      <t>セコウ</t>
    </rPh>
    <phoneticPr fontId="9"/>
  </si>
  <si>
    <t>居間　　 フロアタイル貼り　 収納含む</t>
    <rPh sb="0" eb="2">
      <t>イマ</t>
    </rPh>
    <rPh sb="11" eb="12">
      <t>ハ</t>
    </rPh>
    <rPh sb="15" eb="17">
      <t>シュウノウ</t>
    </rPh>
    <rPh sb="17" eb="18">
      <t>フク</t>
    </rPh>
    <phoneticPr fontId="9"/>
  </si>
  <si>
    <t>UT　換気扇交換　　※品番記入</t>
    <rPh sb="3" eb="8">
      <t>カンキセンコウカン</t>
    </rPh>
    <rPh sb="11" eb="13">
      <t>ヒンバン</t>
    </rPh>
    <rPh sb="13" eb="15">
      <t>キニュウ</t>
    </rPh>
    <phoneticPr fontId="9"/>
  </si>
  <si>
    <t>洋間（左側手前）アクセントクロス施工</t>
    <rPh sb="0" eb="2">
      <t>ヨウマ</t>
    </rPh>
    <rPh sb="3" eb="5">
      <t>ヒダリガワ</t>
    </rPh>
    <rPh sb="5" eb="7">
      <t>テマエ</t>
    </rPh>
    <rPh sb="16" eb="18">
      <t>セコウ</t>
    </rPh>
    <phoneticPr fontId="9"/>
  </si>
  <si>
    <t>台所　　 フロアタイル貼り　</t>
    <rPh sb="0" eb="2">
      <t>ダイドコロ</t>
    </rPh>
    <rPh sb="11" eb="12">
      <t>ハ</t>
    </rPh>
    <phoneticPr fontId="9"/>
  </si>
  <si>
    <t>WC　温水洗浄便座交換</t>
    <rPh sb="3" eb="11">
      <t>オンスイセンジョウベンザコウカン</t>
    </rPh>
    <phoneticPr fontId="9"/>
  </si>
  <si>
    <t>洋間（左側奥）　 アクセントクロス施工</t>
    <rPh sb="0" eb="2">
      <t>ヨウマ</t>
    </rPh>
    <rPh sb="3" eb="5">
      <t>ヒダリガワ</t>
    </rPh>
    <rPh sb="5" eb="6">
      <t>オク</t>
    </rPh>
    <rPh sb="17" eb="19">
      <t>セコウ</t>
    </rPh>
    <phoneticPr fontId="9"/>
  </si>
  <si>
    <t>台所　　 フロアタイル貼り　 収納含む</t>
    <rPh sb="0" eb="2">
      <t>ダイドコロ</t>
    </rPh>
    <rPh sb="11" eb="12">
      <t>ハ</t>
    </rPh>
    <rPh sb="15" eb="18">
      <t>シュウノウフク</t>
    </rPh>
    <phoneticPr fontId="9"/>
  </si>
  <si>
    <t>WC　暖房便座取付</t>
    <rPh sb="3" eb="7">
      <t>ダンボウベンザ</t>
    </rPh>
    <rPh sb="7" eb="9">
      <t>トリツケ</t>
    </rPh>
    <phoneticPr fontId="9"/>
  </si>
  <si>
    <t>洋間左　フロアタイル貼り　</t>
    <rPh sb="0" eb="2">
      <t>ヨウマ</t>
    </rPh>
    <rPh sb="2" eb="3">
      <t>ヒダリ</t>
    </rPh>
    <rPh sb="10" eb="11">
      <t>ハ</t>
    </rPh>
    <phoneticPr fontId="9"/>
  </si>
  <si>
    <t>WC　普通便座交換</t>
    <rPh sb="3" eb="7">
      <t>フツウベンザ</t>
    </rPh>
    <rPh sb="7" eb="9">
      <t>コウカン</t>
    </rPh>
    <phoneticPr fontId="9"/>
  </si>
  <si>
    <t>洋間左　フロアタイル貼り　 収納含む</t>
    <rPh sb="0" eb="2">
      <t>ヨウマ</t>
    </rPh>
    <rPh sb="2" eb="3">
      <t>ヒダリ</t>
    </rPh>
    <rPh sb="10" eb="11">
      <t>ハ</t>
    </rPh>
    <rPh sb="14" eb="17">
      <t>シュウノウフク</t>
    </rPh>
    <phoneticPr fontId="9"/>
  </si>
  <si>
    <t>WC　ボールタップ交換</t>
    <rPh sb="9" eb="11">
      <t>コウカン</t>
    </rPh>
    <phoneticPr fontId="9"/>
  </si>
  <si>
    <t>洋間（左側手前）　フロアタイル貼り　</t>
    <rPh sb="0" eb="2">
      <t>ヨウマ</t>
    </rPh>
    <rPh sb="3" eb="5">
      <t>ヒダリガワ</t>
    </rPh>
    <rPh sb="5" eb="7">
      <t>テマエ</t>
    </rPh>
    <rPh sb="15" eb="16">
      <t>ハ</t>
    </rPh>
    <phoneticPr fontId="9"/>
  </si>
  <si>
    <t>WC　ボールタップ、フロート交換</t>
    <rPh sb="14" eb="16">
      <t>コウカン</t>
    </rPh>
    <phoneticPr fontId="9"/>
  </si>
  <si>
    <t>洋間（左側手前）　フロアタイル貼り　収納含む</t>
    <rPh sb="0" eb="2">
      <t>ヨウマ</t>
    </rPh>
    <rPh sb="3" eb="5">
      <t>ヒダリガワ</t>
    </rPh>
    <rPh sb="5" eb="7">
      <t>テマエ</t>
    </rPh>
    <rPh sb="15" eb="16">
      <t>ハ</t>
    </rPh>
    <rPh sb="18" eb="21">
      <t>シュウノウフク</t>
    </rPh>
    <phoneticPr fontId="9"/>
  </si>
  <si>
    <t>WC　洗浄管交換　※径記入</t>
    <rPh sb="3" eb="8">
      <t>センジョウカンコウカン</t>
    </rPh>
    <rPh sb="10" eb="11">
      <t>ケイ</t>
    </rPh>
    <rPh sb="11" eb="13">
      <t>キニュウ</t>
    </rPh>
    <phoneticPr fontId="9"/>
  </si>
  <si>
    <t>洋間（右側手前）クロス張替　天井</t>
    <rPh sb="0" eb="2">
      <t>ヨウマ</t>
    </rPh>
    <rPh sb="3" eb="5">
      <t>ミギガワ</t>
    </rPh>
    <rPh sb="5" eb="7">
      <t>テマエ</t>
    </rPh>
    <rPh sb="11" eb="13">
      <t>ハリカエ</t>
    </rPh>
    <rPh sb="14" eb="16">
      <t>テンジョウ</t>
    </rPh>
    <phoneticPr fontId="9"/>
  </si>
  <si>
    <t>洋間（左側奥）   　フロアタイル貼り　</t>
    <rPh sb="0" eb="2">
      <t>ヨウマ</t>
    </rPh>
    <rPh sb="3" eb="5">
      <t>ヒダリガワ</t>
    </rPh>
    <rPh sb="5" eb="6">
      <t>オク</t>
    </rPh>
    <rPh sb="17" eb="18">
      <t>ハ</t>
    </rPh>
    <phoneticPr fontId="9"/>
  </si>
  <si>
    <t>WC　トイレ交換　便器、タンク　　※品番記入</t>
    <rPh sb="6" eb="8">
      <t>コウカン</t>
    </rPh>
    <rPh sb="9" eb="11">
      <t>ベンキ</t>
    </rPh>
    <rPh sb="18" eb="20">
      <t>ヒンバン</t>
    </rPh>
    <rPh sb="20" eb="22">
      <t>キニュウ</t>
    </rPh>
    <phoneticPr fontId="9"/>
  </si>
  <si>
    <t>洋間（右側手前）クロス張替　壁</t>
    <rPh sb="0" eb="2">
      <t>ヨウマ</t>
    </rPh>
    <rPh sb="3" eb="5">
      <t>ミギガワ</t>
    </rPh>
    <rPh sb="5" eb="7">
      <t>テマエ</t>
    </rPh>
    <rPh sb="11" eb="13">
      <t>ハリカエ</t>
    </rPh>
    <rPh sb="14" eb="15">
      <t>カベ</t>
    </rPh>
    <phoneticPr fontId="9"/>
  </si>
  <si>
    <t>洋間（左側奥）　   フロアタイル貼り　収納含む</t>
    <rPh sb="0" eb="2">
      <t>ヨウマ</t>
    </rPh>
    <rPh sb="3" eb="5">
      <t>ヒダリガワ</t>
    </rPh>
    <rPh sb="5" eb="6">
      <t>オク</t>
    </rPh>
    <rPh sb="17" eb="18">
      <t>ハ</t>
    </rPh>
    <rPh sb="20" eb="23">
      <t>シュウノウフク</t>
    </rPh>
    <phoneticPr fontId="9"/>
  </si>
  <si>
    <t>WC　フランジ交換</t>
    <rPh sb="7" eb="9">
      <t>コウカン</t>
    </rPh>
    <phoneticPr fontId="9"/>
  </si>
  <si>
    <t>洋間（右側手前）クロス張替　収納　天井壁</t>
    <rPh sb="0" eb="2">
      <t>ヨウマ</t>
    </rPh>
    <rPh sb="3" eb="5">
      <t>ミギガワ</t>
    </rPh>
    <rPh sb="5" eb="7">
      <t>テマエ</t>
    </rPh>
    <rPh sb="11" eb="13">
      <t>ハリカエ</t>
    </rPh>
    <rPh sb="14" eb="16">
      <t>シュウノウ</t>
    </rPh>
    <rPh sb="17" eb="20">
      <t>テンジョウカベ</t>
    </rPh>
    <phoneticPr fontId="9"/>
  </si>
  <si>
    <t>洋間右　フロアタイル貼り　</t>
    <rPh sb="0" eb="2">
      <t>ヨウマ</t>
    </rPh>
    <rPh sb="2" eb="3">
      <t>ミギ</t>
    </rPh>
    <rPh sb="10" eb="11">
      <t>ハ</t>
    </rPh>
    <phoneticPr fontId="9"/>
  </si>
  <si>
    <t>WC　換気扇交換　　※品番記入</t>
    <rPh sb="3" eb="8">
      <t>カンキセンコウカン</t>
    </rPh>
    <rPh sb="11" eb="15">
      <t>ヒンバンキニュウ</t>
    </rPh>
    <phoneticPr fontId="9"/>
  </si>
  <si>
    <t>洋間（右側奥）   クロス張替　天井</t>
    <rPh sb="0" eb="2">
      <t>ヨウマ</t>
    </rPh>
    <rPh sb="3" eb="5">
      <t>ミギガワ</t>
    </rPh>
    <rPh sb="5" eb="6">
      <t>オク</t>
    </rPh>
    <rPh sb="13" eb="15">
      <t>ハリカエ</t>
    </rPh>
    <rPh sb="16" eb="18">
      <t>テンジョウ</t>
    </rPh>
    <phoneticPr fontId="9"/>
  </si>
  <si>
    <t>洋間右　フロアタイル貼り　 収納含む</t>
    <rPh sb="0" eb="2">
      <t>ヨウマ</t>
    </rPh>
    <rPh sb="2" eb="3">
      <t>ミギ</t>
    </rPh>
    <rPh sb="10" eb="11">
      <t>ハ</t>
    </rPh>
    <rPh sb="14" eb="17">
      <t>シュウノウフク</t>
    </rPh>
    <phoneticPr fontId="9"/>
  </si>
  <si>
    <t>WC　パイプファン交換　※サイズ記入</t>
    <rPh sb="9" eb="11">
      <t>コウカン</t>
    </rPh>
    <rPh sb="16" eb="18">
      <t>キニュウ</t>
    </rPh>
    <phoneticPr fontId="9"/>
  </si>
  <si>
    <t>洋間（右側奥）   クロス張替　壁</t>
    <rPh sb="0" eb="2">
      <t>ヨウマ</t>
    </rPh>
    <rPh sb="3" eb="5">
      <t>ミギガワ</t>
    </rPh>
    <rPh sb="5" eb="6">
      <t>オク</t>
    </rPh>
    <rPh sb="13" eb="15">
      <t>ハリカエ</t>
    </rPh>
    <rPh sb="16" eb="17">
      <t>カベ</t>
    </rPh>
    <phoneticPr fontId="9"/>
  </si>
  <si>
    <t>洋間（右側手前）　フロアタイル貼り　</t>
    <rPh sb="0" eb="2">
      <t>ヨウマ</t>
    </rPh>
    <rPh sb="3" eb="5">
      <t>ミギガワ</t>
    </rPh>
    <rPh sb="5" eb="7">
      <t>テマエ</t>
    </rPh>
    <rPh sb="15" eb="16">
      <t>ハ</t>
    </rPh>
    <phoneticPr fontId="9"/>
  </si>
  <si>
    <t>洋間（右側奥）   クロス張替　収納　天井壁</t>
    <rPh sb="0" eb="2">
      <t>ヨウマ</t>
    </rPh>
    <rPh sb="3" eb="5">
      <t>ミギガワ</t>
    </rPh>
    <rPh sb="5" eb="6">
      <t>オク</t>
    </rPh>
    <rPh sb="13" eb="15">
      <t>ハリカエ</t>
    </rPh>
    <rPh sb="16" eb="18">
      <t>シュウノウ</t>
    </rPh>
    <rPh sb="19" eb="22">
      <t>テンジョウカベ</t>
    </rPh>
    <phoneticPr fontId="9"/>
  </si>
  <si>
    <t>洋間（右側手前）　フロアタイル貼り　収納含む</t>
    <rPh sb="0" eb="2">
      <t>ヨウマ</t>
    </rPh>
    <rPh sb="3" eb="5">
      <t>ミギガワ</t>
    </rPh>
    <rPh sb="5" eb="7">
      <t>テマエ</t>
    </rPh>
    <rPh sb="15" eb="16">
      <t>ハ</t>
    </rPh>
    <rPh sb="18" eb="21">
      <t>シュウノウフク</t>
    </rPh>
    <phoneticPr fontId="9"/>
  </si>
  <si>
    <t>洋間（右側奥）   　フロアタイル貼り　</t>
    <rPh sb="0" eb="2">
      <t>ヨウマ</t>
    </rPh>
    <rPh sb="3" eb="5">
      <t>ミギガワ</t>
    </rPh>
    <rPh sb="5" eb="6">
      <t>オク</t>
    </rPh>
    <rPh sb="17" eb="18">
      <t>ハ</t>
    </rPh>
    <phoneticPr fontId="9"/>
  </si>
  <si>
    <t>洋間（右側手前）アクセントクロス施工</t>
    <rPh sb="0" eb="2">
      <t>ヨウマ</t>
    </rPh>
    <rPh sb="3" eb="5">
      <t>ミギガワ</t>
    </rPh>
    <rPh sb="5" eb="7">
      <t>テマエ</t>
    </rPh>
    <rPh sb="16" eb="18">
      <t>セコウ</t>
    </rPh>
    <phoneticPr fontId="9"/>
  </si>
  <si>
    <t>洋間（右側奥）　   フロアタイル貼り　収納含む</t>
    <rPh sb="0" eb="2">
      <t>ヨウマ</t>
    </rPh>
    <rPh sb="3" eb="5">
      <t>ミギガワ</t>
    </rPh>
    <rPh sb="5" eb="6">
      <t>オク</t>
    </rPh>
    <rPh sb="17" eb="18">
      <t>ハ</t>
    </rPh>
    <rPh sb="20" eb="23">
      <t>シュウノウフク</t>
    </rPh>
    <phoneticPr fontId="9"/>
  </si>
  <si>
    <t>洋間（右側奥）　 アクセントクロス施工</t>
    <rPh sb="0" eb="2">
      <t>ヨウマ</t>
    </rPh>
    <rPh sb="3" eb="5">
      <t>ミギガワ</t>
    </rPh>
    <rPh sb="5" eb="6">
      <t>オク</t>
    </rPh>
    <rPh sb="17" eb="19">
      <t>セコウ</t>
    </rPh>
    <phoneticPr fontId="9"/>
  </si>
  <si>
    <t>洋間中　フロアタイル貼り　　</t>
    <rPh sb="0" eb="3">
      <t>ヨウマチュウ</t>
    </rPh>
    <rPh sb="10" eb="11">
      <t>ハ</t>
    </rPh>
    <phoneticPr fontId="9"/>
  </si>
  <si>
    <t>洋間中　フロアタイル貼り　収納含む</t>
    <rPh sb="0" eb="3">
      <t>ヨウマチュウ</t>
    </rPh>
    <rPh sb="10" eb="11">
      <t>ハ</t>
    </rPh>
    <rPh sb="13" eb="15">
      <t>シュウノウ</t>
    </rPh>
    <rPh sb="15" eb="16">
      <t>フク</t>
    </rPh>
    <phoneticPr fontId="9"/>
  </si>
  <si>
    <t>玄関　　 フロアタイル貼り</t>
    <rPh sb="0" eb="2">
      <t>ゲンカン</t>
    </rPh>
    <rPh sb="11" eb="12">
      <t>ハ</t>
    </rPh>
    <phoneticPr fontId="9"/>
  </si>
  <si>
    <t>玄関　　 フロアタイル貼り　収納含む</t>
    <rPh sb="0" eb="2">
      <t>ゲンカン</t>
    </rPh>
    <rPh sb="11" eb="12">
      <t>ハ</t>
    </rPh>
    <rPh sb="14" eb="17">
      <t>シュウノウフク</t>
    </rPh>
    <phoneticPr fontId="9"/>
  </si>
  <si>
    <t>UT　　　 フロアタイル貼り　　</t>
    <rPh sb="12" eb="13">
      <t>ハ</t>
    </rPh>
    <phoneticPr fontId="9"/>
  </si>
  <si>
    <t>UT　　　 フロアタイル貼り　収納含む</t>
    <rPh sb="12" eb="13">
      <t>ハ</t>
    </rPh>
    <rPh sb="15" eb="18">
      <t>シュウノウフク</t>
    </rPh>
    <phoneticPr fontId="9"/>
  </si>
  <si>
    <t>和室クロス張替     天井</t>
    <rPh sb="0" eb="2">
      <t>ワシツ</t>
    </rPh>
    <rPh sb="5" eb="7">
      <t>ハリカエ</t>
    </rPh>
    <rPh sb="12" eb="14">
      <t>テンジョウ</t>
    </rPh>
    <phoneticPr fontId="9"/>
  </si>
  <si>
    <t>WC　　　 フロアタイル貼り</t>
    <rPh sb="12" eb="13">
      <t>ハ</t>
    </rPh>
    <phoneticPr fontId="9"/>
  </si>
  <si>
    <t>和室クロス張替　　 壁</t>
    <rPh sb="0" eb="2">
      <t>ワシツ</t>
    </rPh>
    <rPh sb="5" eb="7">
      <t>ハリカエ</t>
    </rPh>
    <rPh sb="10" eb="11">
      <t>カベ</t>
    </rPh>
    <phoneticPr fontId="9"/>
  </si>
  <si>
    <t>WC　　　 フロアタイル貼り　収納含む</t>
    <rPh sb="12" eb="13">
      <t>ハ</t>
    </rPh>
    <rPh sb="15" eb="18">
      <t>シュウノウフク</t>
    </rPh>
    <phoneticPr fontId="9"/>
  </si>
  <si>
    <t>和室クロス張替　　 収納　天井壁</t>
    <rPh sb="0" eb="2">
      <t>ワシツ</t>
    </rPh>
    <rPh sb="5" eb="7">
      <t>ハリカエ</t>
    </rPh>
    <rPh sb="10" eb="12">
      <t>シュウノウ</t>
    </rPh>
    <rPh sb="13" eb="15">
      <t>テンジョウ</t>
    </rPh>
    <rPh sb="15" eb="16">
      <t>カベ</t>
    </rPh>
    <phoneticPr fontId="9"/>
  </si>
  <si>
    <t>階段　　 フロアタイル貼り</t>
    <rPh sb="0" eb="2">
      <t>カイダン</t>
    </rPh>
    <rPh sb="11" eb="12">
      <t>ハ</t>
    </rPh>
    <phoneticPr fontId="9"/>
  </si>
  <si>
    <t>和室クロス張替　　 マスキング部</t>
    <rPh sb="0" eb="2">
      <t>ワシツ</t>
    </rPh>
    <rPh sb="5" eb="7">
      <t>ハリカエ</t>
    </rPh>
    <rPh sb="15" eb="16">
      <t>ブ</t>
    </rPh>
    <phoneticPr fontId="9"/>
  </si>
  <si>
    <t>階段　　 フロアタイル貼り　収納含む</t>
    <rPh sb="0" eb="2">
      <t>カイダン</t>
    </rPh>
    <rPh sb="14" eb="17">
      <t>シュウノウフク</t>
    </rPh>
    <phoneticPr fontId="9"/>
  </si>
  <si>
    <t>和室　ラミ天下地処理費</t>
    <rPh sb="0" eb="2">
      <t>ワシツ</t>
    </rPh>
    <rPh sb="5" eb="6">
      <t>テン</t>
    </rPh>
    <rPh sb="6" eb="11">
      <t>シタジショリヒ</t>
    </rPh>
    <phoneticPr fontId="9"/>
  </si>
  <si>
    <t>ホール　フロアタイル貼り</t>
    <rPh sb="10" eb="11">
      <t>ハ</t>
    </rPh>
    <phoneticPr fontId="9"/>
  </si>
  <si>
    <t>和室アクセントクロス施工</t>
    <rPh sb="0" eb="2">
      <t>ワシツ</t>
    </rPh>
    <rPh sb="10" eb="12">
      <t>セコウ</t>
    </rPh>
    <phoneticPr fontId="9"/>
  </si>
  <si>
    <t>ホール　フロアタイル貼り　収納含む</t>
    <rPh sb="10" eb="11">
      <t>ハ</t>
    </rPh>
    <rPh sb="13" eb="16">
      <t>シュウノウフク</t>
    </rPh>
    <phoneticPr fontId="9"/>
  </si>
  <si>
    <t>玄関クロス張替　　 天井</t>
    <rPh sb="0" eb="2">
      <t>ゲンカン</t>
    </rPh>
    <rPh sb="5" eb="7">
      <t>ハリカエ</t>
    </rPh>
    <rPh sb="10" eb="12">
      <t>テンジョウ</t>
    </rPh>
    <phoneticPr fontId="9"/>
  </si>
  <si>
    <t>玄関クロス張替　　 壁</t>
    <rPh sb="0" eb="2">
      <t>ゲンカン</t>
    </rPh>
    <rPh sb="5" eb="7">
      <t>ハリカエ</t>
    </rPh>
    <rPh sb="10" eb="11">
      <t>カベ</t>
    </rPh>
    <phoneticPr fontId="9"/>
  </si>
  <si>
    <t>ソフト巾木貼替　60㎜</t>
    <rPh sb="3" eb="5">
      <t>ハバキ</t>
    </rPh>
    <rPh sb="5" eb="7">
      <t>ハリカエ</t>
    </rPh>
    <phoneticPr fontId="9"/>
  </si>
  <si>
    <t>玄関クロス張替　　 収納　天井壁</t>
    <rPh sb="0" eb="2">
      <t>ゲンカン</t>
    </rPh>
    <rPh sb="5" eb="7">
      <t>ハリカエ</t>
    </rPh>
    <rPh sb="10" eb="12">
      <t>シュウノウ</t>
    </rPh>
    <rPh sb="13" eb="16">
      <t>テンジョウカベ</t>
    </rPh>
    <phoneticPr fontId="9"/>
  </si>
  <si>
    <t>ソフト巾木貼替　75㎜</t>
    <rPh sb="3" eb="5">
      <t>ハバキ</t>
    </rPh>
    <rPh sb="5" eb="7">
      <t>ハリカエ</t>
    </rPh>
    <phoneticPr fontId="9"/>
  </si>
  <si>
    <t>玄関クロス張替　　 マスキング部</t>
    <rPh sb="0" eb="2">
      <t>ゲンカン</t>
    </rPh>
    <rPh sb="5" eb="7">
      <t>ハリカエ</t>
    </rPh>
    <rPh sb="15" eb="16">
      <t>ブ</t>
    </rPh>
    <phoneticPr fontId="9"/>
  </si>
  <si>
    <t>玄関アクセントクロス施工</t>
    <rPh sb="0" eb="2">
      <t>ゲンカン</t>
    </rPh>
    <rPh sb="10" eb="12">
      <t>セコウ</t>
    </rPh>
    <phoneticPr fontId="9"/>
  </si>
  <si>
    <t>床見切り取付　※設置個所記入</t>
    <rPh sb="0" eb="1">
      <t>ユカ</t>
    </rPh>
    <rPh sb="1" eb="3">
      <t>ミキ</t>
    </rPh>
    <rPh sb="4" eb="6">
      <t>トリツケ</t>
    </rPh>
    <rPh sb="8" eb="12">
      <t>セッチカショ</t>
    </rPh>
    <rPh sb="12" eb="14">
      <t>キニュウ</t>
    </rPh>
    <phoneticPr fontId="9"/>
  </si>
  <si>
    <t>UTクロス張替       天井</t>
    <rPh sb="5" eb="7">
      <t>ハリカエ</t>
    </rPh>
    <rPh sb="14" eb="16">
      <t>テンジョウ</t>
    </rPh>
    <phoneticPr fontId="9"/>
  </si>
  <si>
    <t>UTクロス張替       壁</t>
    <rPh sb="5" eb="7">
      <t>ハリカエ</t>
    </rPh>
    <rPh sb="14" eb="15">
      <t>カベ</t>
    </rPh>
    <phoneticPr fontId="9"/>
  </si>
  <si>
    <t>UTクロス張替       収納　天井壁</t>
    <rPh sb="5" eb="7">
      <t>ハリカエ</t>
    </rPh>
    <rPh sb="14" eb="16">
      <t>シュウノウ</t>
    </rPh>
    <rPh sb="17" eb="20">
      <t>テンジョウカベ</t>
    </rPh>
    <phoneticPr fontId="9"/>
  </si>
  <si>
    <t>UTクロス張替       マスキング部</t>
    <rPh sb="5" eb="7">
      <t>ハリカエ</t>
    </rPh>
    <rPh sb="19" eb="20">
      <t>ブ</t>
    </rPh>
    <phoneticPr fontId="9"/>
  </si>
  <si>
    <t>UTアクセントクロス施工</t>
    <rPh sb="10" eb="12">
      <t>セコウ</t>
    </rPh>
    <phoneticPr fontId="9"/>
  </si>
  <si>
    <t>WCクロス張替      天井</t>
    <rPh sb="5" eb="7">
      <t>ハリカエ</t>
    </rPh>
    <rPh sb="13" eb="15">
      <t>テンジョウ</t>
    </rPh>
    <phoneticPr fontId="9"/>
  </si>
  <si>
    <t>WCクロス張替      壁</t>
    <rPh sb="5" eb="7">
      <t>ハリカエ</t>
    </rPh>
    <rPh sb="13" eb="14">
      <t>カベ</t>
    </rPh>
    <phoneticPr fontId="9"/>
  </si>
  <si>
    <t>WCクロス張替      マスキング部</t>
    <rPh sb="5" eb="7">
      <t>ハリカエ</t>
    </rPh>
    <rPh sb="18" eb="19">
      <t>ブ</t>
    </rPh>
    <phoneticPr fontId="9"/>
  </si>
  <si>
    <t>WCアクセントクロス施工</t>
    <rPh sb="10" eb="12">
      <t>セコウ</t>
    </rPh>
    <phoneticPr fontId="9"/>
  </si>
  <si>
    <t>階段クロス張替    天井</t>
    <rPh sb="0" eb="2">
      <t>カイダン</t>
    </rPh>
    <rPh sb="5" eb="7">
      <t>ハリカエ</t>
    </rPh>
    <rPh sb="11" eb="13">
      <t>テンジョウ</t>
    </rPh>
    <phoneticPr fontId="9"/>
  </si>
  <si>
    <t>階段クロス張替    壁</t>
    <rPh sb="0" eb="2">
      <t>カイダン</t>
    </rPh>
    <rPh sb="5" eb="7">
      <t>ハリカエ</t>
    </rPh>
    <rPh sb="11" eb="12">
      <t>カベ</t>
    </rPh>
    <phoneticPr fontId="9"/>
  </si>
  <si>
    <t>階段クロス張替    マスキング部</t>
    <rPh sb="0" eb="2">
      <t>カイダン</t>
    </rPh>
    <rPh sb="5" eb="7">
      <t>ハリカエ</t>
    </rPh>
    <rPh sb="16" eb="17">
      <t>ブ</t>
    </rPh>
    <phoneticPr fontId="9"/>
  </si>
  <si>
    <t>ホール　クロス張替 天井</t>
    <rPh sb="7" eb="9">
      <t>ハリカエ</t>
    </rPh>
    <rPh sb="10" eb="12">
      <t>テンジョウ</t>
    </rPh>
    <phoneticPr fontId="9"/>
  </si>
  <si>
    <t>ホール　クロス張替 壁</t>
    <rPh sb="7" eb="9">
      <t>ハリカエ</t>
    </rPh>
    <rPh sb="10" eb="11">
      <t>カベ</t>
    </rPh>
    <phoneticPr fontId="9"/>
  </si>
  <si>
    <t>ホール　クロス張替 収納　天井壁</t>
    <rPh sb="7" eb="9">
      <t>ハリカエ</t>
    </rPh>
    <rPh sb="10" eb="12">
      <t>シュウノウ</t>
    </rPh>
    <rPh sb="13" eb="16">
      <t>テンジョウカベ</t>
    </rPh>
    <phoneticPr fontId="9"/>
  </si>
  <si>
    <t>ホール　アクセントクロス施工</t>
    <rPh sb="12" eb="14">
      <t>セコウ</t>
    </rPh>
    <phoneticPr fontId="9"/>
  </si>
  <si>
    <t>工事完了報告書</t>
    <rPh sb="0" eb="2">
      <t>コウジ</t>
    </rPh>
    <rPh sb="2" eb="4">
      <t>カンリョウ</t>
    </rPh>
    <rPh sb="4" eb="7">
      <t>ホウコクショ</t>
    </rPh>
    <phoneticPr fontId="9"/>
  </si>
  <si>
    <t>担当者　　　　 　様</t>
    <phoneticPr fontId="9"/>
  </si>
  <si>
    <t>下記の通り 所定の工事が完了しましたので、以下にてご報告致します。</t>
    <rPh sb="0" eb="2">
      <t>カキ</t>
    </rPh>
    <rPh sb="3" eb="4">
      <t>トオ</t>
    </rPh>
    <rPh sb="6" eb="8">
      <t>ショテイ</t>
    </rPh>
    <rPh sb="9" eb="11">
      <t>コウジ</t>
    </rPh>
    <rPh sb="12" eb="14">
      <t>カンリョウ</t>
    </rPh>
    <rPh sb="21" eb="23">
      <t>イカ</t>
    </rPh>
    <rPh sb="26" eb="29">
      <t>ホウコクイタ</t>
    </rPh>
    <phoneticPr fontId="9"/>
  </si>
  <si>
    <t>合計金額</t>
    <rPh sb="0" eb="4">
      <t>ゴウケイキンガク</t>
    </rPh>
    <phoneticPr fontId="9"/>
  </si>
  <si>
    <t>住所：</t>
    <rPh sb="0" eb="2">
      <t>ジュウショ</t>
    </rPh>
    <phoneticPr fontId="9"/>
  </si>
  <si>
    <t>株式会社サクシード</t>
    <rPh sb="0" eb="4">
      <t>カブシキガイシャ</t>
    </rPh>
    <phoneticPr fontId="3"/>
  </si>
  <si>
    <t>〒060-0061</t>
    <phoneticPr fontId="3"/>
  </si>
  <si>
    <t>札幌市中央区南1条西11丁目1番地306</t>
    <phoneticPr fontId="3"/>
  </si>
  <si>
    <t>Suc-ceed BLD</t>
    <phoneticPr fontId="3"/>
  </si>
  <si>
    <t>有限会社オフィススズキ</t>
    <rPh sb="0" eb="4">
      <t>ユウゲンガイシャ</t>
    </rPh>
    <phoneticPr fontId="3"/>
  </si>
  <si>
    <t>〒006-0815</t>
    <phoneticPr fontId="3"/>
  </si>
  <si>
    <t>札幌市手稲区前田5条11丁目2-1-201</t>
    <phoneticPr fontId="3"/>
  </si>
  <si>
    <t>〒062-0055　</t>
  </si>
  <si>
    <t>札幌市豊平区月寒5条15丁目15番11号　</t>
    <phoneticPr fontId="3"/>
  </si>
  <si>
    <t>デベックス415</t>
  </si>
  <si>
    <t>札幌市中央区南４条西15丁目2-24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</si>
  <si>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1323</t>
  </si>
  <si>
    <t>KOKOMO北円山</t>
    <rPh sb="6" eb="7">
      <t>キタ</t>
    </rPh>
    <rPh sb="7" eb="9">
      <t>マルヤマ</t>
    </rPh>
    <phoneticPr fontId="1"/>
  </si>
  <si>
    <t>札幌市中央区北9条西20丁目1-24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</si>
  <si>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Sriva北円山</t>
    <rPh sb="5" eb="6">
      <t>キタ</t>
    </rPh>
    <rPh sb="6" eb="8">
      <t>マルヤマ</t>
    </rPh>
    <phoneticPr fontId="1"/>
  </si>
  <si>
    <t>札幌市中央区北９条西20丁目1-25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</si>
  <si>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COCOMOPⅡ</t>
  </si>
  <si>
    <t>札幌市中央区南15条西9丁目2-48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</si>
  <si>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しんわマンション</t>
  </si>
  <si>
    <t>札幌市中央区南10条西7丁目7-10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</si>
  <si>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DoClasuka</t>
  </si>
  <si>
    <t>札幌市中央区南4条西21丁目1-17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</si>
  <si>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呼4351</t>
    <rPh sb="0" eb="1">
      <t>ヨ</t>
    </rPh>
    <phoneticPr fontId="1"/>
  </si>
  <si>
    <t>コーポ金沢</t>
    <rPh sb="3" eb="5">
      <t>カナザワ</t>
    </rPh>
    <phoneticPr fontId="1"/>
  </si>
  <si>
    <t>札幌市中央区南8条西6丁目　420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</si>
  <si>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札幌市中央区南10条西7丁目7番10号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rPh sb="15" eb="16">
      <t>バン</t>
    </rPh>
    <rPh sb="18" eb="19">
      <t>ゴウ</t>
    </rPh>
    <phoneticPr fontId="1"/>
  </si>
  <si>
    <t>SNBOX</t>
  </si>
  <si>
    <t>札幌市中央区北6条西13丁目3-2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</si>
  <si>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KOKOMO南11条</t>
    <rPh sb="6" eb="7">
      <t>ミナミ</t>
    </rPh>
    <rPh sb="9" eb="10">
      <t>ジョウ</t>
    </rPh>
    <phoneticPr fontId="1"/>
  </si>
  <si>
    <t>札幌市中央区南11条西12丁目2－33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</si>
  <si>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札幌第一パークハイツ</t>
  </si>
  <si>
    <t>中央区南6条西9丁目1019-12</t>
  </si>
  <si>
    <t>INOVE札幌資生館前</t>
    <rPh sb="5" eb="7">
      <t>サッポロ</t>
    </rPh>
    <rPh sb="7" eb="10">
      <t>シセイカン</t>
    </rPh>
    <rPh sb="10" eb="11">
      <t>マエ</t>
    </rPh>
    <phoneticPr fontId="1"/>
  </si>
  <si>
    <t>札幌市中央区南4条西8丁目8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</si>
  <si>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呼0129</t>
    <rPh sb="0" eb="1">
      <t>ヨブ</t>
    </rPh>
    <phoneticPr fontId="1"/>
  </si>
  <si>
    <t>リルム北2条</t>
    <rPh sb="3" eb="4">
      <t>キタ</t>
    </rPh>
    <rPh sb="5" eb="6">
      <t>ジョウ</t>
    </rPh>
    <phoneticPr fontId="1"/>
  </si>
  <si>
    <t>札幌市中央区北2条東8丁目90-22</t>
  </si>
  <si>
    <t>バームハイツ札幌</t>
    <rPh sb="6" eb="8">
      <t>サッポロ</t>
    </rPh>
    <phoneticPr fontId="1"/>
  </si>
  <si>
    <t>札幌市内北区北7条西1丁目1-11</t>
  </si>
  <si>
    <t>1224</t>
  </si>
  <si>
    <t>ドエル大通22</t>
    <rPh sb="3" eb="5">
      <t>オオドオリ</t>
    </rPh>
    <phoneticPr fontId="1"/>
  </si>
  <si>
    <t>札幌市中央区大通西22丁目1-10</t>
  </si>
  <si>
    <t>二条GCビル</t>
    <rPh sb="0" eb="2">
      <t>ニジョウ</t>
    </rPh>
    <phoneticPr fontId="1"/>
  </si>
  <si>
    <t>札幌市中央区南3条東2丁目4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ヒガシ</t>
    </rPh>
    <rPh sb="11" eb="13">
      <t>チョウメ</t>
    </rPh>
    <phoneticPr fontId="1"/>
  </si>
  <si>
    <t>KOKOMO北6条</t>
    <rPh sb="6" eb="7">
      <t>キタ</t>
    </rPh>
    <rPh sb="8" eb="9">
      <t>ジョウ</t>
    </rPh>
    <phoneticPr fontId="1"/>
  </si>
  <si>
    <t>札幌市中央区北6条西11丁目23-3</t>
  </si>
  <si>
    <t>KOKOMO南8条</t>
    <rPh sb="6" eb="7">
      <t>ミナミ</t>
    </rPh>
    <rPh sb="8" eb="9">
      <t>ジョウ</t>
    </rPh>
    <phoneticPr fontId="1"/>
  </si>
  <si>
    <t>札幌市中央区南8条西15丁目3-11</t>
  </si>
  <si>
    <t>パシフィック札幌第一マンション</t>
    <rPh sb="6" eb="8">
      <t>サッポロ</t>
    </rPh>
    <rPh sb="8" eb="10">
      <t>ダイイチ</t>
    </rPh>
    <phoneticPr fontId="1"/>
  </si>
  <si>
    <t>札幌市中央区南２条西１２丁目３２３−１８</t>
  </si>
  <si>
    <t>メゾンドステラⅤ</t>
  </si>
  <si>
    <t>札幌市中央区南14条西6丁目3-1</t>
  </si>
  <si>
    <t>パークスクエア中島公園</t>
    <rPh sb="7" eb="11">
      <t>ナカジマコウエン</t>
    </rPh>
    <phoneticPr fontId="1"/>
  </si>
  <si>
    <t>札幌市中央区南14条西5丁目1-3</t>
  </si>
  <si>
    <t>ハウザービルNo3</t>
  </si>
  <si>
    <t>札幌市中央区南1条西12丁目4-192</t>
  </si>
  <si>
    <t>D’グラフォート札幌ステーションタワー</t>
  </si>
  <si>
    <t>札幌市北区北8条西3丁目32</t>
  </si>
  <si>
    <t>ロジェ北10条サンウエスト</t>
  </si>
  <si>
    <t>札幌市中央区北10条西18丁目36-31</t>
  </si>
  <si>
    <t>ビッグバーンズマンション新琴似</t>
    <rPh sb="12" eb="15">
      <t>シンコトニ</t>
    </rPh>
    <phoneticPr fontId="1"/>
  </si>
  <si>
    <t>グローリー麻生　</t>
    <rPh sb="5" eb="7">
      <t>アソウ</t>
    </rPh>
    <phoneticPr fontId="1"/>
  </si>
  <si>
    <t>1まついマンション</t>
  </si>
  <si>
    <t>ピュアコート</t>
  </si>
  <si>
    <t>グラッサ216</t>
  </si>
  <si>
    <t>グラディート32</t>
  </si>
  <si>
    <t>ノースティ27</t>
  </si>
  <si>
    <t>ノーブルyamada</t>
  </si>
  <si>
    <t>グレースハイム新川</t>
    <rPh sb="7" eb="9">
      <t>シンカワ</t>
    </rPh>
    <phoneticPr fontId="1"/>
  </si>
  <si>
    <t>札幌市北区新琴似１１条９丁目9-3</t>
    <rPh sb="0" eb="3">
      <t>サッポロシ</t>
    </rPh>
    <rPh sb="3" eb="5">
      <t>キタク</t>
    </rPh>
    <rPh sb="5" eb="8">
      <t>シンコトニ</t>
    </rPh>
    <rPh sb="10" eb="11">
      <t>ジョウ</t>
    </rPh>
    <rPh sb="12" eb="14">
      <t>チョウメ</t>
    </rPh>
    <phoneticPr fontId="1"/>
  </si>
  <si>
    <t>札幌市北区麻生町6丁目4-17</t>
    <rPh sb="0" eb="3">
      <t>サッポロシ</t>
    </rPh>
    <rPh sb="3" eb="5">
      <t>キタク</t>
    </rPh>
    <rPh sb="5" eb="7">
      <t>アソウ</t>
    </rPh>
    <rPh sb="7" eb="8">
      <t>チョウ</t>
    </rPh>
    <rPh sb="9" eb="11">
      <t>チョウメ</t>
    </rPh>
    <phoneticPr fontId="1"/>
  </si>
  <si>
    <t>札幌市北区北28条西14丁目3－28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2" eb="14">
      <t>チョウメ</t>
    </rPh>
    <phoneticPr fontId="1"/>
  </si>
  <si>
    <t>札幌市北区北25条西17丁目5－1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2" eb="14">
      <t>チョウメ</t>
    </rPh>
    <phoneticPr fontId="1"/>
  </si>
  <si>
    <t>札幌市北区北26条西6丁目1-36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</si>
  <si>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札幌市北区北32条西2丁目2-21</t>
    <rPh sb="0" eb="3">
      <t>サッポロシ</t>
    </rPh>
    <rPh sb="3" eb="5">
      <t>キタク</t>
    </rPh>
    <rPh sb="8" eb="9">
      <t>ジョウ</t>
    </rPh>
    <rPh sb="11" eb="13">
      <t>チョウメ</t>
    </rPh>
    <phoneticPr fontId="1"/>
  </si>
  <si>
    <t>札幌市北区北27条西14丁目3-17</t>
    <rPh sb="0" eb="3">
      <t>サッポロシ</t>
    </rPh>
    <rPh sb="3" eb="5">
      <t>キタク</t>
    </rPh>
    <phoneticPr fontId="1"/>
  </si>
  <si>
    <t>札幌市北区新琴似12条14丁目3-15</t>
    <rPh sb="0" eb="3">
      <t>サッポロシ</t>
    </rPh>
    <phoneticPr fontId="1"/>
  </si>
  <si>
    <t>札幌市北区新川4条2丁目4-18</t>
  </si>
  <si>
    <t>メゾンドコー</t>
  </si>
  <si>
    <t>コーポ和</t>
    <rPh sb="3" eb="4">
      <t>ワ</t>
    </rPh>
    <phoneticPr fontId="1"/>
  </si>
  <si>
    <t>マイステージ北極星</t>
    <rPh sb="6" eb="9">
      <t>ホッキョクセイ</t>
    </rPh>
    <phoneticPr fontId="1"/>
  </si>
  <si>
    <t>グラディート9-9</t>
  </si>
  <si>
    <t>メゾンドリョウ</t>
  </si>
  <si>
    <t>イーワイズ</t>
  </si>
  <si>
    <t>メゾンドシン</t>
  </si>
  <si>
    <t>フラリッシュⅡ</t>
  </si>
  <si>
    <t>コンフォートN48</t>
  </si>
  <si>
    <t>ネーブルハイム</t>
  </si>
  <si>
    <t>プレシャス元町</t>
    <rPh sb="5" eb="6">
      <t>モト</t>
    </rPh>
    <rPh sb="6" eb="7">
      <t>マチ</t>
    </rPh>
    <phoneticPr fontId="1"/>
  </si>
  <si>
    <t>中沼西5条1丁目戸建住宅</t>
    <rPh sb="8" eb="10">
      <t>コダ</t>
    </rPh>
    <rPh sb="10" eb="12">
      <t>ジュウタク</t>
    </rPh>
    <phoneticPr fontId="1"/>
  </si>
  <si>
    <t>ルミエールE</t>
  </si>
  <si>
    <t xml:space="preserve">コーポラスY&amp;K </t>
  </si>
  <si>
    <t>伊藤マンション</t>
    <rPh sb="0" eb="2">
      <t>イトウ</t>
    </rPh>
    <phoneticPr fontId="1"/>
  </si>
  <si>
    <t>レゴリス新道東</t>
    <rPh sb="4" eb="7">
      <t>シンドウヒガシ</t>
    </rPh>
    <phoneticPr fontId="1"/>
  </si>
  <si>
    <t>ノースリヴ48</t>
  </si>
  <si>
    <t>パストラル北25</t>
    <rPh sb="5" eb="6">
      <t>キタ</t>
    </rPh>
    <phoneticPr fontId="1"/>
  </si>
  <si>
    <t>パインテール</t>
  </si>
  <si>
    <t>N32フラット</t>
  </si>
  <si>
    <t>第2東成ビル</t>
    <rPh sb="0" eb="1">
      <t>ダイ</t>
    </rPh>
    <rPh sb="2" eb="4">
      <t>トウセイ</t>
    </rPh>
    <phoneticPr fontId="1"/>
  </si>
  <si>
    <t>ベリーフィールド</t>
  </si>
  <si>
    <t>ウィング北14条</t>
    <rPh sb="4" eb="5">
      <t>キタ</t>
    </rPh>
    <rPh sb="7" eb="8">
      <t>ジョウ</t>
    </rPh>
    <phoneticPr fontId="1"/>
  </si>
  <si>
    <t>ピュア307</t>
  </si>
  <si>
    <t>札幌市東区北22条東15丁目1-5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</si>
  <si>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札幌市東区北36条東4丁目1-8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</si>
  <si>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札幌市東区北9条東12丁目1-6</t>
    <rPh sb="0" eb="3">
      <t>サッポロシ</t>
    </rPh>
    <rPh sb="3" eb="5">
      <t>ヒガシク</t>
    </rPh>
    <rPh sb="5" eb="6">
      <t>キタ</t>
    </rPh>
    <rPh sb="7" eb="8">
      <t>ジョウ</t>
    </rPh>
    <rPh sb="8" eb="9">
      <t>ヒガシ</t>
    </rPh>
    <rPh sb="11" eb="13">
      <t>チョウメ</t>
    </rPh>
    <phoneticPr fontId="1"/>
  </si>
  <si>
    <t>札幌市東区北9条東9丁目2-30</t>
    <rPh sb="0" eb="3">
      <t>サッポロシ</t>
    </rPh>
    <rPh sb="3" eb="5">
      <t>ヒガシク</t>
    </rPh>
    <rPh sb="5" eb="6">
      <t>キタ</t>
    </rPh>
    <rPh sb="7" eb="8">
      <t>ジョウ</t>
    </rPh>
    <rPh sb="8" eb="9">
      <t>ヒガシ</t>
    </rPh>
    <rPh sb="10" eb="12">
      <t>チョウメ</t>
    </rPh>
    <phoneticPr fontId="1"/>
  </si>
  <si>
    <t>札幌市東区北35条東12丁目1-17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</si>
  <si>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札幌市東区北15条東１４丁目2-13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</si>
  <si>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札幌市東区北24条東17丁目2-21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</si>
  <si>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札幌市東区北48条東16丁目2-7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</si>
  <si>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札幌市東区北48条東10丁目3-10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</si>
  <si>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札幌市東区北40条東17丁目2-40</t>
  </si>
  <si>
    <t>札幌市東区北23条東13丁目4-18</t>
  </si>
  <si>
    <t>札幌市東区中沼西5条1丁目7－18</t>
    <rPh sb="0" eb="3">
      <t>サッポロシ</t>
    </rPh>
    <phoneticPr fontId="1"/>
  </si>
  <si>
    <t>札幌市東区北37条東1丁目6-11</t>
  </si>
  <si>
    <t xml:space="preserve">札幌市東区北15条東18丁目4-3 </t>
    <rPh sb="0" eb="3">
      <t>サッポロシ</t>
    </rPh>
    <rPh sb="3" eb="5">
      <t>ヒガシク</t>
    </rPh>
    <phoneticPr fontId="1"/>
  </si>
  <si>
    <t>札幌市東区北30条東12丁目1-3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</si>
  <si>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札幌市東区北35条東10丁目3-29</t>
    <rPh sb="0" eb="3">
      <t>サッポロシ</t>
    </rPh>
    <phoneticPr fontId="1"/>
  </si>
  <si>
    <t>札幌市東区北48条東4丁目4-6</t>
    <rPh sb="0" eb="3">
      <t>サッポロシ</t>
    </rPh>
    <phoneticPr fontId="1"/>
  </si>
  <si>
    <t>札幌市東区北25条東1丁目5-10</t>
  </si>
  <si>
    <t>札幌市東区北41条東2丁目2-23</t>
    <rPh sb="0" eb="3">
      <t>サッポロシ</t>
    </rPh>
    <phoneticPr fontId="1"/>
  </si>
  <si>
    <t>札幌市東区北32条東17丁目3-3</t>
  </si>
  <si>
    <t>札幌市東区北26条東10丁目1-11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</si>
  <si>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札幌市東区北10条東15丁目1-11</t>
  </si>
  <si>
    <t>札幌市東区北14条東5丁目5-25</t>
  </si>
  <si>
    <t>札幌市東区木屋30条東7丁目2-26</t>
    <rPh sb="0" eb="3">
      <t>サッポロシ</t>
    </rPh>
    <rPh sb="3" eb="5">
      <t>ヒガシク</t>
    </rPh>
    <rPh sb="5" eb="7">
      <t>キヤ</t>
    </rPh>
    <rPh sb="9" eb="10">
      <t>ジョウ</t>
    </rPh>
    <rPh sb="10" eb="11">
      <t>ヒガシ</t>
    </rPh>
    <rPh sb="12" eb="14">
      <t>チョウメ</t>
    </rPh>
    <phoneticPr fontId="1"/>
  </si>
  <si>
    <t>セブンⅡハウス　</t>
  </si>
  <si>
    <t>丸光ハイツ</t>
    <rPh sb="0" eb="1">
      <t>マル</t>
    </rPh>
    <rPh sb="1" eb="2">
      <t>コウ</t>
    </rPh>
    <phoneticPr fontId="1"/>
  </si>
  <si>
    <t>マンションニュー緑台A棟</t>
    <rPh sb="8" eb="10">
      <t>ミドリダイ</t>
    </rPh>
    <rPh sb="11" eb="12">
      <t>トウ</t>
    </rPh>
    <phoneticPr fontId="1"/>
  </si>
  <si>
    <t>カルチェド札幌</t>
    <rPh sb="5" eb="7">
      <t>サッポロ</t>
    </rPh>
    <phoneticPr fontId="1"/>
  </si>
  <si>
    <t>シティハイム小川</t>
    <rPh sb="6" eb="8">
      <t>オガワ</t>
    </rPh>
    <phoneticPr fontId="1"/>
  </si>
  <si>
    <t>ビッグスリーハイツ宮の沢</t>
    <rPh sb="9" eb="10">
      <t>ミヤ</t>
    </rPh>
    <rPh sb="11" eb="12">
      <t>サワ</t>
    </rPh>
    <phoneticPr fontId="1"/>
  </si>
  <si>
    <t>ジプソフィラ山の手</t>
    <rPh sb="6" eb="7">
      <t>ヤマ</t>
    </rPh>
    <rPh sb="8" eb="9">
      <t>テ</t>
    </rPh>
    <phoneticPr fontId="1"/>
  </si>
  <si>
    <t>西町Ｎ15</t>
    <rPh sb="0" eb="1">
      <t>ニシ</t>
    </rPh>
    <rPh sb="1" eb="2">
      <t>マチ</t>
    </rPh>
    <phoneticPr fontId="1"/>
  </si>
  <si>
    <t>セブンハウスA</t>
  </si>
  <si>
    <t>KOKOMO発寒</t>
    <rPh sb="6" eb="8">
      <t>ハッサム</t>
    </rPh>
    <phoneticPr fontId="1"/>
  </si>
  <si>
    <t>リブレ発寒ウエストウィング</t>
    <rPh sb="3" eb="5">
      <t>ハッサム</t>
    </rPh>
    <phoneticPr fontId="1"/>
  </si>
  <si>
    <t>コーポオリン</t>
  </si>
  <si>
    <t>丸光ハイツ</t>
    <rPh sb="0" eb="1">
      <t>マル</t>
    </rPh>
    <rPh sb="1" eb="2">
      <t>ヒカリ</t>
    </rPh>
    <phoneticPr fontId="1"/>
  </si>
  <si>
    <t>アウル西野</t>
    <rPh sb="3" eb="5">
      <t>ニシノ</t>
    </rPh>
    <phoneticPr fontId="1"/>
  </si>
  <si>
    <t>西区発寒1条3丁目戸建住宅</t>
    <rPh sb="9" eb="13">
      <t>コダテジュウタク</t>
    </rPh>
    <phoneticPr fontId="1"/>
  </si>
  <si>
    <t>札幌市西区西野7条2丁目7-2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</si>
  <si>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札幌市西区発寒3条3丁目5-37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</si>
  <si>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西区二十四軒３条７丁目4-42</t>
    <rPh sb="0" eb="2">
      <t>ニシク</t>
    </rPh>
    <rPh sb="2" eb="6">
      <t>ニジュウヨンケン</t>
    </rPh>
    <rPh sb="7" eb="8">
      <t>ジョウ</t>
    </rPh>
    <rPh sb="9" eb="11">
      <t>チョウメ</t>
    </rPh>
    <phoneticPr fontId="1"/>
  </si>
  <si>
    <t>札幌市西区二十四軒4条3丁目4-35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</si>
  <si>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札幌市西区二十四軒1条6丁目9-21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</si>
  <si>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札幌市西区宮の沢4条4丁目8-11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</si>
  <si>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札幌市西区山の手4条7丁目1-1</t>
    <rPh sb="0" eb="3">
      <t>サッポロシ</t>
    </rPh>
    <rPh sb="3" eb="5">
      <t>ニシク</t>
    </rPh>
    <rPh sb="5" eb="6">
      <t>ヤマ</t>
    </rPh>
    <rPh sb="7" eb="8">
      <t>テ</t>
    </rPh>
    <rPh sb="9" eb="10">
      <t>ジョウ</t>
    </rPh>
    <rPh sb="11" eb="13">
      <t>チョウメ</t>
    </rPh>
    <phoneticPr fontId="1"/>
  </si>
  <si>
    <t>札幌市西区西町北15丁目2-24</t>
    <rPh sb="0" eb="3">
      <t>サッポロシ</t>
    </rPh>
    <rPh sb="3" eb="5">
      <t>ニシク</t>
    </rPh>
    <rPh sb="5" eb="6">
      <t>ニシ</t>
    </rPh>
    <rPh sb="6" eb="7">
      <t>マチ</t>
    </rPh>
    <rPh sb="7" eb="8">
      <t>キタ</t>
    </rPh>
    <rPh sb="10" eb="12">
      <t>チョウメ</t>
    </rPh>
    <phoneticPr fontId="1"/>
  </si>
  <si>
    <t>札幌市西区発寒6条7丁目4－18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</si>
  <si>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札幌市西区発寒3条2丁目7-5</t>
    <rPh sb="0" eb="3">
      <t>サッポロシ</t>
    </rPh>
    <rPh sb="3" eb="5">
      <t>ニシク</t>
    </rPh>
    <phoneticPr fontId="1"/>
  </si>
  <si>
    <t>札幌市西区発寒3条2丁目8-8</t>
  </si>
  <si>
    <t>札幌市西区西野3条7丁目3-23</t>
    <rPh sb="0" eb="3">
      <t>サッポロシ</t>
    </rPh>
    <phoneticPr fontId="1"/>
  </si>
  <si>
    <t>札幌市西区発寒3条3丁目5-37</t>
  </si>
  <si>
    <t>札幌市西区西野1条6丁目1-6</t>
  </si>
  <si>
    <t>１３２３</t>
  </si>
  <si>
    <t>札幌市西区発寒1条3丁目8-10</t>
    <rPh sb="0" eb="3">
      <t>サッポロシ</t>
    </rPh>
    <phoneticPr fontId="1"/>
  </si>
  <si>
    <t>プレシャス弐番館</t>
    <rPh sb="5" eb="8">
      <t>ニバンカン</t>
    </rPh>
    <phoneticPr fontId="1"/>
  </si>
  <si>
    <t>プレシャス参番館</t>
    <rPh sb="5" eb="8">
      <t>サンバンカン</t>
    </rPh>
    <phoneticPr fontId="1"/>
  </si>
  <si>
    <t>石山4-6戸建</t>
    <rPh sb="0" eb="2">
      <t>イシヤマ</t>
    </rPh>
    <rPh sb="5" eb="7">
      <t>コダテ</t>
    </rPh>
    <phoneticPr fontId="1"/>
  </si>
  <si>
    <t>南33条戸建住宅</t>
    <rPh sb="0" eb="1">
      <t>ミナミ</t>
    </rPh>
    <rPh sb="3" eb="4">
      <t>ジョウ</t>
    </rPh>
    <rPh sb="4" eb="6">
      <t>コダ</t>
    </rPh>
    <rPh sb="6" eb="8">
      <t>ジュウタク</t>
    </rPh>
    <phoneticPr fontId="1"/>
  </si>
  <si>
    <t>ハイツ真駒内</t>
    <rPh sb="3" eb="6">
      <t>マコマナイ</t>
    </rPh>
    <phoneticPr fontId="1"/>
  </si>
  <si>
    <t>RS澄川</t>
  </si>
  <si>
    <t>コーポあずみ</t>
  </si>
  <si>
    <t>ヒルサイドS</t>
  </si>
  <si>
    <t>SSBLDⅡ</t>
  </si>
  <si>
    <t>札幌市南区澄川2条3丁目8-10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</si>
  <si>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札幌市南区澄川2条3丁目8-14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</si>
  <si>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札幌市南区石山4条6丁目3-5</t>
    <rPh sb="0" eb="3">
      <t>サッポロシ</t>
    </rPh>
    <rPh sb="3" eb="5">
      <t>ミナミク</t>
    </rPh>
    <rPh sb="5" eb="7">
      <t>イシヤマ</t>
    </rPh>
    <rPh sb="8" eb="9">
      <t>ジョウ</t>
    </rPh>
    <rPh sb="10" eb="12">
      <t>チョウメ</t>
    </rPh>
    <phoneticPr fontId="1"/>
  </si>
  <si>
    <t>札幌市南区南32条西8丁目１番26号</t>
    <rPh sb="0" eb="3">
      <t>サッポロシ</t>
    </rPh>
    <phoneticPr fontId="1"/>
  </si>
  <si>
    <t>札幌市南区真駒内泉町2丁目2-20</t>
    <rPh sb="0" eb="3">
      <t>サッポロシ</t>
    </rPh>
    <rPh sb="5" eb="8">
      <t>マコマナイ</t>
    </rPh>
    <rPh sb="8" eb="9">
      <t>イズミ</t>
    </rPh>
    <rPh sb="9" eb="10">
      <t>チョウ</t>
    </rPh>
    <rPh sb="11" eb="13">
      <t>チョウメ</t>
    </rPh>
    <phoneticPr fontId="1"/>
  </si>
  <si>
    <t>札幌市南区澄川6条3丁目1-12</t>
  </si>
  <si>
    <t>札幌市南区澄川6-4-3-26</t>
  </si>
  <si>
    <t>札幌市南区澄川6条11丁目22-26</t>
    <rPh sb="0" eb="3">
      <t>サッポロシ</t>
    </rPh>
    <rPh sb="3" eb="5">
      <t>ミナミク</t>
    </rPh>
    <rPh sb="5" eb="7">
      <t>スミカワ</t>
    </rPh>
    <rPh sb="8" eb="9">
      <t>ジョウ</t>
    </rPh>
    <rPh sb="11" eb="13">
      <t>チョウメ</t>
    </rPh>
    <phoneticPr fontId="1"/>
  </si>
  <si>
    <t>札幌市南区澄川4条3丁目8-23</t>
    <rPh sb="0" eb="3">
      <t>サッポロシ</t>
    </rPh>
    <rPh sb="3" eb="5">
      <t>ミナミク</t>
    </rPh>
    <rPh sb="5" eb="7">
      <t>スミカワ</t>
    </rPh>
    <rPh sb="8" eb="9">
      <t>ジョウ</t>
    </rPh>
    <rPh sb="10" eb="12">
      <t>チョウメ</t>
    </rPh>
    <phoneticPr fontId="1"/>
  </si>
  <si>
    <t>丸善ビル</t>
    <rPh sb="0" eb="2">
      <t>マルゼン</t>
    </rPh>
    <phoneticPr fontId="1"/>
  </si>
  <si>
    <t>メゾンドショウ</t>
  </si>
  <si>
    <t>漢太郎ビル</t>
    <rPh sb="0" eb="1">
      <t>カン</t>
    </rPh>
    <rPh sb="1" eb="3">
      <t>タロウ</t>
    </rPh>
    <phoneticPr fontId="1"/>
  </si>
  <si>
    <t>ケイファイン本通</t>
    <rPh sb="6" eb="8">
      <t>ホンドオリ</t>
    </rPh>
    <phoneticPr fontId="1"/>
  </si>
  <si>
    <t>ルシアン平和通</t>
    <rPh sb="4" eb="6">
      <t>ヘイワ</t>
    </rPh>
    <rPh sb="6" eb="7">
      <t>ドオ</t>
    </rPh>
    <phoneticPr fontId="1"/>
  </si>
  <si>
    <t>メゾンドジュン</t>
  </si>
  <si>
    <t>ラヴェスタ白石</t>
    <rPh sb="5" eb="7">
      <t>シロイシ</t>
    </rPh>
    <phoneticPr fontId="1"/>
  </si>
  <si>
    <t>コーポホワイト</t>
  </si>
  <si>
    <t>プレアリー菊水</t>
    <rPh sb="5" eb="7">
      <t>キクスイ</t>
    </rPh>
    <phoneticPr fontId="1"/>
  </si>
  <si>
    <t>アルキオーネ平和通</t>
  </si>
  <si>
    <t>ビクターハイム東札幌</t>
    <rPh sb="7" eb="10">
      <t>ヒガシサッポロ</t>
    </rPh>
    <phoneticPr fontId="1"/>
  </si>
  <si>
    <t>メゾンダンファンAnex</t>
  </si>
  <si>
    <t>ファーストシティ東札幌</t>
  </si>
  <si>
    <t>ビクターハイムⅢ</t>
  </si>
  <si>
    <t>レインボーハイツ2</t>
  </si>
  <si>
    <t>メゾンドステラⅢ</t>
  </si>
  <si>
    <t>アステローペ南郷</t>
    <rPh sb="6" eb="8">
      <t>ナンゴウ</t>
    </rPh>
    <phoneticPr fontId="1"/>
  </si>
  <si>
    <t>5.3ビル</t>
  </si>
  <si>
    <t>KOKOMO平和通</t>
    <rPh sb="6" eb="9">
      <t>ヘイワドオリ</t>
    </rPh>
    <phoneticPr fontId="1"/>
  </si>
  <si>
    <t>札幌市白石区菊水3条5丁目3-20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</si>
  <si>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札幌市白石区菊水6条2丁目1-21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</si>
  <si>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札幌市白石区東札幌2条5丁目2-5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</si>
  <si>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札幌市白石区本通11丁目南1-18</t>
    <rPh sb="0" eb="3">
      <t>サッポロシ</t>
    </rPh>
    <rPh sb="3" eb="6">
      <t>シロイシク</t>
    </rPh>
    <rPh sb="6" eb="8">
      <t>ホンドオリ</t>
    </rPh>
    <rPh sb="10" eb="12">
      <t>チョウメ</t>
    </rPh>
    <rPh sb="12" eb="13">
      <t>ミナミ</t>
    </rPh>
    <phoneticPr fontId="1"/>
  </si>
  <si>
    <t>札幌市白石区平和通9丁目北3-20</t>
    <rPh sb="0" eb="3">
      <t>サッポロシ</t>
    </rPh>
    <rPh sb="3" eb="6">
      <t>シロイシク</t>
    </rPh>
    <rPh sb="6" eb="9">
      <t>ヘイワドオリ</t>
    </rPh>
    <rPh sb="10" eb="12">
      <t>チョウメ</t>
    </rPh>
    <rPh sb="12" eb="13">
      <t>キタ</t>
    </rPh>
    <phoneticPr fontId="1"/>
  </si>
  <si>
    <t>札幌市白石区本郷通1丁目南4-10-2</t>
    <rPh sb="0" eb="3">
      <t>サッポロシ</t>
    </rPh>
    <rPh sb="3" eb="6">
      <t>シロイシク</t>
    </rPh>
    <rPh sb="6" eb="9">
      <t>ホンゴウドオリ</t>
    </rPh>
    <rPh sb="10" eb="12">
      <t>チョウメ</t>
    </rPh>
    <rPh sb="12" eb="13">
      <t>ミナミ</t>
    </rPh>
    <phoneticPr fontId="1"/>
  </si>
  <si>
    <t>札幌市白石区北郷1条3丁目4-5</t>
    <rPh sb="0" eb="3">
      <t>サッポロシ</t>
    </rPh>
    <rPh sb="9" eb="10">
      <t>ジョウ</t>
    </rPh>
    <rPh sb="11" eb="13">
      <t>チョウメ</t>
    </rPh>
    <phoneticPr fontId="1"/>
  </si>
  <si>
    <t>札幌市白石区中央1条5丁目9-2</t>
    <rPh sb="0" eb="3">
      <t>サッポロシ</t>
    </rPh>
    <phoneticPr fontId="1"/>
  </si>
  <si>
    <t>札幌市白石区菊水4条1丁目2-25</t>
    <rPh sb="0" eb="6">
      <t>サッポロシシロイシク</t>
    </rPh>
    <phoneticPr fontId="1"/>
  </si>
  <si>
    <t>札幌市白石区平和通1丁目南7-7</t>
    <rPh sb="0" eb="3">
      <t>サッポロシ</t>
    </rPh>
    <rPh sb="3" eb="6">
      <t>シロイシク</t>
    </rPh>
    <phoneticPr fontId="1"/>
  </si>
  <si>
    <t>札幌市白石区東札幌3条4丁目5-14</t>
    <rPh sb="0" eb="3">
      <t>サッポロシ</t>
    </rPh>
    <phoneticPr fontId="1"/>
  </si>
  <si>
    <t>札幌市白石区平和通15丁目北8-16</t>
    <rPh sb="0" eb="3">
      <t>サッポロシ</t>
    </rPh>
    <rPh sb="3" eb="6">
      <t>シロイシク</t>
    </rPh>
    <phoneticPr fontId="1"/>
  </si>
  <si>
    <t xml:space="preserve"> #2413</t>
  </si>
  <si>
    <t>札幌市白石区東札幌2条4丁目8-5</t>
    <rPh sb="0" eb="3">
      <t>サッポロシ</t>
    </rPh>
    <rPh sb="3" eb="6">
      <t>シロイシク</t>
    </rPh>
    <phoneticPr fontId="1"/>
  </si>
  <si>
    <t>札幌市白石区菊水元町1条5丁目4-3</t>
  </si>
  <si>
    <t>札幌市白石区中央2条3丁目6-12</t>
  </si>
  <si>
    <t>札幌市白石区菊水1条3丁目2-29</t>
  </si>
  <si>
    <t>札幌市白石区本郷通5丁目南4-1</t>
    <rPh sb="0" eb="3">
      <t>サッポロシ</t>
    </rPh>
    <rPh sb="3" eb="6">
      <t>シロイシク</t>
    </rPh>
    <phoneticPr fontId="1"/>
  </si>
  <si>
    <t>札幌市白石区菊水5条3丁目1-12</t>
  </si>
  <si>
    <t>札幌市白石区平和通15丁目北1-13</t>
  </si>
  <si>
    <t>＃2413</t>
  </si>
  <si>
    <t>第2ときわマンション</t>
    <rPh sb="0" eb="1">
      <t>ダイ</t>
    </rPh>
    <phoneticPr fontId="1"/>
  </si>
  <si>
    <t>ファーストシティ平岸</t>
    <rPh sb="8" eb="10">
      <t>ヒラギシ</t>
    </rPh>
    <phoneticPr fontId="1"/>
  </si>
  <si>
    <t>シャルム羊ヶ丘</t>
    <rPh sb="4" eb="7">
      <t>ヒツジガオカ</t>
    </rPh>
    <phoneticPr fontId="1"/>
  </si>
  <si>
    <t>月寒東2-1テラスハウス</t>
    <rPh sb="0" eb="2">
      <t>ツキサム</t>
    </rPh>
    <rPh sb="2" eb="3">
      <t>ヒガシ</t>
    </rPh>
    <phoneticPr fontId="1"/>
  </si>
  <si>
    <t>パラドール平岸</t>
    <rPh sb="5" eb="7">
      <t>ヒラギシ</t>
    </rPh>
    <phoneticPr fontId="1"/>
  </si>
  <si>
    <t>ハイエスト中の島</t>
    <rPh sb="5" eb="6">
      <t>ナカ</t>
    </rPh>
    <rPh sb="7" eb="8">
      <t>シマ</t>
    </rPh>
    <phoneticPr fontId="1"/>
  </si>
  <si>
    <t>フルード・ラムール学園前</t>
    <rPh sb="9" eb="12">
      <t>ガクエンマエ</t>
    </rPh>
    <phoneticPr fontId="1"/>
  </si>
  <si>
    <t>ジュネスコート旭町壱番館</t>
    <rPh sb="7" eb="8">
      <t>アサヒ</t>
    </rPh>
    <rPh sb="8" eb="9">
      <t>マチ</t>
    </rPh>
    <rPh sb="9" eb="12">
      <t>イチバンカン</t>
    </rPh>
    <phoneticPr fontId="1"/>
  </si>
  <si>
    <t>マンション小泉</t>
    <rPh sb="5" eb="7">
      <t>コイズミ</t>
    </rPh>
    <phoneticPr fontId="1"/>
  </si>
  <si>
    <t>KOKOMO月寒</t>
    <rPh sb="6" eb="8">
      <t>ツキサム</t>
    </rPh>
    <phoneticPr fontId="1"/>
  </si>
  <si>
    <t>かもめハウス</t>
  </si>
  <si>
    <t>ビクターハイム豊平</t>
    <rPh sb="7" eb="9">
      <t>トヨヒラ</t>
    </rPh>
    <phoneticPr fontId="1"/>
  </si>
  <si>
    <t>中の島1条3丁目貸テナント</t>
    <rPh sb="0" eb="1">
      <t>ナカ</t>
    </rPh>
    <rPh sb="2" eb="3">
      <t>シマ</t>
    </rPh>
    <rPh sb="4" eb="5">
      <t>ジョウ</t>
    </rPh>
    <rPh sb="6" eb="8">
      <t>チョウメ</t>
    </rPh>
    <rPh sb="8" eb="9">
      <t>カシ</t>
    </rPh>
    <phoneticPr fontId="1"/>
  </si>
  <si>
    <t>MRビル</t>
  </si>
  <si>
    <t>west hills3.8</t>
  </si>
  <si>
    <t>スマイルハウス</t>
  </si>
  <si>
    <t>グリーンサイドテリア</t>
  </si>
  <si>
    <t>ラヴィーニュⅠ</t>
  </si>
  <si>
    <t>札幌市豊平区豊平4条1丁目4-18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</si>
  <si>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札幌市豊平区平岸４条16丁目3-9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</si>
  <si>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札幌市豊平区月寒東1条15丁目11-10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3" eb="15">
      <t>チョウメ</t>
    </rPh>
    <phoneticPr fontId="1"/>
  </si>
  <si>
    <t>札幌市豊平区月寒東2条1丁目2-7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</si>
  <si>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札幌市豊平区平岸4条9丁目4-29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</si>
  <si>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札幌市豊平区平岸1条1丁目6-16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</si>
  <si>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札幌市豊平区豊平5条6丁目1-34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</si>
  <si>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札幌市豊平区旭町6丁目1－28</t>
    <rPh sb="0" eb="3">
      <t>サッポロシ</t>
    </rPh>
    <rPh sb="3" eb="6">
      <t>トヨヒラク</t>
    </rPh>
    <rPh sb="6" eb="8">
      <t>アサヒマチ</t>
    </rPh>
    <rPh sb="9" eb="11">
      <t>チョウメ</t>
    </rPh>
    <phoneticPr fontId="1"/>
  </si>
  <si>
    <t>札幌市豊平区平岸3条3丁目2－22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</si>
  <si>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札幌市豊平区月寒西1条7丁目5-8</t>
    <rPh sb="0" eb="3">
      <t>サッポロシ</t>
    </rPh>
    <rPh sb="3" eb="6">
      <t>トヨヒラク</t>
    </rPh>
    <rPh sb="6" eb="8">
      <t>ツキサム</t>
    </rPh>
    <rPh sb="8" eb="9">
      <t>ニシ</t>
    </rPh>
    <rPh sb="10" eb="11">
      <t>ジョウ</t>
    </rPh>
    <rPh sb="12" eb="14">
      <t>チョウメ</t>
    </rPh>
    <phoneticPr fontId="1"/>
  </si>
  <si>
    <t>札幌市豊平区月寒東2条6丁目7-20</t>
  </si>
  <si>
    <t>札幌市豊平区豊平1条3丁目1-11</t>
  </si>
  <si>
    <t>札幌市豊平区中の島1条3丁目6-19</t>
    <rPh sb="0" eb="3">
      <t>サッポロシ</t>
    </rPh>
    <rPh sb="3" eb="6">
      <t>トヨヒラク</t>
    </rPh>
    <rPh sb="6" eb="7">
      <t>ナカ</t>
    </rPh>
    <rPh sb="8" eb="9">
      <t>シマ</t>
    </rPh>
    <rPh sb="10" eb="11">
      <t>ジョウ</t>
    </rPh>
    <rPh sb="12" eb="14">
      <t>チョウメ</t>
    </rPh>
    <phoneticPr fontId="1"/>
  </si>
  <si>
    <t>札幌市豊平区平岸2条3丁目 2-1</t>
  </si>
  <si>
    <t>札幌市豊平区西岡3条8丁目6-11</t>
  </si>
  <si>
    <t>札幌市豊平区平岸4条5丁目4-5</t>
  </si>
  <si>
    <t>札幌市豊平区月寒西4条7丁目2-30</t>
  </si>
  <si>
    <t>札幌市豊平区平岸4条10丁目6-5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</si>
  <si>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グリーンコーポ大谷地</t>
    <rPh sb="7" eb="10">
      <t>オオヤチ</t>
    </rPh>
    <phoneticPr fontId="1"/>
  </si>
  <si>
    <t>グラディート厚別</t>
    <rPh sb="6" eb="8">
      <t>アツベツ</t>
    </rPh>
    <phoneticPr fontId="1"/>
  </si>
  <si>
    <t>アクティブプラザ厚別東</t>
  </si>
  <si>
    <t>札幌市厚別区大谷地東4丁目1-1</t>
    <rPh sb="0" eb="3">
      <t>サッポロシ</t>
    </rPh>
    <rPh sb="3" eb="6">
      <t>アツベツク</t>
    </rPh>
    <rPh sb="6" eb="9">
      <t>オオヤチ</t>
    </rPh>
    <rPh sb="9" eb="10">
      <t>ヒガシ</t>
    </rPh>
    <rPh sb="11" eb="13">
      <t>チョウメ</t>
    </rPh>
    <phoneticPr fontId="1"/>
  </si>
  <si>
    <t>札幌市厚別区厚別中央5条5丁目2－12</t>
    <rPh sb="0" eb="3">
      <t>サッポロシ</t>
    </rPh>
    <rPh sb="3" eb="6">
      <t>アツベツク</t>
    </rPh>
    <rPh sb="6" eb="8">
      <t>アツベツ</t>
    </rPh>
    <rPh sb="8" eb="10">
      <t>チュウオウ</t>
    </rPh>
    <rPh sb="11" eb="12">
      <t>ジョウ</t>
    </rPh>
    <rPh sb="13" eb="15">
      <t>チョウメ</t>
    </rPh>
    <phoneticPr fontId="1"/>
  </si>
  <si>
    <t>札幌市厚別区厚別東2条3丁目7-5</t>
    <rPh sb="0" eb="3">
      <t>サッポロシ</t>
    </rPh>
    <rPh sb="3" eb="6">
      <t>アツベツク</t>
    </rPh>
    <phoneticPr fontId="1"/>
  </si>
  <si>
    <t>ハイセレール幸</t>
    <rPh sb="6" eb="7">
      <t>サチ</t>
    </rPh>
    <phoneticPr fontId="1"/>
  </si>
  <si>
    <t>KOKOMO手稲</t>
    <rPh sb="6" eb="8">
      <t>テイネ</t>
    </rPh>
    <phoneticPr fontId="1"/>
  </si>
  <si>
    <t>コンフォートＴ17Ｃ</t>
  </si>
  <si>
    <t>コンフォートT17D</t>
  </si>
  <si>
    <t>札幌市手稲区前田10条14丁目1-23</t>
    <rPh sb="0" eb="3">
      <t>サッポロシ</t>
    </rPh>
    <rPh sb="3" eb="6">
      <t>テイネク</t>
    </rPh>
    <rPh sb="6" eb="8">
      <t>マエダ</t>
    </rPh>
    <rPh sb="10" eb="11">
      <t>ジョウ</t>
    </rPh>
    <rPh sb="13" eb="15">
      <t>チョウメ</t>
    </rPh>
    <phoneticPr fontId="1"/>
  </si>
  <si>
    <t>札幌市手稲区前田1条10丁目3-6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</si>
  <si>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札幌市手稲区稲穂１条７丁目1-12</t>
  </si>
  <si>
    <t>札幌市手稲区稲穂１条７丁目１-12</t>
  </si>
  <si>
    <t>サンハイム</t>
  </si>
  <si>
    <t>ウッディヴィレッヂA</t>
  </si>
  <si>
    <t>ウッディヴィレッヂB</t>
  </si>
  <si>
    <t>メゾンノール2.2</t>
  </si>
  <si>
    <t>ホマレマンションD</t>
  </si>
  <si>
    <t>メゾンノール3.2</t>
  </si>
  <si>
    <t>ウッディヴィレッヂC</t>
  </si>
  <si>
    <t>札幌市清田区北野3条3丁目18-16</t>
    <rPh sb="0" eb="3">
      <t>サッポロシ</t>
    </rPh>
    <rPh sb="3" eb="6">
      <t>キヨタク</t>
    </rPh>
    <rPh sb="6" eb="8">
      <t>キタノ</t>
    </rPh>
    <rPh sb="9" eb="10">
      <t>ジョウ</t>
    </rPh>
    <rPh sb="11" eb="13">
      <t>チョウメ</t>
    </rPh>
    <phoneticPr fontId="1"/>
  </si>
  <si>
    <t>札幌市清田区北野2条2丁目8-21</t>
    <rPh sb="0" eb="3">
      <t>サッポロシ</t>
    </rPh>
    <rPh sb="3" eb="6">
      <t>キヨタク</t>
    </rPh>
    <rPh sb="6" eb="8">
      <t>キタノ</t>
    </rPh>
    <rPh sb="9" eb="10">
      <t>ジョウ</t>
    </rPh>
    <rPh sb="11" eb="13">
      <t>チョウメ</t>
    </rPh>
    <phoneticPr fontId="1"/>
  </si>
  <si>
    <t>札幌市清田区北野2条2丁目8-16</t>
  </si>
  <si>
    <t>札幌市清田区北野5条2丁目6-50</t>
  </si>
  <si>
    <t>札幌市清田区北野3条2丁目13-1</t>
  </si>
  <si>
    <t>札幌市清田区北野2条2丁目8-20</t>
    <rPh sb="0" eb="3">
      <t>サッポロシ</t>
    </rPh>
    <phoneticPr fontId="1"/>
  </si>
  <si>
    <t>0808</t>
    <phoneticPr fontId="3"/>
  </si>
  <si>
    <t>札幌市南区真駒内南町４丁目２−５</t>
    <phoneticPr fontId="3"/>
  </si>
  <si>
    <t xml:space="preserve">ライオンズマンション真駒内第3 </t>
    <phoneticPr fontId="3"/>
  </si>
  <si>
    <t>アルファスクエア南6条</t>
    <rPh sb="8" eb="9">
      <t>ミナミ</t>
    </rPh>
    <rPh sb="10" eb="11">
      <t>ジョウ</t>
    </rPh>
    <phoneticPr fontId="1"/>
  </si>
  <si>
    <t>アルファスクエア大通西17丁目</t>
    <rPh sb="8" eb="11">
      <t>オオドオリニシ</t>
    </rPh>
    <rPh sb="13" eb="15">
      <t>チョウメ</t>
    </rPh>
    <phoneticPr fontId="1"/>
  </si>
  <si>
    <t>エスペランサ</t>
  </si>
  <si>
    <t>アルファスクエア大通公園南</t>
    <rPh sb="8" eb="10">
      <t>オオドオリ</t>
    </rPh>
    <rPh sb="10" eb="12">
      <t>コウエン</t>
    </rPh>
    <rPh sb="12" eb="13">
      <t>ミナミ</t>
    </rPh>
    <phoneticPr fontId="1"/>
  </si>
  <si>
    <t>アルファスクエア創成川公園</t>
    <rPh sb="8" eb="13">
      <t>ソウセイカワコウエン</t>
    </rPh>
    <phoneticPr fontId="1"/>
  </si>
  <si>
    <t>アルファスクエア南4条</t>
    <rPh sb="8" eb="9">
      <t>ミナミ</t>
    </rPh>
    <rPh sb="10" eb="11">
      <t>ジョウ</t>
    </rPh>
    <phoneticPr fontId="1"/>
  </si>
  <si>
    <t>アルファシティ南6条</t>
    <rPh sb="7" eb="8">
      <t>ミナミ</t>
    </rPh>
    <rPh sb="9" eb="10">
      <t>ジョウ</t>
    </rPh>
    <phoneticPr fontId="1"/>
  </si>
  <si>
    <t>札幌市中央区南６条西７丁目２−１</t>
  </si>
  <si>
    <t>札幌市中央区大通西17丁目1-9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</si>
  <si>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札幌市中央区北7条西27丁目3番7号</t>
  </si>
  <si>
    <t>札幌市中央区南２条西６丁目７−２</t>
  </si>
  <si>
    <t>※8848呼</t>
    <rPh sb="5" eb="6">
      <t>ヨ</t>
    </rPh>
    <phoneticPr fontId="1"/>
  </si>
  <si>
    <t>札幌市中央区南３条東１丁目３</t>
  </si>
  <si>
    <t>札幌市中央区南４条東４丁目１５−６</t>
  </si>
  <si>
    <t>※0821</t>
  </si>
  <si>
    <t>札幌市中央区南6条西7丁目1-3</t>
  </si>
  <si>
    <t>アルファスクエア北13条</t>
    <rPh sb="8" eb="9">
      <t>キタ</t>
    </rPh>
    <rPh sb="11" eb="12">
      <t>ジョウ</t>
    </rPh>
    <phoneticPr fontId="1"/>
  </si>
  <si>
    <t>札幌市北区北１３条西３丁目２−１６−１</t>
  </si>
  <si>
    <t>STビル</t>
  </si>
  <si>
    <t>プレッソ環状通東</t>
    <rPh sb="4" eb="8">
      <t>カンジョウドオリヒガシ</t>
    </rPh>
    <phoneticPr fontId="1"/>
  </si>
  <si>
    <t>札幌市東区北14条東15丁目3-5</t>
  </si>
  <si>
    <t>札幌市東区北14条東15丁目3-26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</si>
  <si>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アルファスクエア山の手</t>
    <rPh sb="8" eb="9">
      <t>ヤマ</t>
    </rPh>
    <rPh sb="10" eb="11">
      <t>テ</t>
    </rPh>
    <phoneticPr fontId="1"/>
  </si>
  <si>
    <t>ラウンド・ウォール21</t>
  </si>
  <si>
    <t>福井　戸建て</t>
    <rPh sb="0" eb="2">
      <t>フクイ</t>
    </rPh>
    <rPh sb="3" eb="5">
      <t>コダ</t>
    </rPh>
    <phoneticPr fontId="1"/>
  </si>
  <si>
    <t>札幌市西区山の手２条７丁目１−１８</t>
  </si>
  <si>
    <t>札幌市西区八軒1条日1丁目3-8</t>
    <rPh sb="0" eb="3">
      <t>サッポロシ</t>
    </rPh>
    <rPh sb="3" eb="5">
      <t>ニシク</t>
    </rPh>
    <rPh sb="5" eb="7">
      <t>ハチケン</t>
    </rPh>
    <rPh sb="8" eb="9">
      <t>ジョウ</t>
    </rPh>
    <rPh sb="9" eb="10">
      <t>ニチ</t>
    </rPh>
    <rPh sb="11" eb="13">
      <t>チョウメ</t>
    </rPh>
    <phoneticPr fontId="1"/>
  </si>
  <si>
    <t>呼3659</t>
    <rPh sb="0" eb="1">
      <t>ヨ</t>
    </rPh>
    <phoneticPr fontId="1"/>
  </si>
  <si>
    <t>札幌市西区福井6丁目14-5</t>
    <rPh sb="0" eb="3">
      <t>サッポロシ</t>
    </rPh>
    <rPh sb="3" eb="5">
      <t>ニシク</t>
    </rPh>
    <rPh sb="5" eb="7">
      <t>フクイ</t>
    </rPh>
    <rPh sb="8" eb="10">
      <t>チョウメ</t>
    </rPh>
    <phoneticPr fontId="1"/>
  </si>
  <si>
    <t>第二本郷ハイム</t>
    <rPh sb="0" eb="2">
      <t>ダイニ</t>
    </rPh>
    <rPh sb="2" eb="4">
      <t>ホンゴウ</t>
    </rPh>
    <phoneticPr fontId="1"/>
  </si>
  <si>
    <t>札幌市白石区本郷通5丁目北5-10</t>
  </si>
  <si>
    <t>アルファスクエア平岸</t>
    <rPh sb="8" eb="10">
      <t>ヒラギシ</t>
    </rPh>
    <phoneticPr fontId="1"/>
  </si>
  <si>
    <t>平野様邸</t>
    <rPh sb="0" eb="3">
      <t>ヒラノサマ</t>
    </rPh>
    <rPh sb="3" eb="4">
      <t>テイ</t>
    </rPh>
    <phoneticPr fontId="1"/>
  </si>
  <si>
    <t>札幌市豊平区平岸4条9丁目15-3</t>
    <rPh sb="0" eb="2">
      <t>サッポロ</t>
    </rPh>
    <rPh sb="2" eb="3">
      <t>シ</t>
    </rPh>
    <phoneticPr fontId="1"/>
  </si>
  <si>
    <t>札幌市豊平区月寒5条15丁目15番11号</t>
  </si>
  <si>
    <t>アルファスクエアもみじ台5号棟</t>
    <rPh sb="11" eb="12">
      <t>ダイ</t>
    </rPh>
    <rPh sb="13" eb="15">
      <t>ゴウトウ</t>
    </rPh>
    <phoneticPr fontId="1"/>
  </si>
  <si>
    <t>アルファスクエアもみじ台1号棟</t>
    <rPh sb="11" eb="12">
      <t>ダイ</t>
    </rPh>
    <rPh sb="13" eb="15">
      <t>ゴウトウ</t>
    </rPh>
    <phoneticPr fontId="1"/>
  </si>
  <si>
    <t>アルファスクエアもみじ台3号棟</t>
  </si>
  <si>
    <t>アルファスクエアもみじ台　4号棟</t>
    <rPh sb="11" eb="12">
      <t>ダイ</t>
    </rPh>
    <rPh sb="14" eb="16">
      <t>ゴウトウ</t>
    </rPh>
    <phoneticPr fontId="1"/>
  </si>
  <si>
    <t>札幌市厚別区もみじ台西３丁目３−５</t>
  </si>
  <si>
    <t>※0632</t>
  </si>
  <si>
    <t>札幌市厚別区もみじ台西3丁目3-1</t>
    <rPh sb="0" eb="3">
      <t>サッポロシ</t>
    </rPh>
    <phoneticPr fontId="1"/>
  </si>
  <si>
    <t>札幌市厚別区もみじ台西３丁目３</t>
  </si>
  <si>
    <t>ドミトリィ雄飛</t>
  </si>
  <si>
    <t>千歳市幸町1丁目11</t>
  </si>
  <si>
    <t>フランジ交換</t>
    <rPh sb="4" eb="6">
      <t>コウカン</t>
    </rPh>
    <phoneticPr fontId="3"/>
  </si>
  <si>
    <t>17,000円</t>
    <rPh sb="2" eb="7">
      <t>000エン</t>
    </rPh>
    <phoneticPr fontId="3"/>
  </si>
  <si>
    <t>便器脱着あり</t>
    <rPh sb="0" eb="4">
      <t>ベンキダッチャク</t>
    </rPh>
    <phoneticPr fontId="3"/>
  </si>
  <si>
    <t>ボールタップ、ゴムフロート交換</t>
    <rPh sb="13" eb="15">
      <t>コウカン</t>
    </rPh>
    <phoneticPr fontId="3"/>
  </si>
  <si>
    <t>15,000円</t>
    <rPh sb="2" eb="7">
      <t>000エン</t>
    </rPh>
    <phoneticPr fontId="3"/>
  </si>
  <si>
    <t>水抜栓、ピストン修理　パッキン交換</t>
    <rPh sb="0" eb="3">
      <t>ミズヌキセン</t>
    </rPh>
    <rPh sb="8" eb="10">
      <t>シュウリ</t>
    </rPh>
    <rPh sb="15" eb="17">
      <t>コウカン</t>
    </rPh>
    <phoneticPr fontId="3"/>
  </si>
  <si>
    <t>13,000円</t>
    <rPh sb="2" eb="7">
      <t>000エン</t>
    </rPh>
    <phoneticPr fontId="3"/>
  </si>
  <si>
    <t>ゲートバルブ交換</t>
    <rPh sb="6" eb="8">
      <t>コウカン</t>
    </rPh>
    <phoneticPr fontId="3"/>
  </si>
  <si>
    <t>25,000円</t>
    <rPh sb="2" eb="7">
      <t>000エン</t>
    </rPh>
    <phoneticPr fontId="3"/>
  </si>
  <si>
    <t>保温管3,000円別途</t>
    <rPh sb="0" eb="3">
      <t>ホオンカン</t>
    </rPh>
    <rPh sb="4" eb="9">
      <t>000エン</t>
    </rPh>
    <rPh sb="9" eb="11">
      <t>ベット</t>
    </rPh>
    <phoneticPr fontId="3"/>
  </si>
  <si>
    <t>ゲートバルブ交換附随工事</t>
    <rPh sb="6" eb="8">
      <t>コウカン</t>
    </rPh>
    <rPh sb="8" eb="10">
      <t>フズイ</t>
    </rPh>
    <rPh sb="10" eb="12">
      <t>コウジ</t>
    </rPh>
    <phoneticPr fontId="3"/>
  </si>
  <si>
    <t>ポンプ止水、通水</t>
    <rPh sb="3" eb="5">
      <t>シスイ</t>
    </rPh>
    <rPh sb="6" eb="8">
      <t>ツウスイ</t>
    </rPh>
    <phoneticPr fontId="3"/>
  </si>
  <si>
    <t>ワンホール混合栓交換（材工）</t>
    <rPh sb="5" eb="10">
      <t>コンゴウセンコウカン</t>
    </rPh>
    <rPh sb="11" eb="13">
      <t>ザイコウ</t>
    </rPh>
    <phoneticPr fontId="3"/>
  </si>
  <si>
    <t>21,000円</t>
    <rPh sb="2" eb="7">
      <t>000エン</t>
    </rPh>
    <phoneticPr fontId="3"/>
  </si>
  <si>
    <t>ダイアパレス大通第２</t>
    <rPh sb="6" eb="8">
      <t>オオドオリ</t>
    </rPh>
    <rPh sb="8" eb="9">
      <t>ダイ</t>
    </rPh>
    <phoneticPr fontId="1"/>
  </si>
  <si>
    <t>フェバリット ラ・ジェッド</t>
  </si>
  <si>
    <t>ノーチェ円山</t>
    <rPh sb="4" eb="6">
      <t>マルヤマ</t>
    </rPh>
    <phoneticPr fontId="1"/>
  </si>
  <si>
    <t>モデナ山鼻</t>
    <rPh sb="3" eb="5">
      <t>ヤマハナ</t>
    </rPh>
    <phoneticPr fontId="1"/>
  </si>
  <si>
    <t>カサオリエンタル</t>
  </si>
  <si>
    <t>モデナ近代美術館</t>
    <rPh sb="3" eb="8">
      <t>キンダイビジュツカン</t>
    </rPh>
    <phoneticPr fontId="1"/>
  </si>
  <si>
    <t>ＹＡＭＡＩＣＨＩ86</t>
  </si>
  <si>
    <t>Gufo伏見</t>
    <rPh sb="4" eb="6">
      <t>フシミ</t>
    </rPh>
    <phoneticPr fontId="1"/>
  </si>
  <si>
    <t>ルネッサンス円山くりの木</t>
    <rPh sb="6" eb="8">
      <t>マルヤマ</t>
    </rPh>
    <rPh sb="11" eb="12">
      <t>キ</t>
    </rPh>
    <phoneticPr fontId="1"/>
  </si>
  <si>
    <t>レコルト円山</t>
    <rPh sb="4" eb="6">
      <t>マルヤマ</t>
    </rPh>
    <phoneticPr fontId="1"/>
  </si>
  <si>
    <t>プラザ15</t>
  </si>
  <si>
    <t>ビバリー札幌</t>
    <rPh sb="4" eb="6">
      <t>サッポロ</t>
    </rPh>
    <phoneticPr fontId="1"/>
  </si>
  <si>
    <t>札幌ヒルズ</t>
    <rPh sb="0" eb="2">
      <t>サッポロ</t>
    </rPh>
    <phoneticPr fontId="1"/>
  </si>
  <si>
    <t>ハイツソフィアB</t>
  </si>
  <si>
    <t>MDC表参道ビル</t>
    <rPh sb="3" eb="6">
      <t>オモテサンドウ</t>
    </rPh>
    <phoneticPr fontId="1"/>
  </si>
  <si>
    <t>サイレンス旭ヶ丘</t>
    <rPh sb="5" eb="8">
      <t>アサヒガオカ</t>
    </rPh>
    <phoneticPr fontId="1"/>
  </si>
  <si>
    <t>プライムステージ4-16</t>
  </si>
  <si>
    <t>PRIME南7条</t>
    <rPh sb="5" eb="6">
      <t>ミナミ</t>
    </rPh>
    <rPh sb="7" eb="8">
      <t>ジョウ</t>
    </rPh>
    <phoneticPr fontId="1"/>
  </si>
  <si>
    <t>ドルチェ山鼻</t>
    <rPh sb="4" eb="6">
      <t>ヤマハナ</t>
    </rPh>
    <phoneticPr fontId="1"/>
  </si>
  <si>
    <t>メゾン・クー・ドゥ・クールⅦ</t>
  </si>
  <si>
    <t>カレラ北1条ビル</t>
    <rPh sb="3" eb="4">
      <t>キタ</t>
    </rPh>
    <rPh sb="5" eb="6">
      <t>ジョウ</t>
    </rPh>
    <phoneticPr fontId="1"/>
  </si>
  <si>
    <t>モルティーニ山鼻</t>
    <rPh sb="6" eb="8">
      <t>ヤマハナ</t>
    </rPh>
    <phoneticPr fontId="1"/>
  </si>
  <si>
    <t>スペチアーレプリーモ</t>
  </si>
  <si>
    <t>アセットプランニング大通ビル</t>
    <rPh sb="10" eb="12">
      <t>オオドオリ</t>
    </rPh>
    <phoneticPr fontId="1"/>
  </si>
  <si>
    <t>双子山戸建</t>
    <rPh sb="0" eb="3">
      <t>フタゴヤマ</t>
    </rPh>
    <rPh sb="3" eb="5">
      <t>コダテ</t>
    </rPh>
    <phoneticPr fontId="1"/>
  </si>
  <si>
    <t>ライオンズマンション旭ヶ丘第３</t>
    <rPh sb="10" eb="13">
      <t>アサヒガオカ</t>
    </rPh>
    <rPh sb="13" eb="14">
      <t>ダイ</t>
    </rPh>
    <phoneticPr fontId="1"/>
  </si>
  <si>
    <t>カレラ1113</t>
  </si>
  <si>
    <t>M-STORAGE813</t>
  </si>
  <si>
    <t>ダイアパレス円山公園Ⅲ</t>
    <rPh sb="6" eb="10">
      <t>マルヤマコウエン</t>
    </rPh>
    <phoneticPr fontId="1"/>
  </si>
  <si>
    <t>あいりん桑園</t>
    <rPh sb="4" eb="6">
      <t>ソウエン</t>
    </rPh>
    <phoneticPr fontId="1"/>
  </si>
  <si>
    <t>グランファーレ札幌幌西レジデンス</t>
    <rPh sb="7" eb="9">
      <t>サッポロ</t>
    </rPh>
    <rPh sb="9" eb="11">
      <t>ホロニシ</t>
    </rPh>
    <phoneticPr fontId="1"/>
  </si>
  <si>
    <t>あいの亭</t>
    <rPh sb="3" eb="4">
      <t>テイ</t>
    </rPh>
    <phoneticPr fontId="1"/>
  </si>
  <si>
    <t>南15西12戸建</t>
    <rPh sb="0" eb="1">
      <t>ミナミ</t>
    </rPh>
    <rPh sb="3" eb="4">
      <t>ニシ</t>
    </rPh>
    <rPh sb="6" eb="8">
      <t>コダテ</t>
    </rPh>
    <phoneticPr fontId="1"/>
  </si>
  <si>
    <t>南13西13貸家</t>
    <rPh sb="0" eb="1">
      <t>ミナミ</t>
    </rPh>
    <rPh sb="3" eb="4">
      <t>ニシ</t>
    </rPh>
    <phoneticPr fontId="1"/>
  </si>
  <si>
    <t>ラグジュカムズ</t>
  </si>
  <si>
    <t>クラルテ旭山公園通</t>
    <rPh sb="4" eb="8">
      <t>アサヒヤマコウエン</t>
    </rPh>
    <rPh sb="8" eb="9">
      <t>ドオ</t>
    </rPh>
    <phoneticPr fontId="1"/>
  </si>
  <si>
    <t>フェバリット ラ・セスト</t>
  </si>
  <si>
    <t>マジソンハイツ</t>
  </si>
  <si>
    <t>H.A.BLD.No.2</t>
  </si>
  <si>
    <t>ロベージS2E1</t>
  </si>
  <si>
    <t>スペチアーレ大通</t>
    <rPh sb="6" eb="8">
      <t>オオドオリ</t>
    </rPh>
    <phoneticPr fontId="1"/>
  </si>
  <si>
    <t>スペチアーレ伏見</t>
    <rPh sb="6" eb="8">
      <t>フシミ</t>
    </rPh>
    <phoneticPr fontId="1"/>
  </si>
  <si>
    <t>スペチアーレ伏見WEST</t>
    <rPh sb="6" eb="8">
      <t>フシミ</t>
    </rPh>
    <phoneticPr fontId="1"/>
  </si>
  <si>
    <t>マナー白鳥</t>
    <rPh sb="3" eb="5">
      <t>シラトリ</t>
    </rPh>
    <phoneticPr fontId="1"/>
  </si>
  <si>
    <t>コーポ信和</t>
    <rPh sb="3" eb="5">
      <t>シンワ</t>
    </rPh>
    <phoneticPr fontId="1"/>
  </si>
  <si>
    <t>ル・シアン円山</t>
    <rPh sb="5" eb="7">
      <t>マルヤマ</t>
    </rPh>
    <phoneticPr fontId="1"/>
  </si>
  <si>
    <t>セブンスコート円山</t>
    <rPh sb="7" eb="9">
      <t>マルヤマ</t>
    </rPh>
    <phoneticPr fontId="1"/>
  </si>
  <si>
    <t>ファミール大通</t>
    <rPh sb="5" eb="7">
      <t>オオドオリ</t>
    </rPh>
    <phoneticPr fontId="1"/>
  </si>
  <si>
    <t>ピエス大通14</t>
    <rPh sb="3" eb="5">
      <t>オオドオリ</t>
    </rPh>
    <phoneticPr fontId="1"/>
  </si>
  <si>
    <t>ピオネロ山鼻</t>
    <rPh sb="4" eb="6">
      <t>ヤマハナ</t>
    </rPh>
    <phoneticPr fontId="1"/>
  </si>
  <si>
    <t>アルス円山公園サウスプロムナード</t>
    <rPh sb="3" eb="5">
      <t>マルヤマ</t>
    </rPh>
    <rPh sb="5" eb="7">
      <t>コウエン</t>
    </rPh>
    <phoneticPr fontId="1"/>
  </si>
  <si>
    <t>フラーテ札幌</t>
    <rPh sb="4" eb="6">
      <t>サッポロ</t>
    </rPh>
    <phoneticPr fontId="1"/>
  </si>
  <si>
    <t>ラ・クラッセ札幌大通サウスシティ</t>
    <rPh sb="6" eb="10">
      <t>サッポロオオドオリ</t>
    </rPh>
    <phoneticPr fontId="1"/>
  </si>
  <si>
    <t>札幌市中央区大通西19丁目1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</si>
  <si>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札幌市中央区南9条西13丁目1-43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</si>
  <si>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呼0729</t>
    <rPh sb="0" eb="1">
      <t>ヨビ</t>
    </rPh>
    <phoneticPr fontId="1"/>
  </si>
  <si>
    <t>札幌市中央区北2条西20丁目2-20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</si>
  <si>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札幌市中央区南11条西13丁目1-32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</si>
  <si>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札幌市中央区南5条西12丁目1297-20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</si>
  <si>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札幌市中央区北4条西18丁目2-1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</si>
  <si>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札幌市中央区南9条西6丁目421-16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</si>
  <si>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※5963呼</t>
    <rPh sb="5" eb="6">
      <t>ヨビ</t>
    </rPh>
    <phoneticPr fontId="1"/>
  </si>
  <si>
    <t>0305</t>
  </si>
  <si>
    <t>札幌市中央区南18条西16丁目2-20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</si>
  <si>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札幌市中央区南6条西26丁目4-11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</si>
  <si>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呼1234</t>
    <rPh sb="0" eb="1">
      <t>ヨビ</t>
    </rPh>
    <phoneticPr fontId="1"/>
  </si>
  <si>
    <t>0510</t>
  </si>
  <si>
    <t>札幌市中央区大通西24丁目2-5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</si>
  <si>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0713</t>
  </si>
  <si>
    <t>札幌市中央区南15条西6丁目2-23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</si>
  <si>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鍵(0729)</t>
    <rPh sb="0" eb="1">
      <t>カギ</t>
    </rPh>
    <phoneticPr fontId="1"/>
  </si>
  <si>
    <t>札幌市中央区北6条西10丁目3-3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</si>
  <si>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札幌市中央区南10条西13丁目2-31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</si>
  <si>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札幌市中央区南7条西13丁目2-11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</si>
  <si>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札幌市中央区北1条西22丁目3-18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</si>
  <si>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札幌市中央区南11条西17丁目2-8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</si>
  <si>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呼2281</t>
    <rPh sb="0" eb="1">
      <t>ヨビ</t>
    </rPh>
    <phoneticPr fontId="1"/>
  </si>
  <si>
    <t>札幌市中央区南4条西16丁目2-28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</si>
  <si>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呼0416</t>
    <rPh sb="0" eb="1">
      <t>ヨビ</t>
    </rPh>
    <phoneticPr fontId="1"/>
  </si>
  <si>
    <t>札幌市中央区南7条西9丁目1024-51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</si>
  <si>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呼5963</t>
    <rPh sb="0" eb="1">
      <t>ヨビ</t>
    </rPh>
    <phoneticPr fontId="1"/>
  </si>
  <si>
    <t>札幌市中央区南17条西10丁目2-22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</si>
  <si>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札幌市中央区南14条西11丁目1-16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</si>
  <si>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札幌市中央区北1条西20丁目1-20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</si>
  <si>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札幌市中央区南15条西9丁目1-2</t>
    <rPh sb="3" eb="6">
      <t>チュウオウク</t>
    </rPh>
    <rPh sb="6" eb="7">
      <t>ミナミ</t>
    </rPh>
    <rPh sb="9" eb="10">
      <t>ジョウ</t>
    </rPh>
    <rPh sb="10" eb="11">
      <t>ニシ</t>
    </rPh>
    <rPh sb="12" eb="14">
      <t>チョウメ</t>
    </rPh>
    <phoneticPr fontId="1"/>
  </si>
  <si>
    <t>#0049</t>
  </si>
  <si>
    <t>札幌市中央区南1条西10丁目4-163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</si>
  <si>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札幌市中央区大通西7丁目2-2</t>
    <rPh sb="0" eb="3">
      <t>サッポロシ</t>
    </rPh>
    <rPh sb="3" eb="6">
      <t>チュウオウク</t>
    </rPh>
    <rPh sb="6" eb="8">
      <t>オオドオリ</t>
    </rPh>
    <rPh sb="8" eb="9">
      <t>ニシ</t>
    </rPh>
    <rPh sb="10" eb="12">
      <t>チョウメ</t>
    </rPh>
    <phoneticPr fontId="1"/>
  </si>
  <si>
    <t>札幌市中央区双子山1丁目10-14</t>
    <rPh sb="0" eb="3">
      <t>サッポロシ</t>
    </rPh>
    <rPh sb="3" eb="6">
      <t>チュウオウク</t>
    </rPh>
    <rPh sb="6" eb="9">
      <t>フタゴヤマ</t>
    </rPh>
    <rPh sb="10" eb="12">
      <t>チョウメ</t>
    </rPh>
    <phoneticPr fontId="1"/>
  </si>
  <si>
    <t>札幌市中央区南10条西22丁目2-10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</si>
  <si>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札幌市中央区南11条西13丁目2-37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</si>
  <si>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呼0222</t>
    <rPh sb="0" eb="1">
      <t>ヨビ</t>
    </rPh>
    <phoneticPr fontId="1"/>
  </si>
  <si>
    <t>札幌市中央区南8条西13丁目3-10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</si>
  <si>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0407</t>
  </si>
  <si>
    <t>札幌市中央区北2条西23丁目1-28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</si>
  <si>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札幌市中央区北14条西18丁目1-27</t>
    <rPh sb="0" eb="3">
      <t>サッポロシ</t>
    </rPh>
    <rPh sb="3" eb="6">
      <t>チュウオウク</t>
    </rPh>
    <rPh sb="6" eb="7">
      <t>キタ</t>
    </rPh>
    <rPh sb="9" eb="10">
      <t>ジョウ</t>
    </rPh>
    <rPh sb="10" eb="11">
      <t>ニシ</t>
    </rPh>
    <rPh sb="13" eb="15">
      <t>チョウメ</t>
    </rPh>
    <phoneticPr fontId="1"/>
  </si>
  <si>
    <t>※0123呼</t>
    <rPh sb="5" eb="6">
      <t>ヨビ</t>
    </rPh>
    <phoneticPr fontId="1"/>
  </si>
  <si>
    <t>札幌市中央区南11条西14丁目1-1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</si>
  <si>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鍵</t>
    <rPh sb="0" eb="1">
      <t>カギ</t>
    </rPh>
    <phoneticPr fontId="1"/>
  </si>
  <si>
    <t>札幌市中央区北14条西15丁目7-36</t>
    <rPh sb="0" eb="3">
      <t>サッポロシ</t>
    </rPh>
    <rPh sb="3" eb="6">
      <t>チュウオウク</t>
    </rPh>
    <rPh sb="6" eb="7">
      <t>キタ</t>
    </rPh>
    <rPh sb="9" eb="10">
      <t>ジョウ</t>
    </rPh>
    <rPh sb="10" eb="11">
      <t>ニシ</t>
    </rPh>
    <rPh sb="13" eb="15">
      <t>チョウメ</t>
    </rPh>
    <phoneticPr fontId="1"/>
  </si>
  <si>
    <t>札幌市中央区南15条西12丁目2-11</t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</si>
  <si>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札幌市中央区南13条西13丁目2-37</t>
  </si>
  <si>
    <t>札幌市中央区南27条西11丁目1-23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</si>
  <si>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呼0924</t>
    <rPh sb="0" eb="1">
      <t>ヨビ</t>
    </rPh>
    <phoneticPr fontId="1"/>
  </si>
  <si>
    <t>札幌市中央区南10条西15丁目1-3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</si>
  <si>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呼0129</t>
    <rPh sb="0" eb="1">
      <t>ヨビ</t>
    </rPh>
    <phoneticPr fontId="1"/>
  </si>
  <si>
    <t>札幌市中央区南2条西12丁目323-19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</si>
  <si>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札幌市中央区南9条西3丁目2-1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</si>
  <si>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札幌市中央区北1条西22丁目3-32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</si>
  <si>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階段柵0713</t>
    <rPh sb="0" eb="3">
      <t>カイダンサク</t>
    </rPh>
    <phoneticPr fontId="1"/>
  </si>
  <si>
    <t>札幌市中央区南2条東1丁目1-19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ヒガシ</t>
    </rPh>
    <rPh sb="11" eb="13">
      <t>チョウメ</t>
    </rPh>
    <phoneticPr fontId="1"/>
  </si>
  <si>
    <t>札幌市中央区南1条西7丁目19-2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</si>
  <si>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呼0729</t>
  </si>
  <si>
    <t>札幌市中央区南19条西14丁目2-35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</si>
  <si>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札幌市中央区南19条西14丁目2-27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</si>
  <si>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札幌市中央区南1条西1丁目13-1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</si>
  <si>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札幌市中央区北14条西18丁目1-3</t>
    <rPh sb="0" eb="3">
      <t>サッポロシ</t>
    </rPh>
    <rPh sb="3" eb="6">
      <t>チュウオウク</t>
    </rPh>
    <rPh sb="6" eb="7">
      <t>キタ</t>
    </rPh>
    <rPh sb="9" eb="10">
      <t>ジョウ</t>
    </rPh>
    <rPh sb="10" eb="11">
      <t>ニシ</t>
    </rPh>
    <rPh sb="13" eb="15">
      <t>チョウメ</t>
    </rPh>
    <phoneticPr fontId="1"/>
  </si>
  <si>
    <t>札幌市中央区北2条西27丁目2-26</t>
  </si>
  <si>
    <t>呼0227</t>
    <rPh sb="0" eb="1">
      <t>ヨビ</t>
    </rPh>
    <phoneticPr fontId="1"/>
  </si>
  <si>
    <t>札幌市中央区北1条西22丁目1-6</t>
    <rPh sb="0" eb="3">
      <t>サッポロシ</t>
    </rPh>
    <rPh sb="3" eb="6">
      <t>チュウオウク</t>
    </rPh>
    <rPh sb="6" eb="7">
      <t>キタ</t>
    </rPh>
    <rPh sb="8" eb="9">
      <t>ジョウ</t>
    </rPh>
    <rPh sb="9" eb="10">
      <t>ニシ</t>
    </rPh>
    <rPh sb="12" eb="14">
      <t>チョウメ</t>
    </rPh>
    <phoneticPr fontId="1"/>
  </si>
  <si>
    <t>0301</t>
  </si>
  <si>
    <t>札幌市中央区大通西18丁目2-8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</si>
  <si>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0924</t>
  </si>
  <si>
    <t>札幌市中央区大通西14丁目3-25</t>
    <rPh sb="0" eb="3">
      <t>サッポロシ</t>
    </rPh>
    <rPh sb="3" eb="6">
      <t>チュウオウク</t>
    </rPh>
    <rPh sb="6" eb="8">
      <t>オオドオリ</t>
    </rPh>
    <rPh sb="8" eb="9">
      <t>ニシ</t>
    </rPh>
    <rPh sb="11" eb="13">
      <t>チョウメ</t>
    </rPh>
    <phoneticPr fontId="1"/>
  </si>
  <si>
    <t>電子キー1972※</t>
    <rPh sb="0" eb="2">
      <t>デンシ</t>
    </rPh>
    <phoneticPr fontId="1"/>
  </si>
  <si>
    <t>札幌市中央区南16条西12丁目3-21</t>
    <rPh sb="0" eb="3">
      <t>サッポロシ</t>
    </rPh>
    <rPh sb="3" eb="6">
      <t>チュウオウク</t>
    </rPh>
    <rPh sb="6" eb="7">
      <t>ミナミ</t>
    </rPh>
    <rPh sb="9" eb="10">
      <t>ジョウ</t>
    </rPh>
    <rPh sb="10" eb="11">
      <t>ニシ</t>
    </rPh>
    <rPh sb="13" eb="15">
      <t>チョウメ</t>
    </rPh>
    <phoneticPr fontId="1"/>
  </si>
  <si>
    <t>呼0720</t>
    <rPh sb="0" eb="1">
      <t>ヨビ</t>
    </rPh>
    <phoneticPr fontId="1"/>
  </si>
  <si>
    <t>札幌市中央区南3条西27丁目1-7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2" eb="14">
      <t>チョウメ</t>
    </rPh>
    <phoneticPr fontId="1"/>
  </si>
  <si>
    <t>札幌市中央区南2条東1丁目1-12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ヒガシ</t>
    </rPh>
    <rPh sb="11" eb="13">
      <t>チョウメ</t>
    </rPh>
    <phoneticPr fontId="1"/>
  </si>
  <si>
    <t>札幌市中央区南4条西8丁目9-3</t>
    <rPh sb="0" eb="3">
      <t>サッポロシ</t>
    </rPh>
    <rPh sb="3" eb="6">
      <t>チュウオウク</t>
    </rPh>
    <rPh sb="6" eb="7">
      <t>ミナミ</t>
    </rPh>
    <rPh sb="8" eb="9">
      <t>ジョウ</t>
    </rPh>
    <rPh sb="9" eb="10">
      <t>ニシ</t>
    </rPh>
    <rPh sb="11" eb="13">
      <t>チョウメ</t>
    </rPh>
    <phoneticPr fontId="1"/>
  </si>
  <si>
    <t>スペチアーレ札幌</t>
    <rPh sb="6" eb="8">
      <t>サッポロ</t>
    </rPh>
    <phoneticPr fontId="1"/>
  </si>
  <si>
    <t>マノワール麻生</t>
    <rPh sb="5" eb="7">
      <t>アサブ</t>
    </rPh>
    <phoneticPr fontId="1"/>
  </si>
  <si>
    <t>シュシュ新琴似</t>
    <rPh sb="4" eb="7">
      <t>シンコトニ</t>
    </rPh>
    <phoneticPr fontId="1"/>
  </si>
  <si>
    <t>リスペクト北23条</t>
    <rPh sb="5" eb="6">
      <t>キタ</t>
    </rPh>
    <rPh sb="8" eb="9">
      <t>ジョウ</t>
    </rPh>
    <phoneticPr fontId="1"/>
  </si>
  <si>
    <t>麻生中央シティハウス</t>
    <rPh sb="0" eb="2">
      <t>アサブ</t>
    </rPh>
    <rPh sb="2" eb="4">
      <t>チュウオウ</t>
    </rPh>
    <phoneticPr fontId="1"/>
  </si>
  <si>
    <t>ラ・リュクス篠路弐号館</t>
    <rPh sb="6" eb="8">
      <t>シノロ</t>
    </rPh>
    <rPh sb="8" eb="11">
      <t>ニゴウカン</t>
    </rPh>
    <phoneticPr fontId="1"/>
  </si>
  <si>
    <t>コープ北23条マンション</t>
    <rPh sb="3" eb="4">
      <t>キタ</t>
    </rPh>
    <rPh sb="6" eb="7">
      <t>ジョウ</t>
    </rPh>
    <phoneticPr fontId="1"/>
  </si>
  <si>
    <t>ラウルあいの里</t>
    <rPh sb="6" eb="7">
      <t>サト</t>
    </rPh>
    <phoneticPr fontId="1"/>
  </si>
  <si>
    <t>セイラックス新琴似一番館</t>
    <rPh sb="6" eb="9">
      <t>シンコトニ</t>
    </rPh>
    <rPh sb="9" eb="12">
      <t>イチバンカン</t>
    </rPh>
    <phoneticPr fontId="1"/>
  </si>
  <si>
    <t>ラ・リュクス篠路壱号館</t>
    <rPh sb="6" eb="8">
      <t>シノロ</t>
    </rPh>
    <rPh sb="8" eb="9">
      <t>イチ</t>
    </rPh>
    <rPh sb="9" eb="11">
      <t>ゴウカン</t>
    </rPh>
    <phoneticPr fontId="1"/>
  </si>
  <si>
    <t>ハイム新川34</t>
    <rPh sb="3" eb="5">
      <t>シンカワ</t>
    </rPh>
    <phoneticPr fontId="1"/>
  </si>
  <si>
    <t>フランセレジデンシアグレース南麻生</t>
    <rPh sb="14" eb="15">
      <t>ミナミ</t>
    </rPh>
    <rPh sb="15" eb="17">
      <t>アサブ</t>
    </rPh>
    <phoneticPr fontId="1"/>
  </si>
  <si>
    <t>北22条西9丁目戸建</t>
    <rPh sb="0" eb="1">
      <t>キタ</t>
    </rPh>
    <rPh sb="3" eb="4">
      <t>ジョウ</t>
    </rPh>
    <rPh sb="4" eb="5">
      <t>ニシ</t>
    </rPh>
    <rPh sb="6" eb="8">
      <t>チョウメ</t>
    </rPh>
    <rPh sb="8" eb="10">
      <t>コダテ</t>
    </rPh>
    <phoneticPr fontId="1"/>
  </si>
  <si>
    <t>セブンスコートN14</t>
  </si>
  <si>
    <t>キングパレス</t>
  </si>
  <si>
    <t>ニューリバー22 Ⅰ</t>
  </si>
  <si>
    <t>トピア14</t>
  </si>
  <si>
    <t>ニューリバー22 Ⅱ</t>
  </si>
  <si>
    <t>ノース18</t>
  </si>
  <si>
    <t>札幌市北区北10条西1丁目7-2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</si>
  <si>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札幌市北区麻生町6丁目9-6</t>
    <rPh sb="0" eb="3">
      <t>サッポロシ</t>
    </rPh>
    <rPh sb="3" eb="5">
      <t>キタク</t>
    </rPh>
    <rPh sb="5" eb="7">
      <t>アサブ</t>
    </rPh>
    <rPh sb="7" eb="8">
      <t>チョウ</t>
    </rPh>
    <rPh sb="9" eb="11">
      <t>チョウメ</t>
    </rPh>
    <phoneticPr fontId="1"/>
  </si>
  <si>
    <t>札幌市北区北14条西1丁目2-1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</si>
  <si>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札幌市北区新琴似2条6丁目2-16</t>
    <rPh sb="0" eb="3">
      <t>サッポロシ</t>
    </rPh>
    <rPh sb="3" eb="5">
      <t>キタク</t>
    </rPh>
    <rPh sb="5" eb="8">
      <t>シンコトニ</t>
    </rPh>
    <rPh sb="9" eb="10">
      <t>ジョウ</t>
    </rPh>
    <rPh sb="11" eb="13">
      <t>チョウメ</t>
    </rPh>
    <phoneticPr fontId="1"/>
  </si>
  <si>
    <t>札幌市北区北23条西14丁目13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2" eb="14">
      <t>チョウメ</t>
    </rPh>
    <phoneticPr fontId="1"/>
  </si>
  <si>
    <t>0500</t>
  </si>
  <si>
    <t>札幌市北区北38条西5丁目1-40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</si>
  <si>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札幌市北区篠路2条10丁目12-32</t>
    <rPh sb="0" eb="3">
      <t>サッポロシ</t>
    </rPh>
    <rPh sb="3" eb="5">
      <t>キタク</t>
    </rPh>
    <rPh sb="5" eb="7">
      <t>シノロ</t>
    </rPh>
    <rPh sb="8" eb="9">
      <t>ジョウ</t>
    </rPh>
    <rPh sb="11" eb="13">
      <t>チョウメ</t>
    </rPh>
    <phoneticPr fontId="1"/>
  </si>
  <si>
    <t>札幌市北区北23条西3丁目2-51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</si>
  <si>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札幌市北区あいの里3条6丁目1-6</t>
    <rPh sb="0" eb="3">
      <t>サッポロシ</t>
    </rPh>
    <rPh sb="3" eb="5">
      <t>キタク</t>
    </rPh>
    <rPh sb="8" eb="9">
      <t>サト</t>
    </rPh>
    <rPh sb="10" eb="11">
      <t>ジョウ</t>
    </rPh>
    <rPh sb="12" eb="14">
      <t>チョウメ</t>
    </rPh>
    <phoneticPr fontId="1"/>
  </si>
  <si>
    <t>札幌市北区新琴似5条6丁目2-10</t>
    <rPh sb="0" eb="3">
      <t>サッポロシ</t>
    </rPh>
    <rPh sb="3" eb="5">
      <t>キタク</t>
    </rPh>
    <rPh sb="5" eb="8">
      <t>シンコトニ</t>
    </rPh>
    <rPh sb="9" eb="10">
      <t>ジョウ</t>
    </rPh>
    <rPh sb="11" eb="13">
      <t>チョウメ</t>
    </rPh>
    <phoneticPr fontId="1"/>
  </si>
  <si>
    <t>札幌市北区篠路2条10丁目12-13</t>
    <rPh sb="0" eb="3">
      <t>サッポロシ</t>
    </rPh>
    <rPh sb="3" eb="5">
      <t>キタク</t>
    </rPh>
    <rPh sb="5" eb="7">
      <t>シノロ</t>
    </rPh>
    <rPh sb="8" eb="9">
      <t>ジョウ</t>
    </rPh>
    <rPh sb="11" eb="13">
      <t>チョウメ</t>
    </rPh>
    <phoneticPr fontId="1"/>
  </si>
  <si>
    <t>札幌市北区新川3条4丁目1-9</t>
    <rPh sb="0" eb="3">
      <t>サッポロシ</t>
    </rPh>
    <rPh sb="3" eb="5">
      <t>キタク</t>
    </rPh>
    <rPh sb="5" eb="7">
      <t>シンカワ</t>
    </rPh>
    <rPh sb="8" eb="9">
      <t>ジョウ</t>
    </rPh>
    <rPh sb="10" eb="12">
      <t>チョウメ</t>
    </rPh>
    <phoneticPr fontId="1"/>
  </si>
  <si>
    <t>札幌市北区北19条西6丁目1-15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</si>
  <si>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呼1980</t>
    <rPh sb="0" eb="1">
      <t>ヨビ</t>
    </rPh>
    <phoneticPr fontId="1"/>
  </si>
  <si>
    <t>札幌市北区新川2条2丁目12-14-2</t>
    <rPh sb="0" eb="3">
      <t>サッポロシ</t>
    </rPh>
    <rPh sb="3" eb="5">
      <t>キタク</t>
    </rPh>
    <rPh sb="5" eb="7">
      <t>シンカワ</t>
    </rPh>
    <rPh sb="8" eb="9">
      <t>ジョウ</t>
    </rPh>
    <rPh sb="10" eb="12">
      <t>チョウメ</t>
    </rPh>
    <phoneticPr fontId="1"/>
  </si>
  <si>
    <t>札幌市北区北30条西4丁目2-14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</si>
  <si>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札幌市北区新琴似11条14丁目1-16</t>
    <rPh sb="0" eb="3">
      <t>サッポロシ</t>
    </rPh>
    <rPh sb="3" eb="5">
      <t>キタク</t>
    </rPh>
    <rPh sb="5" eb="8">
      <t>シンコトニ</t>
    </rPh>
    <rPh sb="10" eb="11">
      <t>ジョウ</t>
    </rPh>
    <rPh sb="13" eb="15">
      <t>チョウメ</t>
    </rPh>
    <phoneticPr fontId="1"/>
  </si>
  <si>
    <t>札幌市北区新川2条2丁目12-14-3</t>
    <rPh sb="0" eb="3">
      <t>サッポロシ</t>
    </rPh>
    <rPh sb="3" eb="5">
      <t>キタク</t>
    </rPh>
    <rPh sb="5" eb="7">
      <t>シンカワ</t>
    </rPh>
    <rPh sb="8" eb="9">
      <t>ジョウ</t>
    </rPh>
    <rPh sb="10" eb="12">
      <t>チョウメ</t>
    </rPh>
    <phoneticPr fontId="1"/>
  </si>
  <si>
    <t>札幌市北区北18条西6丁目1-13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</si>
  <si>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札幌市北区北22条西9丁目3-17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</si>
  <si>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0729</t>
  </si>
  <si>
    <t>アンシャンテ元町</t>
    <rPh sb="6" eb="7">
      <t>モト</t>
    </rPh>
    <rPh sb="7" eb="8">
      <t>マチ</t>
    </rPh>
    <phoneticPr fontId="1"/>
  </si>
  <si>
    <t>エターナル 一番館</t>
    <rPh sb="6" eb="9">
      <t>イチバンカン</t>
    </rPh>
    <phoneticPr fontId="1"/>
  </si>
  <si>
    <t>エトワール北都</t>
    <rPh sb="5" eb="7">
      <t>ホクト</t>
    </rPh>
    <phoneticPr fontId="1"/>
  </si>
  <si>
    <t>北44条東12丁目戸建</t>
    <rPh sb="0" eb="1">
      <t>キタ</t>
    </rPh>
    <rPh sb="3" eb="4">
      <t>ジョウ</t>
    </rPh>
    <rPh sb="4" eb="5">
      <t>ヒガシ</t>
    </rPh>
    <rPh sb="7" eb="9">
      <t>チョウメ</t>
    </rPh>
    <rPh sb="9" eb="11">
      <t>コダテ</t>
    </rPh>
    <phoneticPr fontId="1"/>
  </si>
  <si>
    <t>シャンティヒルズ</t>
  </si>
  <si>
    <t>クレインズN18</t>
  </si>
  <si>
    <t>アーヴァンFK</t>
  </si>
  <si>
    <t>プルメリアN20</t>
  </si>
  <si>
    <t>クレステージ北35</t>
    <rPh sb="6" eb="7">
      <t>キタ</t>
    </rPh>
    <phoneticPr fontId="1"/>
  </si>
  <si>
    <t>サクセス23</t>
  </si>
  <si>
    <t>ルミエールフォレスト</t>
  </si>
  <si>
    <t>アーバンFK</t>
  </si>
  <si>
    <t>プリンセス23</t>
  </si>
  <si>
    <t>ローズハイツ</t>
  </si>
  <si>
    <t>プルメリア伏古</t>
    <rPh sb="5" eb="7">
      <t>フシコ</t>
    </rPh>
    <phoneticPr fontId="1"/>
  </si>
  <si>
    <t>アベニュー17Ⅱ</t>
  </si>
  <si>
    <t>札幌市東区北27条東17丁目1-19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</si>
  <si>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※8537呼</t>
    <rPh sb="5" eb="6">
      <t>ヨビ</t>
    </rPh>
    <phoneticPr fontId="1"/>
  </si>
  <si>
    <t>札幌市東区北24条東7丁目3-5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</si>
  <si>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0202</t>
  </si>
  <si>
    <t>札幌市東区中沼西4条1丁目6-12</t>
    <rPh sb="0" eb="3">
      <t>サッポロシ</t>
    </rPh>
    <rPh sb="3" eb="5">
      <t>ヒガシク</t>
    </rPh>
    <rPh sb="5" eb="7">
      <t>ナカヌマ</t>
    </rPh>
    <rPh sb="7" eb="8">
      <t>ニシ</t>
    </rPh>
    <rPh sb="9" eb="10">
      <t>ジョウ</t>
    </rPh>
    <rPh sb="11" eb="13">
      <t>チョウメ</t>
    </rPh>
    <phoneticPr fontId="1"/>
  </si>
  <si>
    <t>札幌市東区北44条東12丁目3-13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</si>
  <si>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札幌市東区北21条東14丁目1-12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</si>
  <si>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札幌市東区北18条東10丁目5-6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</si>
  <si>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札幌市東区北35条東6丁目1-27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</si>
  <si>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札幌市東区北37条東27丁目6-18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</si>
  <si>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札幌市東区北20条東19丁目2-22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</si>
  <si>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札幌市東区北35条東12丁目1-7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</si>
  <si>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0558</t>
  </si>
  <si>
    <t>札幌市東区北23条東4丁目3-14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</si>
  <si>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札幌市東区北43条東12丁目1-3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</si>
  <si>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札幌市東区北23条東1丁目7-23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</si>
  <si>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札幌市東区伏古10条1丁目14-16</t>
    <rPh sb="0" eb="3">
      <t>サッポロシ</t>
    </rPh>
    <rPh sb="3" eb="5">
      <t>ヒガシク</t>
    </rPh>
    <rPh sb="5" eb="7">
      <t>フシコ</t>
    </rPh>
    <rPh sb="9" eb="10">
      <t>ジョウ</t>
    </rPh>
    <rPh sb="11" eb="13">
      <t>チョウメ</t>
    </rPh>
    <phoneticPr fontId="1"/>
  </si>
  <si>
    <t>札幌市東区伏古10条3丁目1-1</t>
    <rPh sb="0" eb="3">
      <t>サッポロシ</t>
    </rPh>
    <rPh sb="3" eb="5">
      <t>ヒガシク</t>
    </rPh>
    <rPh sb="5" eb="7">
      <t>フシコ</t>
    </rPh>
    <rPh sb="9" eb="10">
      <t>ジョウ</t>
    </rPh>
    <rPh sb="11" eb="13">
      <t>チョウメ</t>
    </rPh>
    <phoneticPr fontId="1"/>
  </si>
  <si>
    <t>札幌市東区北17条東2丁目4-13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</si>
  <si>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灯油タンク0166</t>
    <rPh sb="0" eb="2">
      <t>トウユ</t>
    </rPh>
    <phoneticPr fontId="1"/>
  </si>
  <si>
    <t>フルハウス八軒</t>
    <rPh sb="5" eb="7">
      <t>ハチケン</t>
    </rPh>
    <phoneticPr fontId="1"/>
  </si>
  <si>
    <t>フォーシーズンズ八軒壱番館</t>
    <rPh sb="8" eb="10">
      <t>ハチケン</t>
    </rPh>
    <rPh sb="10" eb="13">
      <t>イチバンカン</t>
    </rPh>
    <phoneticPr fontId="1"/>
  </si>
  <si>
    <t>フォーシーズンズ八軒弐番館</t>
    <rPh sb="8" eb="13">
      <t>ハチケンニバンカン</t>
    </rPh>
    <phoneticPr fontId="1"/>
  </si>
  <si>
    <t>マンダリーノ</t>
  </si>
  <si>
    <t>ライブイン宮の沢</t>
    <rPh sb="5" eb="6">
      <t>ミヤ</t>
    </rPh>
    <rPh sb="7" eb="8">
      <t>サワ</t>
    </rPh>
    <phoneticPr fontId="1"/>
  </si>
  <si>
    <t>ルーデンスプレイス宮丘壱番館</t>
    <rPh sb="9" eb="11">
      <t>ミヤオカ</t>
    </rPh>
    <rPh sb="11" eb="14">
      <t>イチバンカン</t>
    </rPh>
    <phoneticPr fontId="1"/>
  </si>
  <si>
    <t>カレラ宮の沢</t>
    <rPh sb="3" eb="4">
      <t>ミヤ</t>
    </rPh>
    <rPh sb="5" eb="6">
      <t>サワ</t>
    </rPh>
    <phoneticPr fontId="1"/>
  </si>
  <si>
    <t>フェバリット弐番館</t>
    <rPh sb="6" eb="9">
      <t>ニバンカン</t>
    </rPh>
    <phoneticPr fontId="1"/>
  </si>
  <si>
    <t>サイレンスベラージオ</t>
  </si>
  <si>
    <t>プレシオッサ</t>
  </si>
  <si>
    <t>プレジデンス西町</t>
    <rPh sb="6" eb="7">
      <t>ニシ</t>
    </rPh>
    <rPh sb="7" eb="8">
      <t>マチ</t>
    </rPh>
    <phoneticPr fontId="1"/>
  </si>
  <si>
    <t>エルムコート八軒</t>
    <rPh sb="6" eb="8">
      <t>ハチケン</t>
    </rPh>
    <phoneticPr fontId="1"/>
  </si>
  <si>
    <t>コアフール</t>
  </si>
  <si>
    <t>シャイニングドリーム山の手</t>
    <rPh sb="10" eb="11">
      <t>ヤマ</t>
    </rPh>
    <rPh sb="12" eb="13">
      <t>テ</t>
    </rPh>
    <phoneticPr fontId="1"/>
  </si>
  <si>
    <t>シャイニングライブⅢ</t>
  </si>
  <si>
    <t>フェバリット参番館</t>
    <rPh sb="6" eb="9">
      <t>サンバンカン</t>
    </rPh>
    <phoneticPr fontId="1"/>
  </si>
  <si>
    <t>TOMS611</t>
  </si>
  <si>
    <t>エバーグリーン</t>
  </si>
  <si>
    <t>ライブイン西町</t>
    <rPh sb="5" eb="7">
      <t>ニシマチ</t>
    </rPh>
    <phoneticPr fontId="1"/>
  </si>
  <si>
    <t>ラフィナート発寒</t>
    <rPh sb="6" eb="8">
      <t>ハッサム</t>
    </rPh>
    <phoneticPr fontId="1"/>
  </si>
  <si>
    <t>フェバリット ラ・クワトロ</t>
  </si>
  <si>
    <t>リベルタ発寒</t>
    <rPh sb="4" eb="6">
      <t>ハッサム</t>
    </rPh>
    <phoneticPr fontId="1"/>
  </si>
  <si>
    <t>サビオラ八軒</t>
    <rPh sb="4" eb="6">
      <t>ハチケン</t>
    </rPh>
    <phoneticPr fontId="1"/>
  </si>
  <si>
    <t>八軒10条西12丁目戸建</t>
    <rPh sb="0" eb="2">
      <t>ハチケン</t>
    </rPh>
    <rPh sb="4" eb="5">
      <t>ジョウ</t>
    </rPh>
    <rPh sb="5" eb="6">
      <t>ニシ</t>
    </rPh>
    <rPh sb="8" eb="10">
      <t>チョウメ</t>
    </rPh>
    <rPh sb="10" eb="12">
      <t>コダテ</t>
    </rPh>
    <phoneticPr fontId="1"/>
  </si>
  <si>
    <t>シャイニングドリーム八軒</t>
    <rPh sb="10" eb="12">
      <t>ハチケン</t>
    </rPh>
    <phoneticPr fontId="1"/>
  </si>
  <si>
    <t>シャイニングウエストフィールド</t>
  </si>
  <si>
    <t>グランコート八軒</t>
    <rPh sb="6" eb="8">
      <t>ハチケン</t>
    </rPh>
    <phoneticPr fontId="1"/>
  </si>
  <si>
    <t>フェバリット ウエスト65</t>
  </si>
  <si>
    <t>エクセルカムズ</t>
  </si>
  <si>
    <t>レガーメ西野</t>
    <rPh sb="4" eb="6">
      <t>ニシノ</t>
    </rPh>
    <phoneticPr fontId="1"/>
  </si>
  <si>
    <t>西野10条8丁目戸建</t>
    <rPh sb="0" eb="2">
      <t>ニシノ</t>
    </rPh>
    <rPh sb="4" eb="5">
      <t>ジョウ</t>
    </rPh>
    <rPh sb="6" eb="10">
      <t>チョウメコダテ</t>
    </rPh>
    <phoneticPr fontId="1"/>
  </si>
  <si>
    <t>ルーデンスプレイス宮丘参番館</t>
    <rPh sb="9" eb="11">
      <t>ミヤオカ</t>
    </rPh>
    <rPh sb="11" eb="14">
      <t>サンバンカン</t>
    </rPh>
    <phoneticPr fontId="1"/>
  </si>
  <si>
    <t>プレシャスハイム発寒南</t>
    <rPh sb="8" eb="11">
      <t>ハッサムミナミ</t>
    </rPh>
    <phoneticPr fontId="1"/>
  </si>
  <si>
    <t>オクテットヴィラ</t>
  </si>
  <si>
    <t>セザール琴似</t>
    <rPh sb="4" eb="6">
      <t>コトニ</t>
    </rPh>
    <phoneticPr fontId="1"/>
  </si>
  <si>
    <t>シャイニングウエストフィールドⅡ</t>
  </si>
  <si>
    <t>アルファ山の手南</t>
    <rPh sb="4" eb="5">
      <t>ヤマ</t>
    </rPh>
    <rPh sb="6" eb="7">
      <t>テ</t>
    </rPh>
    <rPh sb="7" eb="8">
      <t>ミナミ</t>
    </rPh>
    <phoneticPr fontId="1"/>
  </si>
  <si>
    <t>カーサチェリベ</t>
  </si>
  <si>
    <t>アドリアーノ発寒</t>
    <rPh sb="6" eb="8">
      <t>ハッサム</t>
    </rPh>
    <phoneticPr fontId="1"/>
  </si>
  <si>
    <t>レガーメKEN8壱番館</t>
  </si>
  <si>
    <t>プライムエイト</t>
  </si>
  <si>
    <t>札幌市西区八軒10条東4丁目2-30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</si>
  <si>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無</t>
    <rPh sb="0" eb="1">
      <t>ナ</t>
    </rPh>
    <phoneticPr fontId="1"/>
  </si>
  <si>
    <t>札幌市西区八軒10条西12丁目5-11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ニシ</t>
    </rPh>
    <rPh sb="13" eb="15">
      <t>チョウメ</t>
    </rPh>
    <phoneticPr fontId="1"/>
  </si>
  <si>
    <t>札幌市西区八軒10条西12丁目5-10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ニシ</t>
    </rPh>
    <rPh sb="13" eb="15">
      <t>チョウメ</t>
    </rPh>
    <phoneticPr fontId="1"/>
  </si>
  <si>
    <t>札幌市西区発寒3条1丁目10-1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</si>
  <si>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札幌市西区発寒14条2丁目4-29</t>
    <rPh sb="0" eb="3">
      <t>サッポロシ</t>
    </rPh>
    <rPh sb="3" eb="5">
      <t>ニシク</t>
    </rPh>
    <rPh sb="5" eb="7">
      <t>ハッサム</t>
    </rPh>
    <rPh sb="9" eb="10">
      <t>ジョウ</t>
    </rPh>
    <rPh sb="11" eb="13">
      <t>チョウメ</t>
    </rPh>
    <phoneticPr fontId="1"/>
  </si>
  <si>
    <t>札幌市西区宮の沢1条5丁目22-34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</si>
  <si>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札幌市西区宮の沢3条5丁目24-12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</si>
  <si>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札幌市西区発寒7条9丁目1-23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</si>
  <si>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札幌市西区発寒5条2丁目1-10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</si>
  <si>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※0202呼</t>
    <rPh sb="5" eb="6">
      <t>ヨビ</t>
    </rPh>
    <phoneticPr fontId="1"/>
  </si>
  <si>
    <t>札幌市西区発寒8条14丁目516-285</t>
    <rPh sb="0" eb="3">
      <t>サッポロシ</t>
    </rPh>
    <rPh sb="3" eb="5">
      <t>ニシク</t>
    </rPh>
    <rPh sb="5" eb="7">
      <t>ハッサム</t>
    </rPh>
    <rPh sb="8" eb="9">
      <t>ジョウ</t>
    </rPh>
    <rPh sb="11" eb="13">
      <t>チョウメ</t>
    </rPh>
    <phoneticPr fontId="1"/>
  </si>
  <si>
    <t>札幌市西区発寒4条3丁目3-26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</si>
  <si>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札幌市西区西町南17丁目2-12</t>
    <rPh sb="0" eb="3">
      <t>サッポロシ</t>
    </rPh>
    <rPh sb="3" eb="5">
      <t>ニシク</t>
    </rPh>
    <rPh sb="5" eb="6">
      <t>ニシ</t>
    </rPh>
    <rPh sb="6" eb="7">
      <t>マチ</t>
    </rPh>
    <rPh sb="7" eb="8">
      <t>ミナミ</t>
    </rPh>
    <rPh sb="10" eb="12">
      <t>チョウメ</t>
    </rPh>
    <phoneticPr fontId="1"/>
  </si>
  <si>
    <t>札幌市西区八軒10条東2丁目2-17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</si>
  <si>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札幌市西区宮の沢1条3丁目4-13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</si>
  <si>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呼5884</t>
    <rPh sb="0" eb="1">
      <t>ヨビ</t>
    </rPh>
    <phoneticPr fontId="1"/>
  </si>
  <si>
    <t>札幌市西区山の手4条4丁目2-1</t>
    <rPh sb="0" eb="3">
      <t>サッポロシ</t>
    </rPh>
    <rPh sb="3" eb="5">
      <t>ニシク</t>
    </rPh>
    <rPh sb="5" eb="6">
      <t>ヤマ</t>
    </rPh>
    <rPh sb="7" eb="8">
      <t>テ</t>
    </rPh>
    <rPh sb="9" eb="10">
      <t>ジョウ</t>
    </rPh>
    <rPh sb="11" eb="13">
      <t>チョウメ</t>
    </rPh>
    <phoneticPr fontId="1"/>
  </si>
  <si>
    <t>札幌市西区宮の沢1条3丁目6-8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</si>
  <si>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呼0202</t>
    <rPh sb="0" eb="1">
      <t>ヨビ</t>
    </rPh>
    <phoneticPr fontId="1"/>
  </si>
  <si>
    <t>札幌市西区発寒3条1丁目7-18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</si>
  <si>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札幌市西区発寒6条11丁目9-21</t>
    <rPh sb="0" eb="3">
      <t>サッポロシ</t>
    </rPh>
    <rPh sb="3" eb="5">
      <t>ニシク</t>
    </rPh>
    <rPh sb="5" eb="7">
      <t>ハッサム</t>
    </rPh>
    <rPh sb="8" eb="9">
      <t>ジョウ</t>
    </rPh>
    <rPh sb="11" eb="13">
      <t>チョウメ</t>
    </rPh>
    <phoneticPr fontId="1"/>
  </si>
  <si>
    <t>札幌市西区発寒1条4丁目2-12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</si>
  <si>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札幌市西区西町南18丁目3-26</t>
    <rPh sb="0" eb="3">
      <t>サッポロシ</t>
    </rPh>
    <rPh sb="3" eb="5">
      <t>ニシク</t>
    </rPh>
    <rPh sb="5" eb="6">
      <t>ニシ</t>
    </rPh>
    <rPh sb="6" eb="7">
      <t>マチ</t>
    </rPh>
    <rPh sb="7" eb="8">
      <t>ミナミ</t>
    </rPh>
    <rPh sb="10" eb="12">
      <t>チョウメ</t>
    </rPh>
    <phoneticPr fontId="1"/>
  </si>
  <si>
    <t>札幌市西区発寒7条11丁目3-33</t>
    <rPh sb="0" eb="3">
      <t>サッポロシ</t>
    </rPh>
    <rPh sb="3" eb="5">
      <t>ニシク</t>
    </rPh>
    <rPh sb="5" eb="7">
      <t>ハッサム</t>
    </rPh>
    <rPh sb="8" eb="9">
      <t>ジョウ</t>
    </rPh>
    <rPh sb="11" eb="13">
      <t>チョウメ</t>
    </rPh>
    <phoneticPr fontId="1"/>
  </si>
  <si>
    <t>札幌市西区発寒4条2丁目2-23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</si>
  <si>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札幌市発寒5条4丁目2-40</t>
    <rPh sb="0" eb="3">
      <t>サッポロシ</t>
    </rPh>
    <rPh sb="3" eb="5">
      <t>ハッサム</t>
    </rPh>
    <phoneticPr fontId="1"/>
  </si>
  <si>
    <t>札幌市西区八軒10条東2丁目4-12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</si>
  <si>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呼0062</t>
    <rPh sb="0" eb="1">
      <t>ヨビ</t>
    </rPh>
    <phoneticPr fontId="1"/>
  </si>
  <si>
    <t>札幌市西区八軒10条西12丁目5-13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ニシ</t>
    </rPh>
    <rPh sb="13" eb="15">
      <t>チョウメ</t>
    </rPh>
    <phoneticPr fontId="1"/>
  </si>
  <si>
    <t>札幌市西区八軒7条東3丁目3-13</t>
    <rPh sb="0" eb="3">
      <t>サッポロシ</t>
    </rPh>
    <rPh sb="3" eb="5">
      <t>ニシク</t>
    </rPh>
    <rPh sb="5" eb="7">
      <t>ハチケン</t>
    </rPh>
    <rPh sb="8" eb="9">
      <t>ジョウ</t>
    </rPh>
    <rPh sb="9" eb="10">
      <t>ヒガシ</t>
    </rPh>
    <rPh sb="11" eb="13">
      <t>チョウメ</t>
    </rPh>
    <phoneticPr fontId="1"/>
  </si>
  <si>
    <t>札幌市西区西野1条9丁目4-10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</si>
  <si>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札幌市西区八軒10条東2丁目1-45</t>
    <rPh sb="0" eb="3">
      <t>サッポロシ</t>
    </rPh>
    <rPh sb="3" eb="5">
      <t>ニシク</t>
    </rPh>
    <rPh sb="5" eb="7">
      <t>ハチケン</t>
    </rPh>
    <rPh sb="9" eb="10">
      <t>ジョウ</t>
    </rPh>
    <rPh sb="10" eb="11">
      <t>ヒガシ</t>
    </rPh>
    <rPh sb="12" eb="14">
      <t>チョウメ</t>
    </rPh>
    <phoneticPr fontId="1"/>
  </si>
  <si>
    <t>0700</t>
  </si>
  <si>
    <t>札幌市西区発寒6条5丁目3-10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</si>
  <si>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札幌市西区発寒5条2丁目1-24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</si>
  <si>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札幌市西区西野9条6丁目11-7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</si>
  <si>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札幌市西区西野10条8丁目5-16</t>
    <rPh sb="0" eb="3">
      <t>サッポロシ</t>
    </rPh>
    <rPh sb="3" eb="5">
      <t>ニシク</t>
    </rPh>
    <rPh sb="5" eb="7">
      <t>ニシノ</t>
    </rPh>
    <rPh sb="9" eb="10">
      <t>ジョウ</t>
    </rPh>
    <rPh sb="11" eb="13">
      <t>チョウメ</t>
    </rPh>
    <phoneticPr fontId="1"/>
  </si>
  <si>
    <t>札幌市西区宮の沢3条5丁目24-14</t>
    <rPh sb="0" eb="3">
      <t>サッポロシ</t>
    </rPh>
    <rPh sb="3" eb="5">
      <t>ニシク</t>
    </rPh>
    <rPh sb="5" eb="6">
      <t>ミヤ</t>
    </rPh>
    <rPh sb="7" eb="8">
      <t>サワ</t>
    </rPh>
    <rPh sb="9" eb="10">
      <t>ジョウ</t>
    </rPh>
    <rPh sb="11" eb="13">
      <t>チョウメ</t>
    </rPh>
    <phoneticPr fontId="1"/>
  </si>
  <si>
    <t>札幌市西区発寒2条3丁目5-12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</si>
  <si>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呼8887</t>
    <rPh sb="0" eb="1">
      <t>ヨビ</t>
    </rPh>
    <phoneticPr fontId="1"/>
  </si>
  <si>
    <t>札幌市西区発寒1条2丁目1-9</t>
    <rPh sb="0" eb="3">
      <t>サッポロシ</t>
    </rPh>
    <rPh sb="3" eb="5">
      <t>ニシク</t>
    </rPh>
    <rPh sb="5" eb="7">
      <t>ハッサム</t>
    </rPh>
    <rPh sb="8" eb="9">
      <t>ジョウ</t>
    </rPh>
    <rPh sb="10" eb="12">
      <t>チョウメ</t>
    </rPh>
    <phoneticPr fontId="1"/>
  </si>
  <si>
    <t>札幌市西区琴似1条4丁目4-5</t>
    <rPh sb="0" eb="3">
      <t>サッポロシ</t>
    </rPh>
    <rPh sb="3" eb="5">
      <t>ニシク</t>
    </rPh>
    <rPh sb="5" eb="7">
      <t>コトニ</t>
    </rPh>
    <rPh sb="8" eb="9">
      <t>ジョウ</t>
    </rPh>
    <rPh sb="10" eb="12">
      <t>チョウメ</t>
    </rPh>
    <phoneticPr fontId="1"/>
  </si>
  <si>
    <t>札幌市西区西野5条6丁目10-26</t>
    <rPh sb="0" eb="3">
      <t>サッポロシ</t>
    </rPh>
    <rPh sb="3" eb="5">
      <t>ニシク</t>
    </rPh>
    <rPh sb="5" eb="7">
      <t>ニシノ</t>
    </rPh>
    <rPh sb="8" eb="9">
      <t>ジョウ</t>
    </rPh>
    <rPh sb="10" eb="12">
      <t>チョウメ</t>
    </rPh>
    <phoneticPr fontId="1"/>
  </si>
  <si>
    <t>呼5963</t>
  </si>
  <si>
    <t>札幌市西区山の手1条9丁目2-25</t>
    <rPh sb="0" eb="3">
      <t>サッポロシ</t>
    </rPh>
    <rPh sb="3" eb="5">
      <t>ニシク</t>
    </rPh>
    <rPh sb="5" eb="6">
      <t>ヤマ</t>
    </rPh>
    <rPh sb="7" eb="8">
      <t>テ</t>
    </rPh>
    <rPh sb="9" eb="10">
      <t>ジョウ</t>
    </rPh>
    <rPh sb="11" eb="13">
      <t>チョウメ</t>
    </rPh>
    <phoneticPr fontId="1"/>
  </si>
  <si>
    <t>呼0109</t>
  </si>
  <si>
    <t>札幌市西区二十四軒1条6丁目6-15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</si>
  <si>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札幌市西区発寒三条1丁目6-19</t>
  </si>
  <si>
    <t>札幌市西区八軒3条東5丁目4-37-1</t>
  </si>
  <si>
    <t>札幌市西区八軒3条東1丁目2-6</t>
    <rPh sb="5" eb="7">
      <t>ハチケン</t>
    </rPh>
    <rPh sb="8" eb="9">
      <t>ジョウ</t>
    </rPh>
    <rPh sb="9" eb="10">
      <t>ヒガシ</t>
    </rPh>
    <rPh sb="11" eb="13">
      <t>チョウメ</t>
    </rPh>
    <phoneticPr fontId="1"/>
  </si>
  <si>
    <t>アイマール川沿</t>
    <rPh sb="5" eb="7">
      <t>カワゾエ</t>
    </rPh>
    <phoneticPr fontId="1"/>
  </si>
  <si>
    <t>メゾンK</t>
  </si>
  <si>
    <t>ミランコート</t>
  </si>
  <si>
    <t>ライオンズマンション札幌定山渓壱番館</t>
    <rPh sb="10" eb="18">
      <t>サッポロジョウザンケイイチバンカン</t>
    </rPh>
    <phoneticPr fontId="1"/>
  </si>
  <si>
    <t>澄川4-10貸家</t>
    <rPh sb="0" eb="2">
      <t>スミカワ</t>
    </rPh>
    <rPh sb="6" eb="8">
      <t>カシヤ</t>
    </rPh>
    <phoneticPr fontId="1"/>
  </si>
  <si>
    <t>シュシュサウスフォレスト</t>
  </si>
  <si>
    <t>プレシェルト藤野</t>
    <rPh sb="6" eb="8">
      <t>フジノ</t>
    </rPh>
    <phoneticPr fontId="1"/>
  </si>
  <si>
    <t>シュシュサウスフォレストⅡ</t>
  </si>
  <si>
    <t>レガーメ真駒内公園</t>
    <rPh sb="4" eb="9">
      <t>マコマナイコウエン</t>
    </rPh>
    <phoneticPr fontId="1"/>
  </si>
  <si>
    <t>札幌市南区川沿1条2丁目9-6</t>
    <rPh sb="0" eb="3">
      <t>サッポロシ</t>
    </rPh>
    <rPh sb="3" eb="5">
      <t>ミナミク</t>
    </rPh>
    <rPh sb="5" eb="7">
      <t>カワゾエ</t>
    </rPh>
    <rPh sb="8" eb="9">
      <t>ジョウ</t>
    </rPh>
    <rPh sb="10" eb="12">
      <t>チョウメ</t>
    </rPh>
    <phoneticPr fontId="1"/>
  </si>
  <si>
    <t>0260</t>
  </si>
  <si>
    <t>札幌市南区南38条西11丁目8-13</t>
    <rPh sb="0" eb="3">
      <t>サッポロシ</t>
    </rPh>
    <rPh sb="3" eb="5">
      <t>ミナミク</t>
    </rPh>
    <rPh sb="5" eb="6">
      <t>ミナミ</t>
    </rPh>
    <rPh sb="8" eb="9">
      <t>ジョウ</t>
    </rPh>
    <rPh sb="9" eb="10">
      <t>ニシ</t>
    </rPh>
    <rPh sb="12" eb="14">
      <t>チョウメ</t>
    </rPh>
    <phoneticPr fontId="1"/>
  </si>
  <si>
    <t>札幌市南区北ノ沢4丁目1-16</t>
    <rPh sb="0" eb="3">
      <t>サッポロシ</t>
    </rPh>
    <rPh sb="3" eb="5">
      <t>ミナミク</t>
    </rPh>
    <rPh sb="5" eb="6">
      <t>キタ</t>
    </rPh>
    <rPh sb="7" eb="8">
      <t>サワ</t>
    </rPh>
    <rPh sb="9" eb="11">
      <t>チョウメ</t>
    </rPh>
    <phoneticPr fontId="1"/>
  </si>
  <si>
    <t>札幌市南区定山渓温泉西1丁目21番地</t>
    <rPh sb="0" eb="3">
      <t>サッポロシ</t>
    </rPh>
    <rPh sb="3" eb="5">
      <t>ミナミク</t>
    </rPh>
    <rPh sb="5" eb="8">
      <t>ジョウザンケイ</t>
    </rPh>
    <rPh sb="8" eb="10">
      <t>オンセン</t>
    </rPh>
    <rPh sb="10" eb="11">
      <t>ニシ</t>
    </rPh>
    <rPh sb="12" eb="14">
      <t>チョウメ</t>
    </rPh>
    <rPh sb="16" eb="18">
      <t>バンチ</t>
    </rPh>
    <phoneticPr fontId="1"/>
  </si>
  <si>
    <t>札幌市南区澄川4条10丁目2-8</t>
    <rPh sb="0" eb="3">
      <t>サッポロシ</t>
    </rPh>
    <rPh sb="3" eb="4">
      <t>ミナミ</t>
    </rPh>
    <rPh sb="4" eb="5">
      <t>ク</t>
    </rPh>
    <rPh sb="5" eb="7">
      <t>スミカワ</t>
    </rPh>
    <rPh sb="8" eb="9">
      <t>ジョウ</t>
    </rPh>
    <rPh sb="11" eb="13">
      <t>チョウメ</t>
    </rPh>
    <phoneticPr fontId="1"/>
  </si>
  <si>
    <t>札幌市南区定山渓温泉西1丁目51-5</t>
    <rPh sb="0" eb="3">
      <t>サッポロシ</t>
    </rPh>
    <rPh sb="3" eb="5">
      <t>ミナミク</t>
    </rPh>
    <rPh sb="5" eb="8">
      <t>ジョウザンケイ</t>
    </rPh>
    <rPh sb="8" eb="10">
      <t>オンセン</t>
    </rPh>
    <rPh sb="10" eb="11">
      <t>ニシ</t>
    </rPh>
    <rPh sb="12" eb="14">
      <t>チョウメ</t>
    </rPh>
    <phoneticPr fontId="1"/>
  </si>
  <si>
    <t>札幌市南区藤野2条12丁目4-12</t>
    <rPh sb="0" eb="3">
      <t>サッポロシ</t>
    </rPh>
    <rPh sb="3" eb="5">
      <t>ミナミク</t>
    </rPh>
    <rPh sb="5" eb="7">
      <t>フジノ</t>
    </rPh>
    <rPh sb="8" eb="9">
      <t>ジョウ</t>
    </rPh>
    <rPh sb="11" eb="13">
      <t>チョウメ</t>
    </rPh>
    <phoneticPr fontId="1"/>
  </si>
  <si>
    <t>札幌市南区定山渓温泉西1丁目43</t>
    <rPh sb="0" eb="3">
      <t>サッポロシ</t>
    </rPh>
    <rPh sb="3" eb="5">
      <t>ミナミク</t>
    </rPh>
    <rPh sb="5" eb="8">
      <t>ジョウザンケイ</t>
    </rPh>
    <rPh sb="8" eb="10">
      <t>オンセン</t>
    </rPh>
    <rPh sb="10" eb="11">
      <t>ニシ</t>
    </rPh>
    <rPh sb="12" eb="14">
      <t>チョウメ</t>
    </rPh>
    <phoneticPr fontId="1"/>
  </si>
  <si>
    <t>札幌市南区真駒内本町6丁目3-1</t>
    <rPh sb="0" eb="3">
      <t>サッポロシ</t>
    </rPh>
    <rPh sb="3" eb="5">
      <t>ミナミク</t>
    </rPh>
    <rPh sb="5" eb="8">
      <t>マコマナイ</t>
    </rPh>
    <rPh sb="8" eb="10">
      <t>ホンチョウ</t>
    </rPh>
    <rPh sb="11" eb="13">
      <t>チョウメ</t>
    </rPh>
    <phoneticPr fontId="1"/>
  </si>
  <si>
    <t>ラ・フォーレ プレミエ南郷</t>
    <rPh sb="11" eb="13">
      <t>ナンゴウ</t>
    </rPh>
    <phoneticPr fontId="1"/>
  </si>
  <si>
    <t>ルーデンスプレイス東札幌</t>
    <rPh sb="9" eb="12">
      <t>ヒガシサッポロ</t>
    </rPh>
    <phoneticPr fontId="1"/>
  </si>
  <si>
    <t>プレシオッサ栄通</t>
    <rPh sb="6" eb="7">
      <t>サカエ</t>
    </rPh>
    <rPh sb="7" eb="8">
      <t>ドオリ</t>
    </rPh>
    <phoneticPr fontId="1"/>
  </si>
  <si>
    <t>T-ROUTE菊水</t>
    <rPh sb="7" eb="9">
      <t>キクスイ</t>
    </rPh>
    <phoneticPr fontId="1"/>
  </si>
  <si>
    <t>ルーデンスプレイス白石</t>
    <rPh sb="9" eb="11">
      <t>シロイシ</t>
    </rPh>
    <phoneticPr fontId="1"/>
  </si>
  <si>
    <t>ソーラーハイツ北郷</t>
    <rPh sb="7" eb="9">
      <t>キタゴウ</t>
    </rPh>
    <phoneticPr fontId="1"/>
  </si>
  <si>
    <t>白石コート</t>
    <rPh sb="0" eb="2">
      <t>シロイシ</t>
    </rPh>
    <phoneticPr fontId="1"/>
  </si>
  <si>
    <t>グローリー川北</t>
    <rPh sb="5" eb="7">
      <t>カワキタ</t>
    </rPh>
    <phoneticPr fontId="1"/>
  </si>
  <si>
    <t>ルーデンスプレイス平和通</t>
    <rPh sb="9" eb="12">
      <t>ヘイワドオリ</t>
    </rPh>
    <phoneticPr fontId="1"/>
  </si>
  <si>
    <t>ローヤルハイツ本郷9</t>
    <rPh sb="7" eb="9">
      <t>ホンゴウ</t>
    </rPh>
    <phoneticPr fontId="1"/>
  </si>
  <si>
    <t>リスペクト白石中央</t>
    <rPh sb="5" eb="7">
      <t>シロイシ</t>
    </rPh>
    <rPh sb="7" eb="9">
      <t>チュウオウ</t>
    </rPh>
    <phoneticPr fontId="1"/>
  </si>
  <si>
    <t>メイプルハウス</t>
  </si>
  <si>
    <t>本通17丁目北テラスハウス</t>
    <rPh sb="0" eb="2">
      <t>ホンドオリ</t>
    </rPh>
    <rPh sb="4" eb="6">
      <t>チョウメ</t>
    </rPh>
    <rPh sb="6" eb="7">
      <t>キタ</t>
    </rPh>
    <phoneticPr fontId="1"/>
  </si>
  <si>
    <t>クリエイティブファースト</t>
  </si>
  <si>
    <t>白石グランドハイツ</t>
    <rPh sb="0" eb="2">
      <t>シロイシ</t>
    </rPh>
    <phoneticPr fontId="1"/>
  </si>
  <si>
    <t>ハイデンハイム</t>
  </si>
  <si>
    <t>白石ビル</t>
    <rPh sb="0" eb="2">
      <t>シロイシ</t>
    </rPh>
    <phoneticPr fontId="1"/>
  </si>
  <si>
    <t>ドミール本郷</t>
    <rPh sb="4" eb="6">
      <t>ホンゴウ</t>
    </rPh>
    <phoneticPr fontId="1"/>
  </si>
  <si>
    <t>ファーストフラット</t>
  </si>
  <si>
    <t>シュシュ北郷87</t>
    <rPh sb="4" eb="6">
      <t>キタゴウ</t>
    </rPh>
    <phoneticPr fontId="1"/>
  </si>
  <si>
    <t>ラ・フォーレメゾン南郷</t>
    <rPh sb="9" eb="11">
      <t>ナンゴウ</t>
    </rPh>
    <phoneticPr fontId="1"/>
  </si>
  <si>
    <t>オルフェ77</t>
  </si>
  <si>
    <t>シュシュ イースト26</t>
  </si>
  <si>
    <t>レガーメ本通9 North</t>
    <rPh sb="4" eb="6">
      <t>ホンドオリ</t>
    </rPh>
    <phoneticPr fontId="1"/>
  </si>
  <si>
    <t>レガーメ北郷</t>
    <rPh sb="4" eb="6">
      <t>キタゴウ</t>
    </rPh>
    <phoneticPr fontId="1"/>
  </si>
  <si>
    <t>レガーメ北郷58</t>
    <rPh sb="4" eb="6">
      <t>キタゴウ</t>
    </rPh>
    <phoneticPr fontId="1"/>
  </si>
  <si>
    <t>クレシア</t>
  </si>
  <si>
    <t>ルマーナ白石</t>
    <rPh sb="4" eb="6">
      <t>シロイシ</t>
    </rPh>
    <phoneticPr fontId="1"/>
  </si>
  <si>
    <t>グリーム本郷</t>
    <rPh sb="4" eb="6">
      <t>ホンゴウ</t>
    </rPh>
    <phoneticPr fontId="1"/>
  </si>
  <si>
    <t>シュベール菊水</t>
    <rPh sb="5" eb="7">
      <t>キクスイ</t>
    </rPh>
    <phoneticPr fontId="1"/>
  </si>
  <si>
    <t>ノアール</t>
  </si>
  <si>
    <t>レガーメ本通9 South</t>
    <rPh sb="4" eb="6">
      <t>ホンドオリ</t>
    </rPh>
    <phoneticPr fontId="1"/>
  </si>
  <si>
    <t>コフレ東札幌42</t>
    <rPh sb="3" eb="6">
      <t>ヒガシサッポロ</t>
    </rPh>
    <phoneticPr fontId="1"/>
  </si>
  <si>
    <t>SOC白石ビル</t>
    <rPh sb="3" eb="5">
      <t>シロイシ</t>
    </rPh>
    <phoneticPr fontId="1"/>
  </si>
  <si>
    <t>栄通20丁目戸建Ⅱ</t>
    <rPh sb="0" eb="2">
      <t>サカエドオリ</t>
    </rPh>
    <rPh sb="4" eb="6">
      <t>チョウメ</t>
    </rPh>
    <rPh sb="6" eb="8">
      <t>コダテ</t>
    </rPh>
    <phoneticPr fontId="1"/>
  </si>
  <si>
    <t>ガーネットハイツ南郷</t>
    <rPh sb="8" eb="10">
      <t>ナンゴウ</t>
    </rPh>
    <phoneticPr fontId="1"/>
  </si>
  <si>
    <t>ガーネットハイツ菊水</t>
    <rPh sb="8" eb="10">
      <t>キクスイ</t>
    </rPh>
    <phoneticPr fontId="1"/>
  </si>
  <si>
    <t>北郷2条11丁目ガレージハウス</t>
    <rPh sb="0" eb="2">
      <t>キタゴウ</t>
    </rPh>
    <rPh sb="3" eb="4">
      <t>ジョウ</t>
    </rPh>
    <rPh sb="6" eb="8">
      <t>チョウメ</t>
    </rPh>
    <phoneticPr fontId="1"/>
  </si>
  <si>
    <t>札幌市白石区南郷通9丁目南6-6</t>
    <rPh sb="0" eb="3">
      <t>サッポロシ</t>
    </rPh>
    <rPh sb="3" eb="6">
      <t>シロイシク</t>
    </rPh>
    <rPh sb="6" eb="9">
      <t>ナンゴウドオリ</t>
    </rPh>
    <rPh sb="10" eb="12">
      <t>チョウメ</t>
    </rPh>
    <rPh sb="12" eb="13">
      <t>ミナミ</t>
    </rPh>
    <phoneticPr fontId="1"/>
  </si>
  <si>
    <t>札幌市白石区東札幌2条3丁目9-18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</si>
  <si>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札幌市白石区栄通15丁目8-30</t>
    <rPh sb="0" eb="3">
      <t>サッポロシ</t>
    </rPh>
    <rPh sb="3" eb="6">
      <t>シロイシク</t>
    </rPh>
    <rPh sb="6" eb="7">
      <t>サカエ</t>
    </rPh>
    <rPh sb="7" eb="8">
      <t>ドオリ</t>
    </rPh>
    <rPh sb="10" eb="12">
      <t>チョウメ</t>
    </rPh>
    <phoneticPr fontId="1"/>
  </si>
  <si>
    <t>札幌市白石区菊水3条2丁目3-1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</si>
  <si>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札幌市白石区平和通2丁目北7-13</t>
    <rPh sb="0" eb="3">
      <t>サッポロシ</t>
    </rPh>
    <rPh sb="3" eb="6">
      <t>シロイシク</t>
    </rPh>
    <rPh sb="6" eb="9">
      <t>ヘイワドオリ</t>
    </rPh>
    <rPh sb="10" eb="12">
      <t>チョウメ</t>
    </rPh>
    <rPh sb="12" eb="13">
      <t>キタ</t>
    </rPh>
    <phoneticPr fontId="1"/>
  </si>
  <si>
    <t>札幌市白石区北郷4条2丁目1-27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</si>
  <si>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札幌市白石区本通9丁目北4-5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</si>
  <si>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札幌市白石区川北1条3丁目6-12</t>
    <rPh sb="0" eb="3">
      <t>サッポロシ</t>
    </rPh>
    <rPh sb="3" eb="6">
      <t>シロイシク</t>
    </rPh>
    <rPh sb="6" eb="8">
      <t>カワキタ</t>
    </rPh>
    <rPh sb="9" eb="10">
      <t>ジョウ</t>
    </rPh>
    <rPh sb="11" eb="13">
      <t>チョウメ</t>
    </rPh>
    <phoneticPr fontId="1"/>
  </si>
  <si>
    <t>札幌市白石区平和通6丁目北9-24</t>
    <rPh sb="0" eb="3">
      <t>サッポロシ</t>
    </rPh>
    <rPh sb="3" eb="6">
      <t>シロイシク</t>
    </rPh>
    <rPh sb="6" eb="9">
      <t>ヘイワドオリ</t>
    </rPh>
    <rPh sb="10" eb="12">
      <t>チョウメ</t>
    </rPh>
    <rPh sb="12" eb="13">
      <t>キタ</t>
    </rPh>
    <phoneticPr fontId="1"/>
  </si>
  <si>
    <t>札幌市白石区本郷通9丁目北2-11</t>
    <rPh sb="0" eb="3">
      <t>サッポロシ</t>
    </rPh>
    <rPh sb="3" eb="6">
      <t>シロイシク</t>
    </rPh>
    <rPh sb="6" eb="8">
      <t>ホンゴウ</t>
    </rPh>
    <rPh sb="8" eb="9">
      <t>ドオリ</t>
    </rPh>
    <rPh sb="10" eb="12">
      <t>チョウメ</t>
    </rPh>
    <rPh sb="12" eb="13">
      <t>キタ</t>
    </rPh>
    <phoneticPr fontId="1"/>
  </si>
  <si>
    <t>札幌市白石区中央2条6丁目6-15</t>
    <rPh sb="9" eb="10">
      <t>ジョウ</t>
    </rPh>
    <rPh sb="11" eb="13">
      <t>チョウメ</t>
    </rPh>
    <phoneticPr fontId="1"/>
  </si>
  <si>
    <t>呼0510</t>
    <rPh sb="0" eb="1">
      <t>ヨビ</t>
    </rPh>
    <phoneticPr fontId="1"/>
  </si>
  <si>
    <t>札幌市白石区北郷4条12丁目18-10</t>
    <rPh sb="6" eb="8">
      <t>キタゴウ</t>
    </rPh>
    <rPh sb="9" eb="10">
      <t>ジョウ</t>
    </rPh>
    <rPh sb="12" eb="14">
      <t>チョウメ</t>
    </rPh>
    <phoneticPr fontId="1"/>
  </si>
  <si>
    <t>札幌市白石区本通17丁目北5-9</t>
    <rPh sb="0" eb="3">
      <t>サッポロシ</t>
    </rPh>
    <rPh sb="3" eb="6">
      <t>シロイシク</t>
    </rPh>
    <rPh sb="6" eb="8">
      <t>ホンドオリ</t>
    </rPh>
    <rPh sb="10" eb="12">
      <t>チョウメ</t>
    </rPh>
    <rPh sb="12" eb="13">
      <t>キタ</t>
    </rPh>
    <phoneticPr fontId="1"/>
  </si>
  <si>
    <t>札幌市白石区東札幌4条3丁目6-12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</si>
  <si>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札幌市白石区北郷5条3丁目12-18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</si>
  <si>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札幌市白石区中央2条6丁目5-7</t>
    <rPh sb="0" eb="3">
      <t>サッポロシ</t>
    </rPh>
    <rPh sb="3" eb="6">
      <t>シロイシク</t>
    </rPh>
    <rPh sb="6" eb="8">
      <t>チュウオウ</t>
    </rPh>
    <rPh sb="9" eb="10">
      <t>ジョウ</t>
    </rPh>
    <rPh sb="11" eb="13">
      <t>チョウメ</t>
    </rPh>
    <phoneticPr fontId="1"/>
  </si>
  <si>
    <t>札幌市白石区本通9丁目北4-1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</si>
  <si>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札幌市白石区本郷通13丁目北4-7</t>
    <rPh sb="0" eb="3">
      <t>サッポロシ</t>
    </rPh>
    <rPh sb="3" eb="6">
      <t>シロイシク</t>
    </rPh>
    <rPh sb="6" eb="8">
      <t>ホンゴウ</t>
    </rPh>
    <rPh sb="8" eb="9">
      <t>ドオリ</t>
    </rPh>
    <rPh sb="11" eb="13">
      <t>チョウメ</t>
    </rPh>
    <rPh sb="13" eb="14">
      <t>キタ</t>
    </rPh>
    <phoneticPr fontId="1"/>
  </si>
  <si>
    <t>札幌市白石区東札幌2条3丁目7-17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</si>
  <si>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札幌市白石区北郷8条7丁目3-3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</si>
  <si>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札幌市白石区南郷通9丁目南6-8</t>
    <rPh sb="0" eb="3">
      <t>サッポロシ</t>
    </rPh>
    <rPh sb="3" eb="6">
      <t>シロイシク</t>
    </rPh>
    <rPh sb="6" eb="9">
      <t>ナンゴウドオリ</t>
    </rPh>
    <rPh sb="10" eb="12">
      <t>チョウメ</t>
    </rPh>
    <rPh sb="12" eb="13">
      <t>ミナミ</t>
    </rPh>
    <phoneticPr fontId="1"/>
  </si>
  <si>
    <t>手をかざして0000※</t>
    <rPh sb="0" eb="1">
      <t>テ</t>
    </rPh>
    <phoneticPr fontId="1"/>
  </si>
  <si>
    <t>札幌市白石区東札幌2条4丁目9-27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</si>
  <si>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呼9105</t>
    <rPh sb="0" eb="1">
      <t>ヨビ</t>
    </rPh>
    <phoneticPr fontId="1"/>
  </si>
  <si>
    <t>札幌市白石区川下2条6丁目2-33</t>
    <rPh sb="0" eb="3">
      <t>サッポロシ</t>
    </rPh>
    <rPh sb="3" eb="6">
      <t>シロイシク</t>
    </rPh>
    <rPh sb="6" eb="8">
      <t>カワシモ</t>
    </rPh>
    <rPh sb="9" eb="10">
      <t>ジョウ</t>
    </rPh>
    <rPh sb="11" eb="13">
      <t>チョウメ</t>
    </rPh>
    <phoneticPr fontId="1"/>
  </si>
  <si>
    <t>札幌市白石区本通9丁目北4-15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</si>
  <si>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札幌市白石区北郷8条7丁目3-1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</si>
  <si>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札幌市白石区北郷8条7丁目3-2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</si>
  <si>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札幌市白石区北郷5条8丁目10-7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</si>
  <si>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札幌市白石区平和通10丁目北1-1</t>
    <rPh sb="0" eb="3">
      <t>サッポロシ</t>
    </rPh>
    <rPh sb="3" eb="6">
      <t>シロイシク</t>
    </rPh>
    <rPh sb="6" eb="9">
      <t>ヘイワドオリ</t>
    </rPh>
    <rPh sb="11" eb="13">
      <t>チョウメ</t>
    </rPh>
    <rPh sb="13" eb="14">
      <t>キタ</t>
    </rPh>
    <phoneticPr fontId="1"/>
  </si>
  <si>
    <t>札幌市白石区本通8丁目南2-17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ミナミ</t>
    </rPh>
    <phoneticPr fontId="1"/>
  </si>
  <si>
    <t>札幌市白石区本郷通12丁目南3-20</t>
    <rPh sb="0" eb="3">
      <t>サッポロシ</t>
    </rPh>
    <rPh sb="3" eb="6">
      <t>シロイシク</t>
    </rPh>
    <rPh sb="6" eb="9">
      <t>ホンゴウドオリ</t>
    </rPh>
    <rPh sb="11" eb="13">
      <t>チョウメ</t>
    </rPh>
    <rPh sb="13" eb="14">
      <t>ミナミ</t>
    </rPh>
    <phoneticPr fontId="1"/>
  </si>
  <si>
    <t>札幌市白石区菊水8条2丁目2-30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</si>
  <si>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札幌市白石区本通8丁目南4-11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ミナミ</t>
    </rPh>
    <phoneticPr fontId="1"/>
  </si>
  <si>
    <t>札幌市白石区本通9丁目北4-14</t>
    <rPh sb="0" eb="3">
      <t>サッポロシ</t>
    </rPh>
    <rPh sb="3" eb="6">
      <t>シロイシク</t>
    </rPh>
    <rPh sb="6" eb="8">
      <t>ホンドオリ</t>
    </rPh>
    <rPh sb="9" eb="11">
      <t>チョウメ</t>
    </rPh>
    <rPh sb="11" eb="12">
      <t>キタ</t>
    </rPh>
    <phoneticPr fontId="1"/>
  </si>
  <si>
    <t>札幌市東札幌4条2丁目5-12</t>
    <rPh sb="0" eb="3">
      <t>サッポロシ</t>
    </rPh>
    <rPh sb="3" eb="6">
      <t>ヒガシサッポロ</t>
    </rPh>
    <rPh sb="7" eb="8">
      <t>ジョウ</t>
    </rPh>
    <rPh sb="9" eb="11">
      <t>チョウメ</t>
    </rPh>
    <phoneticPr fontId="1"/>
  </si>
  <si>
    <t>札幌市白石区中央2条6丁目1-38</t>
    <rPh sb="0" eb="3">
      <t>サッポロシ</t>
    </rPh>
    <rPh sb="3" eb="6">
      <t>シロイシク</t>
    </rPh>
    <rPh sb="6" eb="8">
      <t>チュウオウ</t>
    </rPh>
    <rPh sb="9" eb="10">
      <t>ジョウ</t>
    </rPh>
    <rPh sb="11" eb="13">
      <t>チョウメ</t>
    </rPh>
    <phoneticPr fontId="1"/>
  </si>
  <si>
    <t>札幌市白石区栄通20丁目6-3</t>
    <rPh sb="0" eb="3">
      <t>サッポロシ</t>
    </rPh>
    <rPh sb="3" eb="6">
      <t>シロイシク</t>
    </rPh>
    <rPh sb="6" eb="8">
      <t>サカエドオリ</t>
    </rPh>
    <rPh sb="10" eb="12">
      <t>チョウメ</t>
    </rPh>
    <phoneticPr fontId="1"/>
  </si>
  <si>
    <t>札幌市白石区南郷通20丁目南8-8</t>
    <rPh sb="0" eb="3">
      <t>サッポロシ</t>
    </rPh>
    <rPh sb="3" eb="6">
      <t>シロイシク</t>
    </rPh>
    <rPh sb="6" eb="9">
      <t>ナンゴウドオリ</t>
    </rPh>
    <rPh sb="11" eb="13">
      <t>チョウメ</t>
    </rPh>
    <rPh sb="13" eb="14">
      <t>ミナミ</t>
    </rPh>
    <phoneticPr fontId="1"/>
  </si>
  <si>
    <t>札幌市白石区菊水9条3丁目4-10</t>
    <rPh sb="0" eb="3">
      <t>サッポロシ</t>
    </rPh>
    <rPh sb="3" eb="6">
      <t>シロイシク</t>
    </rPh>
    <rPh sb="6" eb="8">
      <t>キクスイ</t>
    </rPh>
    <rPh sb="9" eb="10">
      <t>ジョウ</t>
    </rPh>
    <rPh sb="11" eb="13">
      <t>チョウメ</t>
    </rPh>
    <phoneticPr fontId="1"/>
  </si>
  <si>
    <t>※0504呼</t>
    <rPh sb="5" eb="6">
      <t>ヨビ</t>
    </rPh>
    <phoneticPr fontId="1"/>
  </si>
  <si>
    <t>札幌市白石区北郷2条11丁目7-4</t>
    <rPh sb="0" eb="3">
      <t>サッポロシ</t>
    </rPh>
    <rPh sb="3" eb="6">
      <t>シロイシク</t>
    </rPh>
    <rPh sb="6" eb="8">
      <t>キタゴウ</t>
    </rPh>
    <rPh sb="9" eb="10">
      <t>ジョウ</t>
    </rPh>
    <rPh sb="12" eb="14">
      <t>チョウメ</t>
    </rPh>
    <phoneticPr fontId="1"/>
  </si>
  <si>
    <t>札幌市白石区北郷8条7丁目3-17</t>
    <rPh sb="0" eb="3">
      <t>サッポロシ</t>
    </rPh>
    <rPh sb="3" eb="6">
      <t>シロイシク</t>
    </rPh>
    <rPh sb="6" eb="8">
      <t>キタゴウ</t>
    </rPh>
    <rPh sb="9" eb="10">
      <t>ジョウ</t>
    </rPh>
    <rPh sb="11" eb="13">
      <t>チョウメ</t>
    </rPh>
    <phoneticPr fontId="1"/>
  </si>
  <si>
    <t>フォルツェ札幌</t>
    <rPh sb="5" eb="7">
      <t>サッポロ</t>
    </rPh>
    <phoneticPr fontId="1"/>
  </si>
  <si>
    <t>第２中の島リバーサイド</t>
    <rPh sb="0" eb="1">
      <t>ダイ</t>
    </rPh>
    <rPh sb="2" eb="3">
      <t>ナカ</t>
    </rPh>
    <rPh sb="4" eb="5">
      <t>シマ</t>
    </rPh>
    <phoneticPr fontId="1"/>
  </si>
  <si>
    <t>札幌ハイツ</t>
    <rPh sb="0" eb="2">
      <t>サッポロ</t>
    </rPh>
    <phoneticPr fontId="1"/>
  </si>
  <si>
    <t>ラフィナート美園</t>
    <rPh sb="6" eb="8">
      <t>ミソノ</t>
    </rPh>
    <phoneticPr fontId="1"/>
  </si>
  <si>
    <t>ルナ・フリオ</t>
  </si>
  <si>
    <t>プランドール西岡</t>
    <rPh sb="6" eb="8">
      <t>ニシオカ</t>
    </rPh>
    <phoneticPr fontId="1"/>
  </si>
  <si>
    <t>平岸ロイヤルハイツ</t>
    <rPh sb="0" eb="2">
      <t>ヒラギシ</t>
    </rPh>
    <phoneticPr fontId="1"/>
  </si>
  <si>
    <t>中の島2・3ビル</t>
    <rPh sb="0" eb="1">
      <t>ナカ</t>
    </rPh>
    <rPh sb="2" eb="3">
      <t>シマ</t>
    </rPh>
    <phoneticPr fontId="1"/>
  </si>
  <si>
    <t>サイレンスミルティーユ</t>
  </si>
  <si>
    <t>日興パレス東札幌</t>
    <rPh sb="0" eb="2">
      <t>ニッコウ</t>
    </rPh>
    <rPh sb="5" eb="8">
      <t>ヒガシサッポロ</t>
    </rPh>
    <phoneticPr fontId="1"/>
  </si>
  <si>
    <t>ミアカーサ平岸</t>
    <rPh sb="5" eb="7">
      <t>ヒラギシ</t>
    </rPh>
    <phoneticPr fontId="1"/>
  </si>
  <si>
    <t>フルーヴ福住</t>
    <rPh sb="4" eb="6">
      <t>フクズミ</t>
    </rPh>
    <phoneticPr fontId="1"/>
  </si>
  <si>
    <t>ルワンジュM76</t>
  </si>
  <si>
    <t>シェルム西岡</t>
    <rPh sb="4" eb="6">
      <t>ニシオカ</t>
    </rPh>
    <phoneticPr fontId="1"/>
  </si>
  <si>
    <t>ダイアパレス水車町</t>
    <rPh sb="6" eb="9">
      <t>スイシャマチ</t>
    </rPh>
    <phoneticPr fontId="1"/>
  </si>
  <si>
    <t>Duren</t>
  </si>
  <si>
    <t>札幌市豊平区平岸1条13丁目4-14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</si>
  <si>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呼0620</t>
    <rPh sb="0" eb="1">
      <t>ヨビ</t>
    </rPh>
    <phoneticPr fontId="1"/>
  </si>
  <si>
    <t>札幌市豊平区平岸1条2丁目6-1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</si>
  <si>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札幌市豊平区中の島1条7丁目4-1</t>
    <rPh sb="0" eb="3">
      <t>サッポロシ</t>
    </rPh>
    <rPh sb="3" eb="6">
      <t>トヨヒラク</t>
    </rPh>
    <rPh sb="6" eb="7">
      <t>ナカ</t>
    </rPh>
    <rPh sb="8" eb="9">
      <t>シマ</t>
    </rPh>
    <rPh sb="10" eb="11">
      <t>ジョウ</t>
    </rPh>
    <rPh sb="12" eb="14">
      <t>チョウメ</t>
    </rPh>
    <phoneticPr fontId="1"/>
  </si>
  <si>
    <t>札幌市豊平区美園4条6丁目3-13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</si>
  <si>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※0425呼</t>
    <rPh sb="5" eb="6">
      <t>ヨビ</t>
    </rPh>
    <phoneticPr fontId="1"/>
  </si>
  <si>
    <t>札幌市豊平区月寒西1条7丁目1-8-2</t>
    <rPh sb="0" eb="3">
      <t>サッポロシ</t>
    </rPh>
    <rPh sb="3" eb="6">
      <t>トヨヒラク</t>
    </rPh>
    <rPh sb="6" eb="8">
      <t>ツキサム</t>
    </rPh>
    <rPh sb="8" eb="9">
      <t>ニシ</t>
    </rPh>
    <rPh sb="10" eb="11">
      <t>ジョウ</t>
    </rPh>
    <rPh sb="12" eb="14">
      <t>チョウメ</t>
    </rPh>
    <phoneticPr fontId="1"/>
  </si>
  <si>
    <t>札幌市豊平区西岡4条8丁目2-1</t>
    <rPh sb="0" eb="3">
      <t>サッポロシ</t>
    </rPh>
    <rPh sb="3" eb="6">
      <t>トヨヒラク</t>
    </rPh>
    <rPh sb="6" eb="8">
      <t>ニシオカ</t>
    </rPh>
    <rPh sb="9" eb="10">
      <t>ジョウ</t>
    </rPh>
    <rPh sb="11" eb="13">
      <t>チョウメ</t>
    </rPh>
    <phoneticPr fontId="1"/>
  </si>
  <si>
    <t>階段柵5963</t>
    <rPh sb="0" eb="3">
      <t>カイダンサク</t>
    </rPh>
    <phoneticPr fontId="1"/>
  </si>
  <si>
    <t>札幌市豊平区平岸4条13丁目3-12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</si>
  <si>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1231E</t>
  </si>
  <si>
    <t>札幌市豊平区中の島2条3丁目1-24</t>
    <rPh sb="0" eb="3">
      <t>サッポロシ</t>
    </rPh>
    <rPh sb="3" eb="6">
      <t>トヨヒラク</t>
    </rPh>
    <rPh sb="6" eb="7">
      <t>ナカ</t>
    </rPh>
    <rPh sb="8" eb="9">
      <t>シマ</t>
    </rPh>
    <rPh sb="10" eb="11">
      <t>ジョウ</t>
    </rPh>
    <rPh sb="12" eb="14">
      <t>チョウメ</t>
    </rPh>
    <phoneticPr fontId="1"/>
  </si>
  <si>
    <t>札幌市豊平区豊平4条13丁目1-28</t>
    <rPh sb="0" eb="3">
      <t>サッポロシ</t>
    </rPh>
    <rPh sb="3" eb="6">
      <t>トヨヒラク</t>
    </rPh>
    <rPh sb="6" eb="8">
      <t>トヨヒラ</t>
    </rPh>
    <rPh sb="9" eb="10">
      <t>ジョウ</t>
    </rPh>
    <rPh sb="12" eb="14">
      <t>チョウメ</t>
    </rPh>
    <phoneticPr fontId="1"/>
  </si>
  <si>
    <t>札幌市豊平区豊平3条8丁目1-13</t>
    <rPh sb="0" eb="3">
      <t>サッポロシ</t>
    </rPh>
    <rPh sb="3" eb="6">
      <t>トヨヒラク</t>
    </rPh>
    <rPh sb="6" eb="8">
      <t>トヨヒラ</t>
    </rPh>
    <rPh sb="9" eb="10">
      <t>ジョウ</t>
    </rPh>
    <rPh sb="11" eb="13">
      <t>チョウメ</t>
    </rPh>
    <phoneticPr fontId="1"/>
  </si>
  <si>
    <t>札幌市豊平区平岸3条7丁目12-21</t>
    <rPh sb="0" eb="3">
      <t>サッポロシ</t>
    </rPh>
    <rPh sb="3" eb="6">
      <t>トヨヒラク</t>
    </rPh>
    <rPh sb="6" eb="8">
      <t>ヒラギシ</t>
    </rPh>
    <rPh sb="9" eb="10">
      <t>ジョウ</t>
    </rPh>
    <rPh sb="11" eb="13">
      <t>チョウメ</t>
    </rPh>
    <phoneticPr fontId="1"/>
  </si>
  <si>
    <t>#4649</t>
  </si>
  <si>
    <t>札幌市豊平区福住2条4丁目2-21</t>
    <rPh sb="0" eb="3">
      <t>サッポロシ</t>
    </rPh>
    <rPh sb="3" eb="6">
      <t>トヨヒラク</t>
    </rPh>
    <rPh sb="6" eb="8">
      <t>フクズミ</t>
    </rPh>
    <rPh sb="9" eb="10">
      <t>ジョウ</t>
    </rPh>
    <rPh sb="11" eb="13">
      <t>チョウメ</t>
    </rPh>
    <phoneticPr fontId="1"/>
  </si>
  <si>
    <t>札幌市豊平区美園7条6丁目2-27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</si>
  <si>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呼0706</t>
    <rPh sb="0" eb="1">
      <t>ヨビ</t>
    </rPh>
    <phoneticPr fontId="1"/>
  </si>
  <si>
    <t>札幌市豊平区西岡2条2丁目1-33</t>
    <rPh sb="0" eb="3">
      <t>サッポロシ</t>
    </rPh>
    <rPh sb="3" eb="6">
      <t>トヨヒラク</t>
    </rPh>
    <rPh sb="6" eb="8">
      <t>ニシオカ</t>
    </rPh>
    <rPh sb="9" eb="10">
      <t>ジョウ</t>
    </rPh>
    <rPh sb="11" eb="13">
      <t>チョウメ</t>
    </rPh>
    <phoneticPr fontId="1"/>
  </si>
  <si>
    <t>札幌市豊平区水車町2丁目5-10</t>
    <rPh sb="0" eb="3">
      <t>サッポロシ</t>
    </rPh>
    <rPh sb="3" eb="6">
      <t>トヨヒラク</t>
    </rPh>
    <rPh sb="6" eb="8">
      <t>スイシャ</t>
    </rPh>
    <rPh sb="8" eb="9">
      <t>チョウ</t>
    </rPh>
    <rPh sb="10" eb="12">
      <t>チョウメ</t>
    </rPh>
    <phoneticPr fontId="1"/>
  </si>
  <si>
    <t>札幌市豊平区福住1条1丁目13-1</t>
    <rPh sb="0" eb="3">
      <t>サッポロシ</t>
    </rPh>
    <rPh sb="3" eb="6">
      <t>トヨヒラク</t>
    </rPh>
    <rPh sb="6" eb="8">
      <t>フクズミ</t>
    </rPh>
    <rPh sb="9" eb="10">
      <t>ジョウ</t>
    </rPh>
    <rPh sb="11" eb="13">
      <t>チョウメ</t>
    </rPh>
    <phoneticPr fontId="1"/>
  </si>
  <si>
    <t>呼2835</t>
    <rPh sb="0" eb="1">
      <t>ヨビ</t>
    </rPh>
    <phoneticPr fontId="1"/>
  </si>
  <si>
    <t>パークレジデンス大谷地</t>
    <rPh sb="8" eb="11">
      <t>オオヤチ</t>
    </rPh>
    <phoneticPr fontId="1"/>
  </si>
  <si>
    <t>ラ・ヌーベルコート旭町</t>
    <rPh sb="9" eb="11">
      <t>アサヒマチ</t>
    </rPh>
    <phoneticPr fontId="1"/>
  </si>
  <si>
    <t>FCファーネストひばりが丘</t>
    <rPh sb="12" eb="13">
      <t>オカ</t>
    </rPh>
    <phoneticPr fontId="1"/>
  </si>
  <si>
    <t>サンライズアベニュー</t>
  </si>
  <si>
    <t>AMS新札幌Ⅰ</t>
    <rPh sb="3" eb="6">
      <t>シンサッポロ</t>
    </rPh>
    <phoneticPr fontId="1"/>
  </si>
  <si>
    <t>AMS新札幌Ⅱ</t>
  </si>
  <si>
    <t>上野幌プチパパ</t>
    <rPh sb="0" eb="3">
      <t>カミノッポロ</t>
    </rPh>
    <phoneticPr fontId="1"/>
  </si>
  <si>
    <t>札幌市厚別区大谷地東5丁目9-6</t>
    <rPh sb="0" eb="3">
      <t>サッポロシ</t>
    </rPh>
    <rPh sb="3" eb="6">
      <t>アツベツク</t>
    </rPh>
    <rPh sb="6" eb="9">
      <t>オオヤチ</t>
    </rPh>
    <rPh sb="9" eb="10">
      <t>ヒガシ</t>
    </rPh>
    <rPh sb="11" eb="13">
      <t>チョウメ</t>
    </rPh>
    <phoneticPr fontId="1"/>
  </si>
  <si>
    <t>札幌市厚別区厚別中央3条3丁目3-1</t>
    <rPh sb="0" eb="3">
      <t>サッポロシ</t>
    </rPh>
    <rPh sb="3" eb="6">
      <t>アツベツク</t>
    </rPh>
    <rPh sb="6" eb="8">
      <t>アツベツ</t>
    </rPh>
    <rPh sb="8" eb="10">
      <t>チュウオウ</t>
    </rPh>
    <rPh sb="11" eb="12">
      <t>ジョウ</t>
    </rPh>
    <rPh sb="13" eb="15">
      <t>チョウメ</t>
    </rPh>
    <phoneticPr fontId="1"/>
  </si>
  <si>
    <t>呼1267</t>
    <rPh sb="0" eb="1">
      <t>ヨビ</t>
    </rPh>
    <phoneticPr fontId="1"/>
  </si>
  <si>
    <t>札幌市厚別区中央1条2丁目13-20</t>
    <rPh sb="0" eb="3">
      <t>サッポロシ</t>
    </rPh>
    <rPh sb="3" eb="6">
      <t>アツベツク</t>
    </rPh>
    <rPh sb="6" eb="8">
      <t>チュウオウ</t>
    </rPh>
    <rPh sb="9" eb="10">
      <t>ジョウ</t>
    </rPh>
    <rPh sb="11" eb="13">
      <t>チョウメ</t>
    </rPh>
    <phoneticPr fontId="1"/>
  </si>
  <si>
    <t>札幌市厚別区厚別西1条1丁目1-55</t>
    <rPh sb="0" eb="3">
      <t>サッポロシ</t>
    </rPh>
    <rPh sb="3" eb="6">
      <t>アツベツク</t>
    </rPh>
    <rPh sb="6" eb="8">
      <t>アツベツ</t>
    </rPh>
    <rPh sb="8" eb="9">
      <t>ニシ</t>
    </rPh>
    <rPh sb="10" eb="11">
      <t>ジョウ</t>
    </rPh>
    <rPh sb="12" eb="14">
      <t>チョウメ</t>
    </rPh>
    <phoneticPr fontId="1"/>
  </si>
  <si>
    <t>呼1080</t>
    <rPh sb="0" eb="1">
      <t>ヨビ</t>
    </rPh>
    <phoneticPr fontId="1"/>
  </si>
  <si>
    <t>札幌市厚別区厚別中央3条4丁目14-5</t>
    <rPh sb="0" eb="3">
      <t>サッポロシ</t>
    </rPh>
    <rPh sb="3" eb="6">
      <t>アツベツク</t>
    </rPh>
    <rPh sb="6" eb="10">
      <t>アツベツチュウオウ</t>
    </rPh>
    <rPh sb="11" eb="12">
      <t>ジョウ</t>
    </rPh>
    <rPh sb="13" eb="15">
      <t>チョウメ</t>
    </rPh>
    <phoneticPr fontId="1"/>
  </si>
  <si>
    <t>札幌市厚別区厚別中央3条4丁目14-3</t>
    <rPh sb="0" eb="3">
      <t>サッポロシ</t>
    </rPh>
    <rPh sb="3" eb="6">
      <t>アツベツク</t>
    </rPh>
    <rPh sb="6" eb="10">
      <t>アツベツチュウオウ</t>
    </rPh>
    <rPh sb="11" eb="12">
      <t>ジョウ</t>
    </rPh>
    <rPh sb="13" eb="15">
      <t>チョウメ</t>
    </rPh>
    <phoneticPr fontId="1"/>
  </si>
  <si>
    <t>札幌市厚別区上野幌3条3丁目12-20</t>
    <rPh sb="0" eb="3">
      <t>サッポロシ</t>
    </rPh>
    <rPh sb="3" eb="6">
      <t>アツベツク</t>
    </rPh>
    <rPh sb="6" eb="9">
      <t>カミノッポロ</t>
    </rPh>
    <rPh sb="10" eb="11">
      <t>ジョウ</t>
    </rPh>
    <rPh sb="12" eb="14">
      <t>チョウメ</t>
    </rPh>
    <phoneticPr fontId="1"/>
  </si>
  <si>
    <t>KKSオーシャンビュー</t>
  </si>
  <si>
    <t>シュシュ手稲</t>
    <rPh sb="4" eb="6">
      <t>テイネ</t>
    </rPh>
    <phoneticPr fontId="1"/>
  </si>
  <si>
    <t>スカイハウス</t>
  </si>
  <si>
    <t>アベニュー</t>
  </si>
  <si>
    <t>マスセル新発寒B</t>
    <rPh sb="4" eb="5">
      <t>シン</t>
    </rPh>
    <rPh sb="5" eb="7">
      <t>ハッサム</t>
    </rPh>
    <phoneticPr fontId="1"/>
  </si>
  <si>
    <t>グリーンヴィレッジ富丘</t>
    <rPh sb="9" eb="11">
      <t>トミオカ</t>
    </rPh>
    <phoneticPr fontId="1"/>
  </si>
  <si>
    <t>ドミール前田</t>
    <rPh sb="4" eb="6">
      <t>マエダ</t>
    </rPh>
    <phoneticPr fontId="1"/>
  </si>
  <si>
    <t>エクセルハイツ西宮の沢</t>
    <rPh sb="7" eb="8">
      <t>ニシ</t>
    </rPh>
    <rPh sb="8" eb="9">
      <t>ミヤ</t>
    </rPh>
    <rPh sb="10" eb="11">
      <t>サワ</t>
    </rPh>
    <phoneticPr fontId="1"/>
  </si>
  <si>
    <t>プランドール手稲</t>
    <rPh sb="6" eb="8">
      <t>テイネ</t>
    </rPh>
    <phoneticPr fontId="1"/>
  </si>
  <si>
    <t>レガーメ手稲稲穂</t>
    <rPh sb="4" eb="8">
      <t>テイネイナホ</t>
    </rPh>
    <phoneticPr fontId="1"/>
  </si>
  <si>
    <t>プルマージュ</t>
  </si>
  <si>
    <t>フェザー63</t>
  </si>
  <si>
    <t>ドルチェヴィータ</t>
  </si>
  <si>
    <t>コンフォミア明日風</t>
    <rPh sb="6" eb="9">
      <t>アシタカゼ</t>
    </rPh>
    <phoneticPr fontId="1"/>
  </si>
  <si>
    <t>カルデア星が丘</t>
    <rPh sb="4" eb="5">
      <t>ホシ</t>
    </rPh>
    <rPh sb="6" eb="7">
      <t>オカ</t>
    </rPh>
    <phoneticPr fontId="1"/>
  </si>
  <si>
    <t>ソレイユテイネ</t>
  </si>
  <si>
    <t>レガーメ手稲稲穂45　壱番館</t>
    <rPh sb="4" eb="8">
      <t>テイネイナホ</t>
    </rPh>
    <rPh sb="11" eb="14">
      <t>イチバンカン</t>
    </rPh>
    <phoneticPr fontId="1"/>
  </si>
  <si>
    <t>セレーネ星が丘</t>
    <rPh sb="4" eb="5">
      <t>ホシ</t>
    </rPh>
    <rPh sb="6" eb="7">
      <t>オカ</t>
    </rPh>
    <phoneticPr fontId="1"/>
  </si>
  <si>
    <t>札幌市手稲区稲穂3条3丁目8-5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</si>
  <si>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札幌市手稲区手稲本町2条5丁目6-5</t>
    <rPh sb="0" eb="3">
      <t>サッポロシ</t>
    </rPh>
    <rPh sb="3" eb="6">
      <t>テイネク</t>
    </rPh>
    <rPh sb="6" eb="8">
      <t>テイネ</t>
    </rPh>
    <rPh sb="8" eb="10">
      <t>ホンチョウ</t>
    </rPh>
    <rPh sb="11" eb="12">
      <t>ジョウ</t>
    </rPh>
    <rPh sb="13" eb="15">
      <t>チョウメ</t>
    </rPh>
    <phoneticPr fontId="1"/>
  </si>
  <si>
    <t>札幌市手稲区手稲本町2条5丁目6-3</t>
    <rPh sb="0" eb="6">
      <t>サッポロシテイネク</t>
    </rPh>
    <rPh sb="6" eb="8">
      <t>テイネ</t>
    </rPh>
    <rPh sb="8" eb="10">
      <t>ホンチョウ</t>
    </rPh>
    <rPh sb="11" eb="12">
      <t>ジョウ</t>
    </rPh>
    <rPh sb="13" eb="15">
      <t>チョウメ</t>
    </rPh>
    <phoneticPr fontId="1"/>
  </si>
  <si>
    <t>札幌市手稲区手稲本町2条5丁目6-19</t>
    <rPh sb="0" eb="3">
      <t>サッポロシ</t>
    </rPh>
    <rPh sb="3" eb="6">
      <t>テイネク</t>
    </rPh>
    <rPh sb="6" eb="8">
      <t>テイネ</t>
    </rPh>
    <rPh sb="8" eb="10">
      <t>ホンチョウ</t>
    </rPh>
    <rPh sb="11" eb="12">
      <t>ジョウ</t>
    </rPh>
    <rPh sb="13" eb="15">
      <t>チョウメ</t>
    </rPh>
    <phoneticPr fontId="1"/>
  </si>
  <si>
    <t>札幌市手稲区新発寒3条7丁目1-12</t>
    <rPh sb="0" eb="3">
      <t>サッポロシ</t>
    </rPh>
    <rPh sb="3" eb="6">
      <t>テイネク</t>
    </rPh>
    <rPh sb="6" eb="7">
      <t>シン</t>
    </rPh>
    <rPh sb="7" eb="9">
      <t>ハッサム</t>
    </rPh>
    <rPh sb="10" eb="11">
      <t>ジョウ</t>
    </rPh>
    <rPh sb="12" eb="14">
      <t>チョウメ</t>
    </rPh>
    <phoneticPr fontId="1"/>
  </si>
  <si>
    <t>札幌市手稲区富丘1条6丁目13-6</t>
    <rPh sb="0" eb="6">
      <t>サッポロシテイネク</t>
    </rPh>
    <rPh sb="6" eb="8">
      <t>トミオカ</t>
    </rPh>
    <rPh sb="9" eb="10">
      <t>ジョウ</t>
    </rPh>
    <rPh sb="11" eb="13">
      <t>チョウメ</t>
    </rPh>
    <phoneticPr fontId="1"/>
  </si>
  <si>
    <t>札幌市手稲区前田6条14丁目9-5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</si>
  <si>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札幌市手稲区西宮の沢2条3丁目7-20</t>
    <rPh sb="0" eb="3">
      <t>サッポロシ</t>
    </rPh>
    <rPh sb="3" eb="6">
      <t>テイネク</t>
    </rPh>
    <rPh sb="6" eb="7">
      <t>ニシ</t>
    </rPh>
    <rPh sb="7" eb="8">
      <t>ミヤ</t>
    </rPh>
    <rPh sb="9" eb="10">
      <t>サワ</t>
    </rPh>
    <rPh sb="11" eb="12">
      <t>ジョウ</t>
    </rPh>
    <rPh sb="13" eb="15">
      <t>チョウメ</t>
    </rPh>
    <phoneticPr fontId="1"/>
  </si>
  <si>
    <t>札幌市手稲区手稲本町2条5丁目6-14</t>
    <rPh sb="0" eb="3">
      <t>サッポロシ</t>
    </rPh>
    <rPh sb="3" eb="6">
      <t>テイネク</t>
    </rPh>
    <rPh sb="6" eb="10">
      <t>テイネホンチョウ</t>
    </rPh>
    <rPh sb="11" eb="12">
      <t>ジョウ</t>
    </rPh>
    <rPh sb="13" eb="15">
      <t>チョウメ</t>
    </rPh>
    <phoneticPr fontId="1"/>
  </si>
  <si>
    <t>札幌市手稲区稲穂3条3丁目1-26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</si>
  <si>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建物左側0510</t>
    <rPh sb="0" eb="1">
      <t>タテモノ</t>
    </rPh>
    <rPh sb="1" eb="3">
      <t>ヒダリガワ</t>
    </rPh>
    <phoneticPr fontId="1"/>
  </si>
  <si>
    <t>札幌市手稲区前田6条14丁目14-6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</si>
  <si>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札幌市手稲区前田1条12丁目2-52</t>
    <rPh sb="0" eb="3">
      <t>サッポロシ</t>
    </rPh>
    <rPh sb="3" eb="6">
      <t>テイネク</t>
    </rPh>
    <rPh sb="6" eb="8">
      <t>マエダ</t>
    </rPh>
    <rPh sb="9" eb="10">
      <t>ジョウ</t>
    </rPh>
    <rPh sb="12" eb="14">
      <t>チョウメ</t>
    </rPh>
    <phoneticPr fontId="1"/>
  </si>
  <si>
    <t>札幌市手稲区稲穂3条2丁目6-40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</si>
  <si>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札幌市手稲区曙12条2丁目15-15</t>
    <rPh sb="0" eb="3">
      <t>サッポロシ</t>
    </rPh>
    <rPh sb="3" eb="6">
      <t>テイネク</t>
    </rPh>
    <rPh sb="6" eb="7">
      <t>アケボノ</t>
    </rPh>
    <rPh sb="9" eb="10">
      <t>ジョウ</t>
    </rPh>
    <rPh sb="11" eb="13">
      <t>チョウメ</t>
    </rPh>
    <phoneticPr fontId="1"/>
  </si>
  <si>
    <t>呼1228</t>
    <rPh sb="0" eb="1">
      <t>ヨビ</t>
    </rPh>
    <phoneticPr fontId="1"/>
  </si>
  <si>
    <t>札幌市手稲区星置3条1丁目9-12</t>
    <rPh sb="0" eb="3">
      <t>サッポロシ</t>
    </rPh>
    <rPh sb="3" eb="6">
      <t>テイネク</t>
    </rPh>
    <rPh sb="6" eb="8">
      <t>ホシオキ</t>
    </rPh>
    <rPh sb="9" eb="10">
      <t>ジョウ</t>
    </rPh>
    <rPh sb="11" eb="13">
      <t>チョウメ</t>
    </rPh>
    <phoneticPr fontId="1"/>
  </si>
  <si>
    <t>札幌市手稲区前田6条7丁目1-8-2</t>
    <rPh sb="0" eb="3">
      <t>サッポロシ</t>
    </rPh>
    <phoneticPr fontId="1"/>
  </si>
  <si>
    <t>🔑0729解錠</t>
  </si>
  <si>
    <t>札幌市手稲区稲穂4条5丁目4-5</t>
    <rPh sb="0" eb="3">
      <t>サッポロシ</t>
    </rPh>
    <rPh sb="3" eb="6">
      <t>テイネク</t>
    </rPh>
    <rPh sb="6" eb="8">
      <t>イナホ</t>
    </rPh>
    <rPh sb="9" eb="10">
      <t>ジョウ</t>
    </rPh>
    <rPh sb="11" eb="13">
      <t>チョウメ</t>
    </rPh>
    <phoneticPr fontId="1"/>
  </si>
  <si>
    <t>札幌市手稲区星置3条1丁目9-9</t>
    <rPh sb="0" eb="3">
      <t>サッポロシ</t>
    </rPh>
    <rPh sb="3" eb="6">
      <t>テイネク</t>
    </rPh>
    <rPh sb="6" eb="8">
      <t>ホシオキ</t>
    </rPh>
    <rPh sb="9" eb="10">
      <t>ジョウ</t>
    </rPh>
    <rPh sb="11" eb="13">
      <t>チョウメ</t>
    </rPh>
    <phoneticPr fontId="1"/>
  </si>
  <si>
    <t>呼0418</t>
    <rPh sb="0" eb="1">
      <t>ヨビ</t>
    </rPh>
    <phoneticPr fontId="1"/>
  </si>
  <si>
    <t>メデルハウス北野</t>
    <rPh sb="6" eb="8">
      <t>キタノ</t>
    </rPh>
    <phoneticPr fontId="1"/>
  </si>
  <si>
    <t>フォーシーズン清田</t>
    <rPh sb="7" eb="9">
      <t>キヨタ</t>
    </rPh>
    <phoneticPr fontId="1"/>
  </si>
  <si>
    <t>プルメリア真栄</t>
    <rPh sb="5" eb="6">
      <t>マ</t>
    </rPh>
    <rPh sb="6" eb="7">
      <t>サカエ</t>
    </rPh>
    <phoneticPr fontId="1"/>
  </si>
  <si>
    <t>ドミ真栄パーク</t>
    <rPh sb="2" eb="4">
      <t>シンエイ</t>
    </rPh>
    <phoneticPr fontId="1"/>
  </si>
  <si>
    <t>札幌市清田区北野4条5丁目4-24</t>
    <rPh sb="0" eb="3">
      <t>サッポロシ</t>
    </rPh>
    <rPh sb="3" eb="6">
      <t>キヨタク</t>
    </rPh>
    <rPh sb="6" eb="8">
      <t>キタノ</t>
    </rPh>
    <rPh sb="9" eb="10">
      <t>ジョウ</t>
    </rPh>
    <rPh sb="11" eb="13">
      <t>チョウメ</t>
    </rPh>
    <phoneticPr fontId="1"/>
  </si>
  <si>
    <t>札幌市清田区清田6条3丁目7-10</t>
    <rPh sb="0" eb="3">
      <t>サッポロシ</t>
    </rPh>
    <rPh sb="3" eb="6">
      <t>キヨタク</t>
    </rPh>
    <rPh sb="6" eb="8">
      <t>キヨタ</t>
    </rPh>
    <rPh sb="9" eb="10">
      <t>ジョウ</t>
    </rPh>
    <rPh sb="11" eb="13">
      <t>チョウメ</t>
    </rPh>
    <phoneticPr fontId="1"/>
  </si>
  <si>
    <t>札幌市清田区真栄3条2丁目9-16</t>
    <rPh sb="0" eb="3">
      <t>サッポロシ</t>
    </rPh>
    <rPh sb="3" eb="6">
      <t>キヨタク</t>
    </rPh>
    <rPh sb="6" eb="8">
      <t>シンエイ</t>
    </rPh>
    <rPh sb="9" eb="10">
      <t>ジョウ</t>
    </rPh>
    <rPh sb="11" eb="13">
      <t>チョウメ</t>
    </rPh>
    <phoneticPr fontId="1"/>
  </si>
  <si>
    <t>札幌市清田区真栄2条2丁目1-25</t>
    <rPh sb="0" eb="3">
      <t>サッポロシ</t>
    </rPh>
    <rPh sb="3" eb="6">
      <t>キヨタク</t>
    </rPh>
    <rPh sb="6" eb="8">
      <t>シンエイ</t>
    </rPh>
    <rPh sb="9" eb="10">
      <t>ジョウ</t>
    </rPh>
    <rPh sb="11" eb="13">
      <t>チョウメ</t>
    </rPh>
    <phoneticPr fontId="1"/>
  </si>
  <si>
    <t>シャイニングアピアランス</t>
  </si>
  <si>
    <t>シャイニングウエルズⅠ</t>
  </si>
  <si>
    <t>シャイニングウエルズⅡ</t>
  </si>
  <si>
    <t>シャイニングライブⅡ</t>
  </si>
  <si>
    <t>シャイニングレガーメ壱番館</t>
  </si>
  <si>
    <t>シャイニングレガーメ弐番館</t>
  </si>
  <si>
    <t>ハイセレールシャイニング壱番館</t>
  </si>
  <si>
    <t>ハイセレールシャイニング参番館</t>
  </si>
  <si>
    <t>ハイセレールシャイニング弐番館</t>
  </si>
  <si>
    <t>イーストフェアリー</t>
  </si>
  <si>
    <t>大曲緑ヶ丘１丁目テナント</t>
  </si>
  <si>
    <t>大曲緑ヶ丘１丁目戸建</t>
  </si>
  <si>
    <t>コーポ嶋影</t>
  </si>
  <si>
    <t>シュシュ大曲Ⅰ</t>
  </si>
  <si>
    <t>シュシュ大曲Ⅱ</t>
  </si>
  <si>
    <t>シャイニングライブ</t>
  </si>
  <si>
    <t>レガーメ北広島壱番館</t>
  </si>
  <si>
    <t>レガーメ北広島弐番館</t>
  </si>
  <si>
    <t>レガーメ北広島参番館</t>
    <rPh sb="7" eb="10">
      <t>サンバンカン</t>
    </rPh>
    <phoneticPr fontId="1"/>
  </si>
  <si>
    <t>シュシュ北広島壱番館</t>
  </si>
  <si>
    <t>イーグロースＡ棟</t>
  </si>
  <si>
    <t>イーグロースＢ棟</t>
  </si>
  <si>
    <t>ピュアハウスⅡ</t>
  </si>
  <si>
    <t>サンフラワー</t>
  </si>
  <si>
    <t>レガーメ島松</t>
    <rPh sb="4" eb="6">
      <t>シママツ</t>
    </rPh>
    <phoneticPr fontId="1"/>
  </si>
  <si>
    <t>レガーメLunga vita</t>
  </si>
  <si>
    <t>Chou Chou IOI 338</t>
  </si>
  <si>
    <t>S-STORAGE銭函</t>
    <rPh sb="9" eb="11">
      <t>ゼニバコ</t>
    </rPh>
    <phoneticPr fontId="1"/>
  </si>
  <si>
    <t>レガーメ新光A棟</t>
    <rPh sb="4" eb="6">
      <t>シンコウ</t>
    </rPh>
    <rPh sb="7" eb="8">
      <t>トウ</t>
    </rPh>
    <phoneticPr fontId="1"/>
  </si>
  <si>
    <t>レガーメ新光B棟</t>
    <rPh sb="4" eb="6">
      <t>シンコウ</t>
    </rPh>
    <rPh sb="7" eb="8">
      <t>トウ</t>
    </rPh>
    <phoneticPr fontId="1"/>
  </si>
  <si>
    <t>SETTLE ZⅢ</t>
  </si>
  <si>
    <t>SETTLE ZⅢ protean C</t>
  </si>
  <si>
    <t>SETTLE ZⅢ protean A</t>
  </si>
  <si>
    <t>SETTLE ZⅢ protean B</t>
  </si>
  <si>
    <t>北広島市朝日町6丁目1-9</t>
    <rPh sb="8" eb="10">
      <t>チョウメ</t>
    </rPh>
    <phoneticPr fontId="1"/>
  </si>
  <si>
    <t>1500</t>
  </si>
  <si>
    <t>北広島市朝日町6丁目1-18</t>
    <rPh sb="8" eb="10">
      <t>チョウメ</t>
    </rPh>
    <phoneticPr fontId="1"/>
  </si>
  <si>
    <t>北広島市朝日町6丁目1-8</t>
    <rPh sb="8" eb="10">
      <t>チョウメ</t>
    </rPh>
    <phoneticPr fontId="1"/>
  </si>
  <si>
    <t>北広島市朝日町6丁目1-15</t>
    <rPh sb="8" eb="10">
      <t>チョウメ</t>
    </rPh>
    <phoneticPr fontId="1"/>
  </si>
  <si>
    <t>1300</t>
  </si>
  <si>
    <t>北広島市朝日町6丁目4-41</t>
    <rPh sb="8" eb="10">
      <t>チョウメ</t>
    </rPh>
    <phoneticPr fontId="1"/>
  </si>
  <si>
    <t>北広島市朝日町6丁目4-43</t>
    <rPh sb="8" eb="10">
      <t>チョウメ</t>
    </rPh>
    <phoneticPr fontId="1"/>
  </si>
  <si>
    <t>北広島市朝日町6丁目4-22</t>
    <rPh sb="8" eb="10">
      <t>チョウメ</t>
    </rPh>
    <phoneticPr fontId="1"/>
  </si>
  <si>
    <t>階段柵2000</t>
    <rPh sb="0" eb="3">
      <t>カイダンサク</t>
    </rPh>
    <phoneticPr fontId="1"/>
  </si>
  <si>
    <t>北広島市朝日町6丁目4-24</t>
    <rPh sb="8" eb="10">
      <t>チョウメ</t>
    </rPh>
    <phoneticPr fontId="1"/>
  </si>
  <si>
    <t>北広島市朝日町6丁目4-25</t>
    <rPh sb="8" eb="10">
      <t>チョウメ</t>
    </rPh>
    <phoneticPr fontId="1"/>
  </si>
  <si>
    <t>北広島市中央6丁目8-10</t>
    <rPh sb="7" eb="9">
      <t>チョウメ</t>
    </rPh>
    <phoneticPr fontId="1"/>
  </si>
  <si>
    <t>北広島市大曲緑ケ丘1丁目8-1</t>
    <rPh sb="10" eb="12">
      <t>チョウメ</t>
    </rPh>
    <phoneticPr fontId="2"/>
  </si>
  <si>
    <t>1000</t>
  </si>
  <si>
    <t>北広島市大曲緑ケ丘1丁目8-2</t>
    <rPh sb="10" eb="12">
      <t>チョウメ</t>
    </rPh>
    <phoneticPr fontId="2"/>
  </si>
  <si>
    <t>3200</t>
  </si>
  <si>
    <t>北広島市大曲末広3丁目2-3</t>
    <rPh sb="9" eb="11">
      <t>チョウメ</t>
    </rPh>
    <phoneticPr fontId="2"/>
  </si>
  <si>
    <t>9600</t>
  </si>
  <si>
    <t>北広島市大曲南ケ丘2丁目2-10</t>
    <rPh sb="10" eb="12">
      <t>チョウメ</t>
    </rPh>
    <phoneticPr fontId="2"/>
  </si>
  <si>
    <t>#0328</t>
  </si>
  <si>
    <t>1632</t>
  </si>
  <si>
    <t>北広島市大曲南ケ丘2丁目2-7</t>
    <rPh sb="10" eb="12">
      <t>チョウメ</t>
    </rPh>
    <phoneticPr fontId="2"/>
  </si>
  <si>
    <t>北広島市大曲光2丁目1-1</t>
    <rPh sb="8" eb="10">
      <t>チョウメ</t>
    </rPh>
    <phoneticPr fontId="2"/>
  </si>
  <si>
    <t>6400</t>
  </si>
  <si>
    <t>北広島市新富町東1丁目8-4</t>
    <rPh sb="9" eb="11">
      <t>チョウメ</t>
    </rPh>
    <phoneticPr fontId="2"/>
  </si>
  <si>
    <t>1326</t>
  </si>
  <si>
    <t>北広島市新富町東1丁目8-5</t>
    <rPh sb="9" eb="11">
      <t>チョウメ</t>
    </rPh>
    <phoneticPr fontId="2"/>
  </si>
  <si>
    <t>北広島市稲穂町西3丁目1-6</t>
    <rPh sb="9" eb="11">
      <t>チョウメ</t>
    </rPh>
    <phoneticPr fontId="2"/>
  </si>
  <si>
    <t>階段柵5200</t>
    <rPh sb="0" eb="3">
      <t>カイダンサク</t>
    </rPh>
    <phoneticPr fontId="1"/>
  </si>
  <si>
    <t>石狩市花川南7条1丁目13-2</t>
    <rPh sb="9" eb="11">
      <t>チョウメ</t>
    </rPh>
    <phoneticPr fontId="2"/>
  </si>
  <si>
    <t>無</t>
    <rPh sb="0" eb="1">
      <t>ナシ</t>
    </rPh>
    <phoneticPr fontId="1"/>
  </si>
  <si>
    <t>石狩市花川南7条1丁目13-1</t>
    <rPh sb="9" eb="11">
      <t>チョウメ</t>
    </rPh>
    <phoneticPr fontId="2"/>
  </si>
  <si>
    <t>石狩市花川南1条2丁目66</t>
    <rPh sb="9" eb="11">
      <t>チョウメ</t>
    </rPh>
    <phoneticPr fontId="2"/>
  </si>
  <si>
    <t>石狩市花川北6条3丁目156-1</t>
    <rPh sb="0" eb="3">
      <t>イシカリシ</t>
    </rPh>
    <rPh sb="3" eb="5">
      <t>ハナカワ</t>
    </rPh>
    <rPh sb="5" eb="6">
      <t>キタ</t>
    </rPh>
    <rPh sb="7" eb="8">
      <t>ジョウ</t>
    </rPh>
    <rPh sb="9" eb="11">
      <t>チョウメ</t>
    </rPh>
    <phoneticPr fontId="1"/>
  </si>
  <si>
    <t>2900</t>
  </si>
  <si>
    <t>恵庭市島松仲町2丁目1-16</t>
    <rPh sb="0" eb="3">
      <t>エニワシ</t>
    </rPh>
    <rPh sb="3" eb="5">
      <t>シママツ</t>
    </rPh>
    <rPh sb="5" eb="7">
      <t>ナカマチ</t>
    </rPh>
    <rPh sb="8" eb="10">
      <t>チョウメ</t>
    </rPh>
    <phoneticPr fontId="1"/>
  </si>
  <si>
    <t>恵庭市島松寿町2丁目29-2</t>
    <rPh sb="0" eb="3">
      <t>エニワシ</t>
    </rPh>
    <rPh sb="3" eb="5">
      <t>シママツ</t>
    </rPh>
    <rPh sb="5" eb="7">
      <t>コトブキチョウ</t>
    </rPh>
    <rPh sb="8" eb="10">
      <t>チョウメ</t>
    </rPh>
    <phoneticPr fontId="1"/>
  </si>
  <si>
    <t>5963</t>
  </si>
  <si>
    <t>恵庭市相生町3丁目3-17</t>
    <rPh sb="0" eb="3">
      <t>エニワシ</t>
    </rPh>
    <rPh sb="3" eb="6">
      <t>アイオイチョウ</t>
    </rPh>
    <rPh sb="7" eb="9">
      <t>チョウメ</t>
    </rPh>
    <phoneticPr fontId="1"/>
  </si>
  <si>
    <t>小樽市銭函3丁目399-1</t>
    <rPh sb="0" eb="3">
      <t>オタルシ</t>
    </rPh>
    <rPh sb="3" eb="5">
      <t>ゼニバコ</t>
    </rPh>
    <rPh sb="6" eb="8">
      <t>チョウメ</t>
    </rPh>
    <phoneticPr fontId="1"/>
  </si>
  <si>
    <t>小樽市新光1丁目25-3</t>
    <rPh sb="0" eb="3">
      <t>オタルシ</t>
    </rPh>
    <rPh sb="3" eb="5">
      <t>シンコウ</t>
    </rPh>
    <rPh sb="6" eb="8">
      <t>チョウメ</t>
    </rPh>
    <phoneticPr fontId="1"/>
  </si>
  <si>
    <t>6222</t>
  </si>
  <si>
    <t>6200</t>
  </si>
  <si>
    <t>小樽市銭函3丁目399-4</t>
    <rPh sb="0" eb="3">
      <t>オタルシ</t>
    </rPh>
    <rPh sb="3" eb="5">
      <t>ゼニバコ</t>
    </rPh>
    <rPh sb="6" eb="8">
      <t>チョウメ</t>
    </rPh>
    <phoneticPr fontId="1"/>
  </si>
  <si>
    <t>小樽市銭函3丁目26-1</t>
    <rPh sb="0" eb="3">
      <t>オタルシ</t>
    </rPh>
    <rPh sb="3" eb="5">
      <t>ゼニバコ</t>
    </rPh>
    <rPh sb="6" eb="8">
      <t>チョウメ</t>
    </rPh>
    <phoneticPr fontId="1"/>
  </si>
  <si>
    <t>NIPPO Core Asabu</t>
  </si>
  <si>
    <t>NIPPO Core N28</t>
  </si>
  <si>
    <t>メゾン・ド・グルー</t>
  </si>
  <si>
    <t>札幌市北区北40条西6丁目1-1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</si>
  <si>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3400E</t>
  </si>
  <si>
    <t>札幌市北区北28条西5丁目1-10</t>
    <rPh sb="0" eb="3">
      <t>サッポロシ</t>
    </rPh>
    <rPh sb="3" eb="5">
      <t>キタク</t>
    </rPh>
    <rPh sb="5" eb="6">
      <t>キタ</t>
    </rPh>
    <rPh sb="8" eb="9">
      <t>ジョウ</t>
    </rPh>
    <rPh sb="9" eb="10">
      <t>ニシ</t>
    </rPh>
    <rPh sb="11" eb="13">
      <t>チョウメ</t>
    </rPh>
    <phoneticPr fontId="1"/>
  </si>
  <si>
    <t>札幌市北区北20条西4丁目1‐16</t>
  </si>
  <si>
    <t>NIPPO Core Motomachi</t>
  </si>
  <si>
    <t>NIPPO Core N23</t>
  </si>
  <si>
    <t>メゾンドカナル</t>
  </si>
  <si>
    <t>札幌市東区北23条東15丁目3-5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1"/>
  </si>
  <si>
    <t>札幌市東区北23条東1丁目9-8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</si>
  <si>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札幌市東区北19条東2丁目1-12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</si>
  <si>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NIPPO Core Sumikawa</t>
  </si>
  <si>
    <t>澄川5条13丁目戸建住宅</t>
    <rPh sb="0" eb="2">
      <t>スミカワ</t>
    </rPh>
    <rPh sb="3" eb="4">
      <t>ジョウ</t>
    </rPh>
    <rPh sb="6" eb="8">
      <t>チョウメ</t>
    </rPh>
    <rPh sb="8" eb="12">
      <t>コダテジュウタク</t>
    </rPh>
    <phoneticPr fontId="1"/>
  </si>
  <si>
    <t>札幌市南区澄川4条2丁目8-33</t>
    <rPh sb="0" eb="3">
      <t>サッポロシ</t>
    </rPh>
    <rPh sb="3" eb="4">
      <t>ミナミ</t>
    </rPh>
    <rPh sb="4" eb="5">
      <t>ク</t>
    </rPh>
    <rPh sb="5" eb="7">
      <t>スミカワ</t>
    </rPh>
    <rPh sb="8" eb="9">
      <t>ジョウ</t>
    </rPh>
    <rPh sb="10" eb="12">
      <t>チョウメ</t>
    </rPh>
    <phoneticPr fontId="1"/>
  </si>
  <si>
    <t>#3400</t>
  </si>
  <si>
    <t>札幌市澄川5条13丁目9-11</t>
    <rPh sb="0" eb="3">
      <t>サッポロシ</t>
    </rPh>
    <rPh sb="3" eb="5">
      <t>スミカワ</t>
    </rPh>
    <rPh sb="6" eb="7">
      <t>ジョウ</t>
    </rPh>
    <rPh sb="9" eb="11">
      <t>チョウメ</t>
    </rPh>
    <phoneticPr fontId="1"/>
  </si>
  <si>
    <t>NIPPO Core Higashisapporo</t>
  </si>
  <si>
    <t>DE-N</t>
  </si>
  <si>
    <t>NIPPO Core Shiroishi</t>
  </si>
  <si>
    <t>Core Hongodori</t>
  </si>
  <si>
    <t>札幌市白石区東札幌3条4丁目4-23</t>
    <rPh sb="0" eb="3">
      <t>サッポロシ</t>
    </rPh>
    <rPh sb="3" eb="6">
      <t>シロイシク</t>
    </rPh>
    <rPh sb="6" eb="9">
      <t>ヒガシサッポロ</t>
    </rPh>
    <rPh sb="10" eb="11">
      <t>ジョウ</t>
    </rPh>
    <rPh sb="12" eb="14">
      <t>チョウメ</t>
    </rPh>
    <phoneticPr fontId="1"/>
  </si>
  <si>
    <t>札幌市白石区本通19丁目南5-7</t>
    <rPh sb="0" eb="3">
      <t>サッポロシ</t>
    </rPh>
    <rPh sb="3" eb="6">
      <t>シロイシク</t>
    </rPh>
    <rPh sb="6" eb="8">
      <t>ホンドオリ</t>
    </rPh>
    <rPh sb="10" eb="12">
      <t>チョウメ</t>
    </rPh>
    <rPh sb="12" eb="13">
      <t>ミナミ</t>
    </rPh>
    <phoneticPr fontId="1"/>
  </si>
  <si>
    <t>＃3400</t>
  </si>
  <si>
    <t>札幌市白石区栄通3丁目5-11</t>
    <rPh sb="0" eb="3">
      <t>サッポロシ</t>
    </rPh>
    <rPh sb="3" eb="6">
      <t>シロイシク</t>
    </rPh>
    <rPh sb="6" eb="8">
      <t>サカエドオリ</t>
    </rPh>
    <rPh sb="9" eb="11">
      <t>チョウメ</t>
    </rPh>
    <phoneticPr fontId="1"/>
  </si>
  <si>
    <t>札幌市白石区本郷通10丁目南1-8</t>
    <rPh sb="0" eb="3">
      <t>サッポロシ</t>
    </rPh>
    <rPh sb="3" eb="6">
      <t>シロイシク</t>
    </rPh>
    <rPh sb="6" eb="9">
      <t>ホンゴウドオリ</t>
    </rPh>
    <rPh sb="11" eb="13">
      <t>チョウメ</t>
    </rPh>
    <rPh sb="13" eb="14">
      <t>ミナミ</t>
    </rPh>
    <phoneticPr fontId="1"/>
  </si>
  <si>
    <t>NIPPO Core Misono</t>
  </si>
  <si>
    <t>NIPPO Core 月寒中央</t>
    <rPh sb="11" eb="13">
      <t>ツキサム</t>
    </rPh>
    <rPh sb="13" eb="15">
      <t>チュウオウ</t>
    </rPh>
    <phoneticPr fontId="1"/>
  </si>
  <si>
    <t>ウィングッド月寒中央</t>
    <rPh sb="6" eb="8">
      <t>ツキサム</t>
    </rPh>
    <rPh sb="8" eb="10">
      <t>チュウオウ</t>
    </rPh>
    <phoneticPr fontId="1"/>
  </si>
  <si>
    <t>NIPPO Core 南平岸</t>
    <rPh sb="11" eb="12">
      <t>ミナミ</t>
    </rPh>
    <rPh sb="12" eb="14">
      <t>ヒラギシ</t>
    </rPh>
    <phoneticPr fontId="1"/>
  </si>
  <si>
    <t>NIPPO Core 福住</t>
    <rPh sb="11" eb="13">
      <t>フクズミ</t>
    </rPh>
    <phoneticPr fontId="1"/>
  </si>
  <si>
    <t>札幌市豊平区美園5条5丁目3-14</t>
    <rPh sb="0" eb="3">
      <t>サッポロシ</t>
    </rPh>
    <rPh sb="3" eb="6">
      <t>トヨヒラク</t>
    </rPh>
    <rPh sb="6" eb="8">
      <t>ミソノ</t>
    </rPh>
    <rPh sb="9" eb="10">
      <t>ジョウ</t>
    </rPh>
    <rPh sb="11" eb="13">
      <t>チョウメ</t>
    </rPh>
    <phoneticPr fontId="1"/>
  </si>
  <si>
    <t>札幌市豊平区月寒東2条7丁目8-18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</si>
  <si>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札幌市豊平区月寒東1条6丁目5-29</t>
    <rPh sb="0" eb="3">
      <t>サッポロシ</t>
    </rPh>
    <rPh sb="3" eb="6">
      <t>トヨヒラク</t>
    </rPh>
    <rPh sb="6" eb="8">
      <t>ツキサム</t>
    </rPh>
    <rPh sb="8" eb="9">
      <t>ヒガシ</t>
    </rPh>
    <rPh sb="10" eb="11">
      <t>ジョウ</t>
    </rPh>
    <rPh sb="12" eb="14">
      <t>チョウメ</t>
    </rPh>
    <phoneticPr fontId="1"/>
  </si>
  <si>
    <t>※3400呼</t>
    <rPh sb="5" eb="6">
      <t>ヨビ</t>
    </rPh>
    <phoneticPr fontId="1"/>
  </si>
  <si>
    <t>札幌市豊平区平岸4条12丁目11-6</t>
    <rPh sb="0" eb="3">
      <t>サッポロシ</t>
    </rPh>
    <rPh sb="3" eb="6">
      <t>トヨヒラク</t>
    </rPh>
    <rPh sb="6" eb="8">
      <t>ヒラギシ</t>
    </rPh>
    <rPh sb="9" eb="10">
      <t>ジョウ</t>
    </rPh>
    <rPh sb="12" eb="14">
      <t>チョウメ</t>
    </rPh>
    <phoneticPr fontId="1"/>
  </si>
  <si>
    <t>呼3400</t>
    <rPh sb="0" eb="1">
      <t>ヨビ</t>
    </rPh>
    <phoneticPr fontId="1"/>
  </si>
  <si>
    <t>札幌市豊平区福住1条1丁目8-24</t>
    <rPh sb="0" eb="3">
      <t>サッポロシ</t>
    </rPh>
    <rPh sb="3" eb="6">
      <t>トヨヒラク</t>
    </rPh>
    <rPh sb="6" eb="8">
      <t>フクズミ</t>
    </rPh>
    <rPh sb="9" eb="10">
      <t>ジョウ</t>
    </rPh>
    <rPh sb="11" eb="13">
      <t>チョウメ</t>
    </rPh>
    <phoneticPr fontId="1"/>
  </si>
  <si>
    <t>ラ・ムーネ・ミ</t>
  </si>
  <si>
    <t>クレセント307</t>
  </si>
  <si>
    <t>カーサフェリオ</t>
  </si>
  <si>
    <t>札幌市東区北30条東7丁目2-27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1" eb="13">
      <t>チョウメ</t>
    </rPh>
    <phoneticPr fontId="1"/>
  </si>
  <si>
    <t>0501</t>
  </si>
  <si>
    <t>札幌市東区北20条東18-2-12</t>
  </si>
  <si>
    <t>スカイリンク琴似</t>
    <rPh sb="6" eb="8">
      <t>コトニ</t>
    </rPh>
    <phoneticPr fontId="1"/>
  </si>
  <si>
    <t>ポセイドン宮の沢</t>
  </si>
  <si>
    <t>札幌市西区二十四軒3条6丁目4-16</t>
    <rPh sb="0" eb="3">
      <t>サッポロシ</t>
    </rPh>
    <rPh sb="3" eb="5">
      <t>ニシク</t>
    </rPh>
    <rPh sb="5" eb="9">
      <t>ニジュウヨンケン</t>
    </rPh>
    <rPh sb="10" eb="11">
      <t>ジョウ</t>
    </rPh>
    <rPh sb="12" eb="14">
      <t>チョウメ</t>
    </rPh>
    <phoneticPr fontId="1"/>
  </si>
  <si>
    <t>＃2436</t>
  </si>
  <si>
    <t>札幌市西区宮の沢1条5丁目3-24</t>
  </si>
  <si>
    <t>CUBE4・3</t>
  </si>
  <si>
    <t>札幌市豊平区4条3丁目1-22</t>
    <rPh sb="0" eb="3">
      <t>サッポロシ</t>
    </rPh>
    <rPh sb="3" eb="6">
      <t>トヨヒラク</t>
    </rPh>
    <rPh sb="7" eb="8">
      <t>ジョウ</t>
    </rPh>
    <rPh sb="9" eb="11">
      <t>チョウメ</t>
    </rPh>
    <phoneticPr fontId="1"/>
  </si>
  <si>
    <t>呼1958</t>
    <rPh sb="0" eb="1">
      <t>ヨビ</t>
    </rPh>
    <phoneticPr fontId="1"/>
  </si>
  <si>
    <t>エスティトレス</t>
  </si>
  <si>
    <t>江別市野幌町47-1</t>
    <rPh sb="0" eb="3">
      <t>エベツシ</t>
    </rPh>
    <rPh sb="3" eb="6">
      <t>ノッポロチョウ</t>
    </rPh>
    <phoneticPr fontId="1"/>
  </si>
  <si>
    <t>1115</t>
  </si>
  <si>
    <t>19,500円</t>
    <rPh sb="2" eb="7">
      <t>500エン</t>
    </rPh>
    <phoneticPr fontId="3"/>
  </si>
  <si>
    <t>台</t>
    <rPh sb="0" eb="1">
      <t>ダイ</t>
    </rPh>
    <phoneticPr fontId="3"/>
  </si>
  <si>
    <t>ガラス交換</t>
    <rPh sb="3" eb="5">
      <t>コウカン</t>
    </rPh>
    <phoneticPr fontId="3"/>
  </si>
  <si>
    <t>5,000円</t>
    <rPh sb="1" eb="6">
      <t>000エン</t>
    </rPh>
    <phoneticPr fontId="3"/>
  </si>
  <si>
    <t>泰平建材</t>
    <phoneticPr fontId="3"/>
  </si>
  <si>
    <t>ガラスフリーク</t>
    <phoneticPr fontId="3"/>
  </si>
  <si>
    <t>札幌ベニヤ商会</t>
    <rPh sb="0" eb="2">
      <t>サッポロ</t>
    </rPh>
    <rPh sb="5" eb="7">
      <t>ショウカイ</t>
    </rPh>
    <phoneticPr fontId="3"/>
  </si>
  <si>
    <t>YEK設備サービス</t>
    <rPh sb="3" eb="5">
      <t>セツビ</t>
    </rPh>
    <phoneticPr fontId="3"/>
  </si>
  <si>
    <t>第一ファミール</t>
    <phoneticPr fontId="3"/>
  </si>
  <si>
    <t>札幌市厚別区大谷地東5丁目6-12</t>
    <phoneticPr fontId="3"/>
  </si>
  <si>
    <t>フリーダーガルテン</t>
    <phoneticPr fontId="3"/>
  </si>
  <si>
    <t>札幌市東区北17条東2丁目2-6</t>
    <phoneticPr fontId="3"/>
  </si>
  <si>
    <t>セレッソ厚別通</t>
    <rPh sb="4" eb="6">
      <t>アツベツ</t>
    </rPh>
    <rPh sb="6" eb="7">
      <t>ドオリ</t>
    </rPh>
    <phoneticPr fontId="1"/>
  </si>
  <si>
    <t>cross中島公園Ⅱ</t>
    <phoneticPr fontId="3"/>
  </si>
  <si>
    <t>札幌市中央区南11条西1丁目2-18</t>
    <phoneticPr fontId="3"/>
  </si>
  <si>
    <t>呼5223</t>
    <rPh sb="0" eb="1">
      <t>ヨ</t>
    </rPh>
    <phoneticPr fontId="3"/>
  </si>
  <si>
    <t>への字　アンバー</t>
    <rPh sb="2" eb="3">
      <t>ジ</t>
    </rPh>
    <phoneticPr fontId="3"/>
  </si>
  <si>
    <t>本</t>
    <rPh sb="0" eb="1">
      <t>ホン</t>
    </rPh>
    <phoneticPr fontId="3"/>
  </si>
  <si>
    <t>東リ　FS　（長尺）</t>
    <rPh sb="0" eb="1">
      <t>トウ</t>
    </rPh>
    <rPh sb="7" eb="9">
      <t>チョウジャク</t>
    </rPh>
    <phoneticPr fontId="3"/>
  </si>
  <si>
    <t>エルムN16</t>
    <phoneticPr fontId="3"/>
  </si>
  <si>
    <t>札幌市北区北16条西3丁目2-18</t>
    <phoneticPr fontId="3"/>
  </si>
  <si>
    <t>ベンリーズ札幌</t>
    <rPh sb="5" eb="7">
      <t>サッポロ</t>
    </rPh>
    <phoneticPr fontId="3"/>
  </si>
  <si>
    <t>S・Clean</t>
    <phoneticPr fontId="3"/>
  </si>
  <si>
    <t>への字</t>
    <rPh sb="2" eb="3">
      <t>ジ</t>
    </rPh>
    <phoneticPr fontId="3"/>
  </si>
  <si>
    <t>東リ　FS（長尺）</t>
    <rPh sb="0" eb="1">
      <t>トウ</t>
    </rPh>
    <rPh sb="6" eb="8">
      <t>チョウジャク</t>
    </rPh>
    <phoneticPr fontId="3"/>
  </si>
  <si>
    <t>5,800円</t>
    <rPh sb="1" eb="6">
      <t>800エン</t>
    </rPh>
    <phoneticPr fontId="3"/>
  </si>
  <si>
    <t>アンバー</t>
    <phoneticPr fontId="3"/>
  </si>
  <si>
    <t>グリーンハウス</t>
  </si>
  <si>
    <t xml:space="preserve">札幌市西区山の手3条12丁目1-8 </t>
    <phoneticPr fontId="3"/>
  </si>
  <si>
    <t>スミタスパートナー株式会社</t>
    <rPh sb="9" eb="13">
      <t>カブシキガイシャ</t>
    </rPh>
    <phoneticPr fontId="3"/>
  </si>
  <si>
    <t>〒060-0807</t>
    <phoneticPr fontId="3"/>
  </si>
  <si>
    <t>メゾン・ド・グラソン</t>
    <phoneticPr fontId="3"/>
  </si>
  <si>
    <t>札幌市豊平区中の島1条10丁目8-15</t>
    <phoneticPr fontId="3"/>
  </si>
  <si>
    <t>呼0207</t>
    <phoneticPr fontId="3"/>
  </si>
  <si>
    <t>パークハイム藤野</t>
    <phoneticPr fontId="3"/>
  </si>
  <si>
    <t>札幌市南区藤野3条10丁目1-1</t>
    <phoneticPr fontId="3"/>
  </si>
  <si>
    <t>札幌市東区北22条東13丁目3-1</t>
    <phoneticPr fontId="3"/>
  </si>
  <si>
    <t>ダンディライオン</t>
    <phoneticPr fontId="3"/>
  </si>
  <si>
    <t>KOKOMO北13条</t>
    <rPh sb="6" eb="7">
      <t>キタ</t>
    </rPh>
    <rPh sb="9" eb="10">
      <t>ジョウ</t>
    </rPh>
    <phoneticPr fontId="3"/>
  </si>
  <si>
    <t>札幌市東区北13条東13丁目2-12</t>
    <rPh sb="0" eb="3">
      <t>サッポロシ</t>
    </rPh>
    <rPh sb="3" eb="5">
      <t>ヒガシク</t>
    </rPh>
    <rPh sb="5" eb="6">
      <t>キタ</t>
    </rPh>
    <rPh sb="8" eb="9">
      <t>ジョウ</t>
    </rPh>
    <rPh sb="9" eb="10">
      <t>ヒガシ</t>
    </rPh>
    <rPh sb="12" eb="14">
      <t>チョウメ</t>
    </rPh>
    <phoneticPr fontId="3"/>
  </si>
  <si>
    <t>新畳</t>
    <rPh sb="0" eb="2">
      <t>シンタタミ</t>
    </rPh>
    <phoneticPr fontId="3"/>
  </si>
  <si>
    <t>7200円</t>
    <rPh sb="4" eb="5">
      <t>エン</t>
    </rPh>
    <phoneticPr fontId="3"/>
  </si>
  <si>
    <t>畳処分</t>
    <rPh sb="0" eb="3">
      <t>タタミショブン</t>
    </rPh>
    <phoneticPr fontId="3"/>
  </si>
  <si>
    <t>1300円</t>
    <rPh sb="4" eb="5">
      <t>エン</t>
    </rPh>
    <phoneticPr fontId="3"/>
  </si>
  <si>
    <t>琉球畳処分</t>
    <rPh sb="0" eb="3">
      <t>リュウキュウタタミ</t>
    </rPh>
    <rPh sb="3" eb="5">
      <t>ショブン</t>
    </rPh>
    <phoneticPr fontId="3"/>
  </si>
  <si>
    <t>650円</t>
    <rPh sb="3" eb="4">
      <t>エン</t>
    </rPh>
    <phoneticPr fontId="3"/>
  </si>
  <si>
    <t>新畳を入れるなら500円</t>
    <rPh sb="0" eb="2">
      <t>シンタタミ</t>
    </rPh>
    <rPh sb="3" eb="4">
      <t>イ</t>
    </rPh>
    <rPh sb="11" eb="12">
      <t>エン</t>
    </rPh>
    <phoneticPr fontId="3"/>
  </si>
  <si>
    <t>株式会社ヒルズ</t>
    <rPh sb="0" eb="4">
      <t>カブシキカイシャ</t>
    </rPh>
    <phoneticPr fontId="3"/>
  </si>
  <si>
    <t>〒060-0063</t>
  </si>
  <si>
    <t>札幌市中央区南3条西4丁目20番地</t>
    <phoneticPr fontId="3"/>
  </si>
  <si>
    <t>東昌ビル</t>
  </si>
  <si>
    <t>ファミル山鼻</t>
    <phoneticPr fontId="3"/>
  </si>
  <si>
    <t>札幌市中央区南12条西14丁目1-32</t>
    <phoneticPr fontId="3"/>
  </si>
  <si>
    <t>※4100呼</t>
    <rPh sb="5" eb="6">
      <t>ヨ</t>
    </rPh>
    <phoneticPr fontId="3"/>
  </si>
  <si>
    <t>ロジェ福住</t>
    <phoneticPr fontId="3"/>
  </si>
  <si>
    <t>札幌市豊平区福住3条4丁目2番9号</t>
    <phoneticPr fontId="3"/>
  </si>
  <si>
    <t>4100</t>
    <phoneticPr fontId="3"/>
  </si>
  <si>
    <t>札幌市白石区本通12丁目南2-22</t>
    <phoneticPr fontId="3"/>
  </si>
  <si>
    <t>ジュネスパーク</t>
    <phoneticPr fontId="3"/>
  </si>
  <si>
    <t>Cross南6条</t>
    <rPh sb="5" eb="6">
      <t>ミナミ</t>
    </rPh>
    <rPh sb="7" eb="8">
      <t>ジョウ</t>
    </rPh>
    <phoneticPr fontId="3"/>
  </si>
  <si>
    <t>札幌市中央区南6条東2丁目12-4</t>
    <phoneticPr fontId="3"/>
  </si>
  <si>
    <t>単　価　表</t>
    <rPh sb="0" eb="1">
      <t>タン</t>
    </rPh>
    <rPh sb="2" eb="3">
      <t>アタイ</t>
    </rPh>
    <rPh sb="4" eb="5">
      <t>オモテ</t>
    </rPh>
    <phoneticPr fontId="3"/>
  </si>
  <si>
    <t>設備</t>
    <rPh sb="0" eb="2">
      <t>セツビ</t>
    </rPh>
    <phoneticPr fontId="3"/>
  </si>
  <si>
    <t>電気</t>
    <rPh sb="0" eb="2">
      <t>デンキ</t>
    </rPh>
    <phoneticPr fontId="3"/>
  </si>
  <si>
    <t>大工</t>
    <rPh sb="0" eb="2">
      <t>ダイク</t>
    </rPh>
    <phoneticPr fontId="3"/>
  </si>
  <si>
    <t>浴室換気扇交換　手間工賃　（材料別）</t>
    <rPh sb="0" eb="7">
      <t>ヨクシツカンキセンコウカン</t>
    </rPh>
    <rPh sb="8" eb="12">
      <t>テマコウチン</t>
    </rPh>
    <rPh sb="14" eb="17">
      <t>ザイリョウベツ</t>
    </rPh>
    <phoneticPr fontId="3"/>
  </si>
  <si>
    <t>中間ダクトファン交換　手間工賃　（材料別）</t>
    <rPh sb="0" eb="2">
      <t>チュウカン</t>
    </rPh>
    <rPh sb="8" eb="10">
      <t>コウカン</t>
    </rPh>
    <rPh sb="11" eb="15">
      <t>テマコウチン</t>
    </rPh>
    <rPh sb="17" eb="20">
      <t>ザイリョウベツ</t>
    </rPh>
    <phoneticPr fontId="3"/>
  </si>
  <si>
    <t>ボールタップ、フロート交換</t>
    <rPh sb="11" eb="13">
      <t>コウカン</t>
    </rPh>
    <phoneticPr fontId="3"/>
  </si>
  <si>
    <t>ボールタップ交換</t>
    <rPh sb="6" eb="8">
      <t>コウカン</t>
    </rPh>
    <phoneticPr fontId="3"/>
  </si>
  <si>
    <t>電球交換　E26</t>
    <rPh sb="0" eb="4">
      <t>デンキュウコウカン</t>
    </rPh>
    <phoneticPr fontId="3"/>
  </si>
  <si>
    <t>箇所</t>
    <rPh sb="0" eb="2">
      <t>カショ</t>
    </rPh>
    <phoneticPr fontId="3"/>
  </si>
  <si>
    <t>電球交換　ボール電球</t>
    <rPh sb="0" eb="4">
      <t>デンキュウコウカン</t>
    </rPh>
    <rPh sb="8" eb="10">
      <t>デンキュウ</t>
    </rPh>
    <phoneticPr fontId="3"/>
  </si>
  <si>
    <t>電球交換　ミニクリプトン球</t>
    <rPh sb="0" eb="2">
      <t>デンキュウ</t>
    </rPh>
    <rPh sb="2" eb="4">
      <t>コウカン</t>
    </rPh>
    <rPh sb="12" eb="13">
      <t>キュウ</t>
    </rPh>
    <phoneticPr fontId="3"/>
  </si>
  <si>
    <t>蛍光灯交換　２０W　グロー共</t>
    <rPh sb="0" eb="5">
      <t>ケイコウトウコウカン</t>
    </rPh>
    <rPh sb="13" eb="14">
      <t>トモ</t>
    </rPh>
    <phoneticPr fontId="3"/>
  </si>
  <si>
    <t>シーリングライト交換</t>
    <rPh sb="8" eb="10">
      <t>コウカン</t>
    </rPh>
    <phoneticPr fontId="3"/>
  </si>
  <si>
    <t>引掛けシーリング取付</t>
    <rPh sb="0" eb="2">
      <t>ヒッカ</t>
    </rPh>
    <rPh sb="8" eb="10">
      <t>トリツケ</t>
    </rPh>
    <phoneticPr fontId="3"/>
  </si>
  <si>
    <t>引っ掛けローゼット交換、取り付け</t>
    <rPh sb="0" eb="1">
      <t>ヒ</t>
    </rPh>
    <rPh sb="2" eb="3">
      <t>カ</t>
    </rPh>
    <rPh sb="9" eb="11">
      <t>コウカン</t>
    </rPh>
    <rPh sb="12" eb="13">
      <t>ト</t>
    </rPh>
    <rPh sb="14" eb="15">
      <t>ツ</t>
    </rPh>
    <phoneticPr fontId="3"/>
  </si>
  <si>
    <r>
      <t>レジスター交換　100</t>
    </r>
    <r>
      <rPr>
        <b/>
        <sz val="11"/>
        <rFont val="Calibri"/>
        <family val="3"/>
        <charset val="161"/>
      </rPr>
      <t>φ</t>
    </r>
    <rPh sb="5" eb="7">
      <t>コウカン</t>
    </rPh>
    <phoneticPr fontId="3"/>
  </si>
  <si>
    <r>
      <t>レジスター交換　150</t>
    </r>
    <r>
      <rPr>
        <b/>
        <sz val="11"/>
        <rFont val="Calibri"/>
        <family val="3"/>
        <charset val="161"/>
      </rPr>
      <t>φ</t>
    </r>
    <rPh sb="5" eb="7">
      <t>コウカン</t>
    </rPh>
    <phoneticPr fontId="3"/>
  </si>
  <si>
    <t>式</t>
    <rPh sb="0" eb="1">
      <t>シキ</t>
    </rPh>
    <phoneticPr fontId="2"/>
  </si>
  <si>
    <t>合同会社TF Qreate</t>
    <phoneticPr fontId="3"/>
  </si>
  <si>
    <t>0.9掛</t>
    <rPh sb="3" eb="4">
      <t>カ</t>
    </rPh>
    <phoneticPr fontId="3"/>
  </si>
  <si>
    <t>0.85掛</t>
    <rPh sb="4" eb="5">
      <t>カ</t>
    </rPh>
    <phoneticPr fontId="3"/>
  </si>
  <si>
    <t>　　　　　〒060-0007</t>
    <phoneticPr fontId="9"/>
  </si>
  <si>
    <t>株式会社MavieSelect</t>
    <rPh sb="0" eb="4">
      <t>カブシキカイシャ</t>
    </rPh>
    <phoneticPr fontId="9"/>
  </si>
  <si>
    <t>フェリーチェ白石中央C</t>
    <phoneticPr fontId="3"/>
  </si>
  <si>
    <t>札幌市白石区中央1条3丁目2-6</t>
    <phoneticPr fontId="3"/>
  </si>
  <si>
    <t>イシラバス藻岩</t>
    <phoneticPr fontId="3"/>
  </si>
  <si>
    <t>札幌市南区北ノ沢6丁目13-1</t>
    <phoneticPr fontId="3"/>
  </si>
  <si>
    <t>〒 007-0834</t>
    <phoneticPr fontId="3"/>
  </si>
  <si>
    <t>札幌市東区北34条東8丁目2-3</t>
    <phoneticPr fontId="3"/>
  </si>
  <si>
    <t>K-FAVE　102</t>
    <phoneticPr fontId="3"/>
  </si>
  <si>
    <t>合同会社Luca</t>
    <rPh sb="0" eb="4">
      <t>ゴウドウガイシャ</t>
    </rPh>
    <phoneticPr fontId="3"/>
  </si>
  <si>
    <t>入力フォーム</t>
    <rPh sb="0" eb="2">
      <t>ニュウリョク</t>
    </rPh>
    <phoneticPr fontId="3"/>
  </si>
  <si>
    <t>中央区</t>
  </si>
  <si>
    <t>東区</t>
  </si>
  <si>
    <t>清田区</t>
  </si>
  <si>
    <t>豊平区</t>
  </si>
  <si>
    <t>地区名</t>
  </si>
  <si>
    <t>開始行</t>
  </si>
  <si>
    <t>終了行</t>
  </si>
  <si>
    <t>北区</t>
  </si>
  <si>
    <t>南区</t>
  </si>
  <si>
    <t>白石区</t>
  </si>
  <si>
    <t>厚別区</t>
  </si>
  <si>
    <t>手稲区</t>
  </si>
  <si>
    <t>札幌市白石区栄通15丁目12-10 プロスト15  105号室</t>
    <phoneticPr fontId="3"/>
  </si>
  <si>
    <t>ドアノブにキーボックス　　3956</t>
    <phoneticPr fontId="3"/>
  </si>
  <si>
    <t>あ</t>
  </si>
  <si>
    <t>中央区</t>
    <phoneticPr fontId="3"/>
  </si>
  <si>
    <t>建物名</t>
    <rPh sb="0" eb="3">
      <t>タテモノメイ</t>
    </rPh>
    <phoneticPr fontId="3"/>
  </si>
  <si>
    <t>えりマンション</t>
  </si>
  <si>
    <t>札幌市</t>
  </si>
  <si>
    <t>呼2525</t>
  </si>
  <si>
    <t>管理会社　新規物件登録</t>
    <rPh sb="0" eb="4">
      <t>カンリガイシャ</t>
    </rPh>
    <rPh sb="5" eb="11">
      <t>シンキブッケントウロク</t>
    </rPh>
    <phoneticPr fontId="3"/>
  </si>
  <si>
    <t>列2</t>
    <rPh sb="0" eb="2">
      <t>ジュウショ</t>
    </rPh>
    <phoneticPr fontId="3"/>
  </si>
  <si>
    <t>鍵情報</t>
    <rPh sb="0" eb="3">
      <t>カギジョウホウ</t>
    </rPh>
    <phoneticPr fontId="3"/>
  </si>
  <si>
    <t>業者名</t>
    <rPh sb="0" eb="3">
      <t>ギョウシャメイ</t>
    </rPh>
    <phoneticPr fontId="3"/>
  </si>
  <si>
    <t xml:space="preserve">北海道札幌市白石区栄通15丁目12-10 </t>
  </si>
  <si>
    <t>建物名＋号室</t>
    <rPh sb="0" eb="3">
      <t>タテモノメイ</t>
    </rPh>
    <rPh sb="4" eb="6">
      <t>ゴウシツ</t>
    </rPh>
    <phoneticPr fontId="3"/>
  </si>
  <si>
    <t>プロスト15-105号室</t>
  </si>
  <si>
    <t>ドアノブにキーボックス　3956</t>
  </si>
  <si>
    <t xml:space="preserve">〒003-0021 </t>
  </si>
  <si>
    <t>　仕　様　書　（CF裁断詳細）</t>
    <rPh sb="1" eb="2">
      <t>シ</t>
    </rPh>
    <rPh sb="3" eb="4">
      <t>サマ</t>
    </rPh>
    <rPh sb="5" eb="6">
      <t>ショ</t>
    </rPh>
    <rPh sb="10" eb="12">
      <t>サイダン</t>
    </rPh>
    <rPh sb="12" eb="14">
      <t>ショウサイ</t>
    </rPh>
    <phoneticPr fontId="9"/>
  </si>
  <si>
    <t>　　　　物件名　　　　　</t>
    <rPh sb="4" eb="6">
      <t>ブッケン</t>
    </rPh>
    <rPh sb="6" eb="7">
      <t>メイ</t>
    </rPh>
    <phoneticPr fontId="9"/>
  </si>
  <si>
    <t>：</t>
    <phoneticPr fontId="9"/>
  </si>
  <si>
    <t>　　　　　住所　　　</t>
    <phoneticPr fontId="9"/>
  </si>
  <si>
    <t>品番</t>
    <rPh sb="0" eb="2">
      <t>ヒンバン</t>
    </rPh>
    <phoneticPr fontId="9"/>
  </si>
  <si>
    <t>適用箇所</t>
    <rPh sb="0" eb="4">
      <t>テキヨウカショ</t>
    </rPh>
    <phoneticPr fontId="9"/>
  </si>
  <si>
    <t>備考</t>
    <rPh sb="0" eb="2">
      <t>ビコウ</t>
    </rPh>
    <phoneticPr fontId="9"/>
  </si>
  <si>
    <t>業者登録</t>
    <rPh sb="0" eb="2">
      <t>ギョウシャ</t>
    </rPh>
    <rPh sb="2" eb="4">
      <t>トウロク</t>
    </rPh>
    <phoneticPr fontId="3"/>
  </si>
  <si>
    <t>gare福住</t>
  </si>
  <si>
    <t>札幌市豊平区福住1条1丁目7-6</t>
    <phoneticPr fontId="3"/>
  </si>
  <si>
    <t>グランパーク麻生</t>
  </si>
  <si>
    <t>札幌市北区麻生町2丁目6-29</t>
  </si>
  <si>
    <t>ユイマールハウス</t>
  </si>
  <si>
    <t>札幌市白石区北郷3条3丁目5-1</t>
  </si>
  <si>
    <t>ラクレシュール　</t>
  </si>
  <si>
    <t>札幌市中央区南8条西6丁目423-78</t>
  </si>
  <si>
    <t>工事名称</t>
    <rPh sb="0" eb="4">
      <t>コウジメイショウ</t>
    </rPh>
    <phoneticPr fontId="3"/>
  </si>
  <si>
    <t>開始日</t>
    <rPh sb="0" eb="3">
      <t>カイシビ</t>
    </rPh>
    <phoneticPr fontId="3"/>
  </si>
  <si>
    <t>完了予定日</t>
    <rPh sb="0" eb="5">
      <t>カンリョウヨテイビ</t>
    </rPh>
    <phoneticPr fontId="3"/>
  </si>
  <si>
    <t>責任者</t>
    <rPh sb="0" eb="3">
      <t>セキニンシャ</t>
    </rPh>
    <phoneticPr fontId="3"/>
  </si>
  <si>
    <t>作成者</t>
    <rPh sb="0" eb="3">
      <t>サクセイシャ</t>
    </rPh>
    <phoneticPr fontId="3"/>
  </si>
  <si>
    <t>作成日</t>
    <rPh sb="0" eb="3">
      <t>サクセイビ</t>
    </rPh>
    <phoneticPr fontId="3"/>
  </si>
  <si>
    <t>内容</t>
    <rPh sb="0" eb="2">
      <t>ナイヨウ</t>
    </rPh>
    <phoneticPr fontId="3"/>
  </si>
  <si>
    <t>業者</t>
    <rPh sb="0" eb="2">
      <t>ギョウシャ</t>
    </rPh>
    <phoneticPr fontId="3"/>
  </si>
  <si>
    <t>予定日</t>
    <rPh sb="0" eb="3">
      <t>ヨテイビ</t>
    </rPh>
    <phoneticPr fontId="3"/>
  </si>
  <si>
    <t>実績日</t>
    <rPh sb="0" eb="3">
      <t>ジッセキビ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</si>
  <si>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</si>
  <si>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</si>
  <si>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備考</t>
    <rPh sb="0" eb="2">
      <t>ビコウ</t>
    </rPh>
    <phoneticPr fontId="3"/>
  </si>
  <si>
    <t xml:space="preserve"> </t>
  </si>
  <si>
    <t>着工日</t>
    <rPh sb="0" eb="3">
      <t>チャッコウビ</t>
    </rPh>
    <phoneticPr fontId="3"/>
  </si>
  <si>
    <t>完了日</t>
    <rPh sb="0" eb="3">
      <t>カンリョウビ</t>
    </rPh>
    <phoneticPr fontId="3"/>
  </si>
  <si>
    <t>月</t>
    <phoneticPr fontId="3"/>
  </si>
  <si>
    <t>火</t>
    <phoneticPr fontId="3"/>
  </si>
  <si>
    <t>水</t>
    <phoneticPr fontId="3"/>
  </si>
  <si>
    <t>木</t>
    <phoneticPr fontId="3"/>
  </si>
  <si>
    <t>金</t>
    <phoneticPr fontId="3"/>
  </si>
  <si>
    <t>土</t>
    <phoneticPr fontId="3"/>
  </si>
  <si>
    <t>日</t>
    <phoneticPr fontId="3"/>
  </si>
  <si>
    <t>工事開始日</t>
    <rPh sb="0" eb="5">
      <t>コウジカイシビ</t>
    </rPh>
    <phoneticPr fontId="3"/>
  </si>
  <si>
    <t>担当 町田</t>
    <phoneticPr fontId="3"/>
  </si>
  <si>
    <t>工    程    表</t>
    <rPh sb="0" eb="1">
      <t>コウ</t>
    </rPh>
    <rPh sb="5" eb="6">
      <t>ホド</t>
    </rPh>
    <rPh sb="9" eb="10">
      <t>オモテ</t>
    </rPh>
    <phoneticPr fontId="3"/>
  </si>
  <si>
    <t>呼1702</t>
    <rPh sb="0" eb="1">
      <t>ヨ</t>
    </rPh>
    <phoneticPr fontId="3"/>
  </si>
  <si>
    <t>浴室鏡交換　356×508</t>
    <rPh sb="0" eb="5">
      <t>ヨクシツカガミコウカン</t>
    </rPh>
    <phoneticPr fontId="3"/>
  </si>
  <si>
    <t>ダイアパレス水車町</t>
  </si>
  <si>
    <t>札幌市豊平区水車町2丁目5-10</t>
  </si>
  <si>
    <t>有限会社オフィススズキ</t>
  </si>
  <si>
    <t>札幌市手稲区前田5条11丁目2-1-201</t>
  </si>
  <si>
    <t>〒006-0815</t>
  </si>
  <si>
    <t>S127ビル</t>
  </si>
  <si>
    <t>札幌市中央区南1条西27丁目1-29</t>
  </si>
  <si>
    <t>居間クロス張替　　　窓向かって右面</t>
    <rPh sb="0" eb="2">
      <t>イマ</t>
    </rPh>
    <rPh sb="5" eb="7">
      <t>ハリカ</t>
    </rPh>
    <rPh sb="10" eb="12">
      <t>マドム</t>
    </rPh>
    <rPh sb="15" eb="17">
      <t>ミギメン</t>
    </rPh>
    <phoneticPr fontId="3"/>
  </si>
  <si>
    <t>居間クロス張替　　　窓向かって左面</t>
    <rPh sb="0" eb="2">
      <t>イマ</t>
    </rPh>
    <rPh sb="5" eb="7">
      <t>ハリカ</t>
    </rPh>
    <rPh sb="10" eb="12">
      <t>マドム</t>
    </rPh>
    <rPh sb="15" eb="17">
      <t>ヒダリメン</t>
    </rPh>
    <phoneticPr fontId="3"/>
  </si>
  <si>
    <t>台所クロス張替　　　シンク背面</t>
    <rPh sb="0" eb="2">
      <t>ダイドコロ</t>
    </rPh>
    <rPh sb="5" eb="7">
      <t>ハリカエ</t>
    </rPh>
    <rPh sb="13" eb="15">
      <t>ハイメン</t>
    </rPh>
    <phoneticPr fontId="3"/>
  </si>
  <si>
    <t>台所クロス張替　　　ガス台右面</t>
    <rPh sb="0" eb="2">
      <t>ダイドコロ</t>
    </rPh>
    <rPh sb="5" eb="7">
      <t>ハリカ</t>
    </rPh>
    <rPh sb="12" eb="13">
      <t>ダイ</t>
    </rPh>
    <rPh sb="13" eb="15">
      <t>ミギメン</t>
    </rPh>
    <phoneticPr fontId="3"/>
  </si>
  <si>
    <t>台所クロス張替　　　ガス台左面</t>
    <rPh sb="0" eb="2">
      <t>ダイドコロ</t>
    </rPh>
    <rPh sb="5" eb="7">
      <t>ハリカ</t>
    </rPh>
    <rPh sb="12" eb="13">
      <t>ダイ</t>
    </rPh>
    <rPh sb="13" eb="15">
      <t>ヒダリメン</t>
    </rPh>
    <phoneticPr fontId="3"/>
  </si>
  <si>
    <t>洋間クロス張替  　 窓向かって右面</t>
    <rPh sb="0" eb="2">
      <t>ヨウマ</t>
    </rPh>
    <rPh sb="5" eb="7">
      <t>ハリカエ</t>
    </rPh>
    <rPh sb="11" eb="13">
      <t>マドム</t>
    </rPh>
    <rPh sb="16" eb="18">
      <t>ミギメン</t>
    </rPh>
    <phoneticPr fontId="9"/>
  </si>
  <si>
    <t>洋間クロス張替  　 窓向かって左面</t>
    <rPh sb="0" eb="2">
      <t>ヨウマ</t>
    </rPh>
    <rPh sb="5" eb="7">
      <t>ハリカエ</t>
    </rPh>
    <rPh sb="11" eb="13">
      <t>マドム</t>
    </rPh>
    <rPh sb="16" eb="17">
      <t>ヒダリ</t>
    </rPh>
    <rPh sb="17" eb="18">
      <t>メン</t>
    </rPh>
    <phoneticPr fontId="9"/>
  </si>
  <si>
    <t>居間クロス張替　　　入口面</t>
    <rPh sb="0" eb="2">
      <t>イマ</t>
    </rPh>
    <rPh sb="5" eb="7">
      <t>ハリカ</t>
    </rPh>
    <rPh sb="10" eb="13">
      <t>イリグチメン</t>
    </rPh>
    <phoneticPr fontId="3"/>
  </si>
  <si>
    <t>洋間クロス張替  　 入口面</t>
    <rPh sb="0" eb="2">
      <t>ヨウマ</t>
    </rPh>
    <rPh sb="5" eb="7">
      <t>ハリカエ</t>
    </rPh>
    <rPh sb="11" eb="14">
      <t>イリグチメン</t>
    </rPh>
    <phoneticPr fontId="9"/>
  </si>
  <si>
    <t>左洋間クロス張替　 天井</t>
    <rPh sb="0" eb="1">
      <t>ヒダリ</t>
    </rPh>
    <rPh sb="1" eb="3">
      <t>ヨウマ</t>
    </rPh>
    <rPh sb="6" eb="8">
      <t>ハリカエ</t>
    </rPh>
    <rPh sb="10" eb="12">
      <t>テンジョウ</t>
    </rPh>
    <phoneticPr fontId="9"/>
  </si>
  <si>
    <t>左洋間クロス張替　 収納　天井壁</t>
    <rPh sb="0" eb="1">
      <t>ヒダリ</t>
    </rPh>
    <rPh sb="1" eb="3">
      <t>ヨウマ</t>
    </rPh>
    <rPh sb="6" eb="8">
      <t>ハリカエ</t>
    </rPh>
    <rPh sb="10" eb="12">
      <t>シュウノウ</t>
    </rPh>
    <rPh sb="13" eb="16">
      <t>テンジョウカベ</t>
    </rPh>
    <phoneticPr fontId="9"/>
  </si>
  <si>
    <t>左洋間クロス張替　 マスキング部</t>
    <rPh sb="0" eb="1">
      <t>ヒダリ</t>
    </rPh>
    <rPh sb="1" eb="3">
      <t>ヨウマ</t>
    </rPh>
    <rPh sb="6" eb="8">
      <t>ハリカエ</t>
    </rPh>
    <rPh sb="15" eb="16">
      <t>ブ</t>
    </rPh>
    <phoneticPr fontId="9"/>
  </si>
  <si>
    <t>右洋間クロス張替　 天井</t>
    <rPh sb="0" eb="1">
      <t>ミギ</t>
    </rPh>
    <rPh sb="1" eb="3">
      <t>ヨウマ</t>
    </rPh>
    <rPh sb="6" eb="8">
      <t>ハリカエ</t>
    </rPh>
    <rPh sb="10" eb="12">
      <t>テンジョウ</t>
    </rPh>
    <phoneticPr fontId="9"/>
  </si>
  <si>
    <t>右洋間クロス張替   壁</t>
    <rPh sb="0" eb="1">
      <t>ミギ</t>
    </rPh>
    <rPh sb="1" eb="3">
      <t>ヨウマ</t>
    </rPh>
    <rPh sb="6" eb="8">
      <t>ハリカエ</t>
    </rPh>
    <rPh sb="11" eb="12">
      <t>カベ</t>
    </rPh>
    <phoneticPr fontId="9"/>
  </si>
  <si>
    <t>右洋間クロス張替　 収納　天井壁</t>
    <rPh sb="0" eb="1">
      <t>ミギ</t>
    </rPh>
    <rPh sb="1" eb="3">
      <t>ヨウマ</t>
    </rPh>
    <rPh sb="6" eb="8">
      <t>ハリカエ</t>
    </rPh>
    <rPh sb="10" eb="12">
      <t>シュウノウ</t>
    </rPh>
    <rPh sb="13" eb="16">
      <t>テンジョウカベ</t>
    </rPh>
    <phoneticPr fontId="9"/>
  </si>
  <si>
    <t>右洋間クロス張替　 マスキング部</t>
    <rPh sb="0" eb="1">
      <t>ミギ</t>
    </rPh>
    <rPh sb="1" eb="3">
      <t>ヨウマ</t>
    </rPh>
    <rPh sb="6" eb="8">
      <t>ハリカエ</t>
    </rPh>
    <rPh sb="15" eb="16">
      <t>ブ</t>
    </rPh>
    <phoneticPr fontId="9"/>
  </si>
  <si>
    <t>左洋間</t>
    <rPh sb="0" eb="3">
      <t>ヒダリヨウマ</t>
    </rPh>
    <phoneticPr fontId="9"/>
  </si>
  <si>
    <t>右洋間</t>
    <rPh sb="0" eb="3">
      <t>ミギヨウマ</t>
    </rPh>
    <phoneticPr fontId="9"/>
  </si>
  <si>
    <t>中洋間クロス張替　 天井</t>
    <rPh sb="0" eb="1">
      <t>ナカ</t>
    </rPh>
    <rPh sb="1" eb="3">
      <t>ヨウマ</t>
    </rPh>
    <rPh sb="6" eb="8">
      <t>ハリカエ</t>
    </rPh>
    <rPh sb="10" eb="12">
      <t>テンジョウ</t>
    </rPh>
    <phoneticPr fontId="9"/>
  </si>
  <si>
    <t>中洋間クロス張替　 壁</t>
    <rPh sb="0" eb="1">
      <t>ナカ</t>
    </rPh>
    <rPh sb="1" eb="3">
      <t>ヨウマ</t>
    </rPh>
    <rPh sb="6" eb="8">
      <t>ハリカエ</t>
    </rPh>
    <rPh sb="10" eb="11">
      <t>カベ</t>
    </rPh>
    <phoneticPr fontId="9"/>
  </si>
  <si>
    <t>中洋間クロス張替　 収納　天井壁</t>
    <rPh sb="0" eb="1">
      <t>ナカ</t>
    </rPh>
    <rPh sb="1" eb="3">
      <t>ヨウマ</t>
    </rPh>
    <rPh sb="6" eb="8">
      <t>ハリカエ</t>
    </rPh>
    <rPh sb="10" eb="12">
      <t>シュウノウ</t>
    </rPh>
    <rPh sb="13" eb="16">
      <t>テンジョウカベ</t>
    </rPh>
    <phoneticPr fontId="9"/>
  </si>
  <si>
    <t>中洋間クロス張替      窓向かって右面</t>
    <rPh sb="0" eb="1">
      <t>ナカ</t>
    </rPh>
    <rPh sb="1" eb="2">
      <t>ヨウ</t>
    </rPh>
    <rPh sb="2" eb="3">
      <t>カン</t>
    </rPh>
    <rPh sb="6" eb="8">
      <t>ハリカエ</t>
    </rPh>
    <rPh sb="14" eb="16">
      <t>マドム</t>
    </rPh>
    <rPh sb="19" eb="21">
      <t>ミギメン</t>
    </rPh>
    <phoneticPr fontId="9"/>
  </si>
  <si>
    <t>中洋間クロス張替      窓向かって左面</t>
    <rPh sb="0" eb="1">
      <t>ナカ</t>
    </rPh>
    <rPh sb="1" eb="2">
      <t>ヨウ</t>
    </rPh>
    <rPh sb="2" eb="3">
      <t>カン</t>
    </rPh>
    <rPh sb="6" eb="8">
      <t>ハリカエ</t>
    </rPh>
    <rPh sb="14" eb="16">
      <t>マドム</t>
    </rPh>
    <rPh sb="19" eb="20">
      <t>ヒダリ</t>
    </rPh>
    <rPh sb="20" eb="21">
      <t>メン</t>
    </rPh>
    <phoneticPr fontId="9"/>
  </si>
  <si>
    <t>中洋間クロス張替　 マスキング部</t>
    <rPh sb="0" eb="1">
      <t>ナカ</t>
    </rPh>
    <rPh sb="1" eb="3">
      <t>ヨウマ</t>
    </rPh>
    <rPh sb="6" eb="8">
      <t>ハリカエ</t>
    </rPh>
    <rPh sb="15" eb="16">
      <t>ブ</t>
    </rPh>
    <phoneticPr fontId="9"/>
  </si>
  <si>
    <t>中洋間アクセントクロス施工</t>
    <rPh sb="0" eb="1">
      <t>ナカ</t>
    </rPh>
    <rPh sb="1" eb="3">
      <t>ヨウマ</t>
    </rPh>
    <rPh sb="11" eb="13">
      <t>セコウ</t>
    </rPh>
    <phoneticPr fontId="9"/>
  </si>
  <si>
    <t>右洋間クロス張替      窓向かって右面</t>
    <rPh sb="0" eb="1">
      <t>ミギ</t>
    </rPh>
    <rPh sb="1" eb="2">
      <t>ヨウ</t>
    </rPh>
    <rPh sb="2" eb="3">
      <t>カン</t>
    </rPh>
    <rPh sb="6" eb="8">
      <t>ハリカエ</t>
    </rPh>
    <rPh sb="14" eb="16">
      <t>マドム</t>
    </rPh>
    <rPh sb="19" eb="21">
      <t>ミギメン</t>
    </rPh>
    <phoneticPr fontId="9"/>
  </si>
  <si>
    <t>右洋間クロス張替      窓向かって左面</t>
    <rPh sb="0" eb="1">
      <t>ミギ</t>
    </rPh>
    <rPh sb="1" eb="2">
      <t>ヨウ</t>
    </rPh>
    <rPh sb="2" eb="3">
      <t>カン</t>
    </rPh>
    <rPh sb="6" eb="8">
      <t>ハリカエ</t>
    </rPh>
    <rPh sb="14" eb="16">
      <t>マドム</t>
    </rPh>
    <rPh sb="19" eb="20">
      <t>ヒダリ</t>
    </rPh>
    <rPh sb="20" eb="21">
      <t>メン</t>
    </rPh>
    <phoneticPr fontId="9"/>
  </si>
  <si>
    <t>右洋間アクセントクロス施工</t>
    <rPh sb="0" eb="1">
      <t>ミギ</t>
    </rPh>
    <rPh sb="1" eb="3">
      <t>ヨウマ</t>
    </rPh>
    <rPh sb="11" eb="13">
      <t>セコウ</t>
    </rPh>
    <phoneticPr fontId="9"/>
  </si>
  <si>
    <t>LDK</t>
    <phoneticPr fontId="3"/>
  </si>
  <si>
    <t>LDK    CF貼り</t>
    <rPh sb="9" eb="10">
      <t>ハ</t>
    </rPh>
    <phoneticPr fontId="3"/>
  </si>
  <si>
    <t>LDK    CF貼り　収納含む</t>
    <rPh sb="9" eb="10">
      <t>ハ</t>
    </rPh>
    <rPh sb="12" eb="14">
      <t>シュウノウ</t>
    </rPh>
    <rPh sb="14" eb="15">
      <t>フク</t>
    </rPh>
    <phoneticPr fontId="3"/>
  </si>
  <si>
    <t>左洋間　CF貼り　</t>
    <rPh sb="0" eb="1">
      <t>ヒダリ</t>
    </rPh>
    <rPh sb="1" eb="3">
      <t>ヨウマ</t>
    </rPh>
    <rPh sb="6" eb="7">
      <t>ハ</t>
    </rPh>
    <phoneticPr fontId="9"/>
  </si>
  <si>
    <t>左洋間　CF貼り　 収納含む</t>
    <rPh sb="0" eb="1">
      <t>ヒダリ</t>
    </rPh>
    <rPh sb="1" eb="3">
      <t>ヨウマ</t>
    </rPh>
    <rPh sb="6" eb="7">
      <t>ハ</t>
    </rPh>
    <rPh sb="10" eb="13">
      <t>シュウノウフク</t>
    </rPh>
    <phoneticPr fontId="9"/>
  </si>
  <si>
    <t>右洋間　CF貼り　</t>
    <rPh sb="0" eb="1">
      <t>ミギ</t>
    </rPh>
    <rPh sb="1" eb="3">
      <t>ヨウマ</t>
    </rPh>
    <rPh sb="6" eb="7">
      <t>ハ</t>
    </rPh>
    <phoneticPr fontId="9"/>
  </si>
  <si>
    <t>右洋間　CF貼り　 収納含む</t>
    <rPh sb="0" eb="1">
      <t>ミギ</t>
    </rPh>
    <rPh sb="1" eb="3">
      <t>ヨウマ</t>
    </rPh>
    <rPh sb="6" eb="7">
      <t>ハ</t>
    </rPh>
    <rPh sb="10" eb="13">
      <t>シュウノウフク</t>
    </rPh>
    <phoneticPr fontId="9"/>
  </si>
  <si>
    <t>中洋間　CF貼り　　</t>
    <rPh sb="0" eb="1">
      <t>ナカ</t>
    </rPh>
    <rPh sb="1" eb="3">
      <t>ヨウマ</t>
    </rPh>
    <rPh sb="6" eb="7">
      <t>ハ</t>
    </rPh>
    <phoneticPr fontId="9"/>
  </si>
  <si>
    <t>中洋間　CF貼り　収納含む</t>
    <rPh sb="0" eb="1">
      <t>ナカ</t>
    </rPh>
    <rPh sb="1" eb="3">
      <t>ヨウマ</t>
    </rPh>
    <rPh sb="6" eb="7">
      <t>ハ</t>
    </rPh>
    <rPh sb="9" eb="11">
      <t>シュウノウ</t>
    </rPh>
    <rPh sb="11" eb="12">
      <t>フク</t>
    </rPh>
    <phoneticPr fontId="9"/>
  </si>
  <si>
    <t>※2341呼</t>
    <rPh sb="5" eb="6">
      <t>ヨ</t>
    </rPh>
    <phoneticPr fontId="3"/>
  </si>
  <si>
    <t>業者請求</t>
    <rPh sb="0" eb="4">
      <t>ギョウシャセイキュウ</t>
    </rPh>
    <phoneticPr fontId="3"/>
  </si>
  <si>
    <t>業者名</t>
  </si>
  <si>
    <t xml:space="preserve">管理会社  </t>
  </si>
  <si>
    <t xml:space="preserve">物件名 </t>
  </si>
  <si>
    <t>号室</t>
  </si>
  <si>
    <t xml:space="preserve">工事内容 </t>
  </si>
  <si>
    <t xml:space="preserve"> 金額</t>
  </si>
  <si>
    <t>工事完了日</t>
  </si>
  <si>
    <t xml:space="preserve"> 備考</t>
  </si>
  <si>
    <t>左洋間クロス張替      壁</t>
    <rPh sb="0" eb="1">
      <t>ヒダリ</t>
    </rPh>
    <rPh sb="1" eb="2">
      <t>ヨウ</t>
    </rPh>
    <rPh sb="2" eb="3">
      <t>カン</t>
    </rPh>
    <rPh sb="6" eb="8">
      <t>ハリカエ</t>
    </rPh>
    <rPh sb="14" eb="15">
      <t>カベ</t>
    </rPh>
    <phoneticPr fontId="9"/>
  </si>
  <si>
    <t>左洋間クロス張替      窓向かって右面</t>
    <rPh sb="0" eb="1">
      <t>ヒダリ</t>
    </rPh>
    <rPh sb="1" eb="2">
      <t>ヨウ</t>
    </rPh>
    <rPh sb="2" eb="3">
      <t>カン</t>
    </rPh>
    <rPh sb="6" eb="8">
      <t>ハリカエ</t>
    </rPh>
    <rPh sb="14" eb="16">
      <t>マドム</t>
    </rPh>
    <rPh sb="19" eb="21">
      <t>ミギメン</t>
    </rPh>
    <phoneticPr fontId="9"/>
  </si>
  <si>
    <t>左洋間クロス張替      窓向かって左面</t>
    <rPh sb="0" eb="1">
      <t>ヒダリ</t>
    </rPh>
    <rPh sb="1" eb="2">
      <t>ヨウ</t>
    </rPh>
    <rPh sb="2" eb="3">
      <t>カン</t>
    </rPh>
    <rPh sb="6" eb="8">
      <t>ハリカエ</t>
    </rPh>
    <rPh sb="14" eb="16">
      <t>マドム</t>
    </rPh>
    <rPh sb="19" eb="20">
      <t>ヒダリ</t>
    </rPh>
    <rPh sb="20" eb="21">
      <t>メン</t>
    </rPh>
    <phoneticPr fontId="9"/>
  </si>
  <si>
    <t>購入品</t>
    <rPh sb="0" eb="3">
      <t>コウニュウヒン</t>
    </rPh>
    <phoneticPr fontId="9"/>
  </si>
  <si>
    <t>アウルヴィラ</t>
    <phoneticPr fontId="3"/>
  </si>
  <si>
    <t>恵庭市黄金北2丁目3-7</t>
    <phoneticPr fontId="3"/>
  </si>
  <si>
    <t>札幌市北区北29条西14丁目1-3</t>
  </si>
  <si>
    <t>アベニュー南麻生</t>
  </si>
  <si>
    <t>株式会社北川</t>
    <rPh sb="0" eb="4">
      <t>カブシキガイシャ</t>
    </rPh>
    <rPh sb="4" eb="6">
      <t>キタガワ</t>
    </rPh>
    <phoneticPr fontId="3"/>
  </si>
  <si>
    <t>〒065-0020</t>
  </si>
  <si>
    <t>札幌市東区北20条東16丁目5-29</t>
  </si>
  <si>
    <t>西区</t>
  </si>
  <si>
    <t>札幌市西区西野6条4丁目戸建て</t>
  </si>
  <si>
    <t>西野6条4丁目戸建て</t>
  </si>
  <si>
    <t xml:space="preserve">LAPIS-LAZULI白石 </t>
  </si>
  <si>
    <t>札幌市白石区本郷通7丁目北4-1</t>
  </si>
  <si>
    <t>呼1323</t>
  </si>
  <si>
    <t>　</t>
  </si>
  <si>
    <t>2,208円</t>
    <rPh sb="1" eb="6">
      <t>208エン</t>
    </rPh>
    <phoneticPr fontId="3"/>
  </si>
  <si>
    <t>シルバー</t>
    <phoneticPr fontId="3"/>
  </si>
  <si>
    <t>アークエステートグループ株式会社</t>
    <phoneticPr fontId="3"/>
  </si>
  <si>
    <t>札幌市白石区南郷通6丁目北4-8</t>
  </si>
  <si>
    <t>ラチーマ南郷</t>
  </si>
  <si>
    <t>♯6480</t>
  </si>
  <si>
    <t>CUORE手稲本町</t>
  </si>
  <si>
    <t>札幌市手稲区手稲本町2条２丁目4-7</t>
  </si>
  <si>
    <t>10,000円</t>
    <rPh sb="2" eb="7">
      <t>000エン</t>
    </rPh>
    <phoneticPr fontId="3"/>
  </si>
  <si>
    <t>ファミィーユ4・3</t>
  </si>
  <si>
    <t>札幌市白石区北郷4条3丁目9-32</t>
  </si>
  <si>
    <t>シャトーパーク</t>
  </si>
  <si>
    <t>札幌市東区北４１条東７丁目１−２３</t>
  </si>
  <si>
    <t>南2条ビル</t>
  </si>
  <si>
    <t>札幌市中央区南2条西7丁目8-2</t>
  </si>
  <si>
    <t>Cross北5条</t>
  </si>
  <si>
    <t>札幌市中央区北5条西17丁目13-4</t>
  </si>
  <si>
    <t>INOVE札幌北16条</t>
  </si>
  <si>
    <t>アストラルパーク</t>
  </si>
  <si>
    <t>札幌市白石区本通17丁目北13-7</t>
  </si>
  <si>
    <t>※1205呼</t>
  </si>
  <si>
    <t>マーブル南郷</t>
  </si>
  <si>
    <t>札幌市豊平区月寒東5条6丁目3-10</t>
  </si>
  <si>
    <t>♯4351</t>
  </si>
  <si>
    <t>ヒュース美園A</t>
  </si>
  <si>
    <t>札幌市豊平区美園9条2丁目7-2</t>
  </si>
  <si>
    <t>札幌市西区西町北9丁目1-20</t>
  </si>
  <si>
    <t>♯2103</t>
  </si>
  <si>
    <t>アクティブプラザ厚別西</t>
  </si>
  <si>
    <t>札幌市厚別区厚別西２条４丁目２</t>
  </si>
  <si>
    <t>プレイオーネ25</t>
  </si>
  <si>
    <t xml:space="preserve"> 札幌市北区北25条西5丁目2-3 </t>
  </si>
  <si>
    <t xml:space="preserve"> #2835 </t>
  </si>
  <si>
    <t>プレイオーネN25</t>
  </si>
  <si>
    <t>AZUL　（アスール）</t>
  </si>
  <si>
    <t>札幌市中央区大通西25丁目1-2　ハートランド円山ビル5F</t>
  </si>
  <si>
    <t>MKハウス</t>
  </si>
  <si>
    <t>札幌市厚別区厚別東4条7丁目31-13</t>
  </si>
  <si>
    <t>ラ・クラッセ札幌シティフロント</t>
  </si>
  <si>
    <t>札幌市北区北十七条西4丁目1-5</t>
  </si>
  <si>
    <t>中島公園ハウス</t>
  </si>
  <si>
    <t>札幌市中央区南15条西1丁目1-30</t>
  </si>
  <si>
    <t>クイーンズフォレスト中島公園</t>
  </si>
  <si>
    <t>札幌市中央区南10条西6丁目4-1</t>
  </si>
  <si>
    <t>呼1111</t>
  </si>
  <si>
    <t>緑苑第2ビル</t>
  </si>
  <si>
    <t>札幌市中央区北４条西７丁目５</t>
  </si>
  <si>
    <t>札幌市東区北41東15丁目5-15</t>
  </si>
  <si>
    <t>カーサ栄町</t>
  </si>
  <si>
    <t>宮の森310マンション</t>
  </si>
  <si>
    <t>札幌市中央区宮の森3条10丁目1-27</t>
  </si>
  <si>
    <t>札幌市手稲区手稲本町2条5丁目2-29</t>
  </si>
  <si>
    <t>※5963呼</t>
    <rPh sb="5" eb="6">
      <t>ヨ</t>
    </rPh>
    <phoneticPr fontId="3"/>
  </si>
  <si>
    <t>ファランドール手稲Ⅰ</t>
    <rPh sb="7" eb="9">
      <t>テイネ</t>
    </rPh>
    <phoneticPr fontId="3"/>
  </si>
  <si>
    <t>札幌市手稲区手稲本町2条5丁目2-29</t>
    <rPh sb="0" eb="3">
      <t>サッポロシ</t>
    </rPh>
    <rPh sb="3" eb="6">
      <t>テイネク</t>
    </rPh>
    <rPh sb="6" eb="10">
      <t>テイネホンチョウ</t>
    </rPh>
    <rPh sb="11" eb="12">
      <t>ジョウ</t>
    </rPh>
    <rPh sb="13" eb="15">
      <t>チョウメ</t>
    </rPh>
    <phoneticPr fontId="3"/>
  </si>
  <si>
    <t>エクセレント北24条</t>
  </si>
  <si>
    <t>札幌市東区北24条東3丁目3-26</t>
  </si>
  <si>
    <t>サンコート南8条</t>
  </si>
  <si>
    <t>札幌市中央区南8条西12丁目2-7</t>
  </si>
  <si>
    <t>＃2333</t>
  </si>
  <si>
    <t xml:space="preserve">オレンジハイツⅡ </t>
  </si>
  <si>
    <t>札幌市白石区東札幌2条5丁目4-10</t>
  </si>
  <si>
    <t>2996</t>
  </si>
  <si>
    <t>メゾンクレスト北大前Ⅱ</t>
  </si>
  <si>
    <t>札幌市北区北17条西3丁目2-25</t>
  </si>
  <si>
    <t>鍵現地メールボックス
右へ2回0 左8</t>
  </si>
  <si>
    <t>R＆S</t>
  </si>
  <si>
    <t>〒063-0826</t>
  </si>
  <si>
    <t>札幌市西区発寒６条７丁目2-7</t>
  </si>
  <si>
    <t>コーポ春日　102号室</t>
  </si>
  <si>
    <t>札幌市中央区南7条西8丁目1032-3</t>
    <phoneticPr fontId="3"/>
  </si>
  <si>
    <t>札幌市中央区南11条1丁目1-18</t>
    <rPh sb="11" eb="13">
      <t>チョウメ</t>
    </rPh>
    <phoneticPr fontId="3"/>
  </si>
  <si>
    <t>札幌市豊平区美園4条1丁目3-15</t>
    <rPh sb="11" eb="13">
      <t>チョウメ</t>
    </rPh>
    <phoneticPr fontId="3"/>
  </si>
  <si>
    <t>合同会社REALHEAL</t>
    <rPh sb="0" eb="4">
      <t>ゴウドウガイシャ</t>
    </rPh>
    <phoneticPr fontId="3"/>
  </si>
  <si>
    <t>〒003-0837 </t>
  </si>
  <si>
    <t>辻ビル左</t>
  </si>
  <si>
    <t>札幌市白石区北郷7条7丁目1番10号辻　</t>
    <phoneticPr fontId="3"/>
  </si>
  <si>
    <t>札幌市豊平区旭町3丁目3-18</t>
  </si>
  <si>
    <t>0609</t>
  </si>
  <si>
    <t>メゾンふたば</t>
  </si>
  <si>
    <t>グランドール南郷１３丁目</t>
  </si>
  <si>
    <t>札幌市白石区栄通13丁目6ｰ24</t>
  </si>
  <si>
    <t>呼2341</t>
  </si>
  <si>
    <t>株式会社ASSETIA</t>
    <phoneticPr fontId="3"/>
  </si>
  <si>
    <t>札幌市東区北33条14丁目6-1</t>
  </si>
  <si>
    <t>ドムス33</t>
  </si>
  <si>
    <t>ウェリナ月寒西</t>
  </si>
  <si>
    <t>札幌市豊平区月寒西1条7丁目1-6</t>
    <phoneticPr fontId="3"/>
  </si>
  <si>
    <t>エクセル中の島 Ⅱ</t>
  </si>
  <si>
    <t>札幌市豊平区中の島1条1丁目6-23</t>
  </si>
  <si>
    <t>※3230呼</t>
    <rPh sb="5" eb="6">
      <t>ヨ</t>
    </rPh>
    <phoneticPr fontId="3"/>
  </si>
  <si>
    <t>札幌市豊平区西岡3条9丁目5-15</t>
  </si>
  <si>
    <t>ジョインタービル</t>
  </si>
  <si>
    <t>ザ・サッポロレジデンス</t>
  </si>
  <si>
    <t>札幌市中央区北5条東2丁目6-6 </t>
  </si>
  <si>
    <t>メーラヴェルデ</t>
  </si>
  <si>
    <t>札幌市豊平区福住2条3丁目4-26</t>
  </si>
  <si>
    <t>呼0881</t>
  </si>
  <si>
    <t>SP2564 / LB9882 / LB9884</t>
    <phoneticPr fontId="3"/>
  </si>
  <si>
    <t>掛率 55.0%</t>
    <phoneticPr fontId="3"/>
  </si>
  <si>
    <t>175円</t>
    <rPh sb="3" eb="4">
      <t>エン</t>
    </rPh>
    <phoneticPr fontId="3"/>
  </si>
  <si>
    <t>225円</t>
    <rPh sb="3" eb="4">
      <t>エン</t>
    </rPh>
    <phoneticPr fontId="3"/>
  </si>
  <si>
    <t>215円</t>
    <rPh sb="3" eb="4">
      <t>エン</t>
    </rPh>
    <phoneticPr fontId="3"/>
  </si>
  <si>
    <t>280円</t>
    <rPh sb="3" eb="4">
      <t>エン</t>
    </rPh>
    <phoneticPr fontId="3"/>
  </si>
  <si>
    <t>260円</t>
    <rPh sb="3" eb="4">
      <t>エン</t>
    </rPh>
    <phoneticPr fontId="3"/>
  </si>
  <si>
    <t>330円</t>
    <rPh sb="3" eb="4">
      <t>エン</t>
    </rPh>
    <phoneticPr fontId="3"/>
  </si>
  <si>
    <t>掛率 70.0%</t>
    <phoneticPr fontId="3"/>
  </si>
  <si>
    <t>掛率 66.0%</t>
    <phoneticPr fontId="3"/>
  </si>
  <si>
    <t>掛率 74.0%</t>
    <phoneticPr fontId="3"/>
  </si>
  <si>
    <t>600円</t>
    <rPh sb="3" eb="4">
      <t>エン</t>
    </rPh>
    <phoneticPr fontId="3"/>
  </si>
  <si>
    <t>3300円</t>
    <phoneticPr fontId="3"/>
  </si>
  <si>
    <t>3400円</t>
    <phoneticPr fontId="3"/>
  </si>
  <si>
    <t>4200円</t>
    <phoneticPr fontId="3"/>
  </si>
  <si>
    <t>掛率 68.0%</t>
    <phoneticPr fontId="3"/>
  </si>
  <si>
    <t>掛率 76.0%</t>
    <phoneticPr fontId="3"/>
  </si>
  <si>
    <t>2650円</t>
    <phoneticPr fontId="3"/>
  </si>
  <si>
    <t>アクアマイルド　18ｋ</t>
    <phoneticPr fontId="3"/>
  </si>
  <si>
    <t>個</t>
    <rPh sb="0" eb="1">
      <t>コ</t>
    </rPh>
    <phoneticPr fontId="3"/>
  </si>
  <si>
    <t>アクアノール　18ｋ</t>
    <phoneticPr fontId="3"/>
  </si>
  <si>
    <t>ハイライトスーパー（パテ）</t>
    <phoneticPr fontId="3"/>
  </si>
  <si>
    <t>515円</t>
    <rPh sb="3" eb="4">
      <t>エン</t>
    </rPh>
    <phoneticPr fontId="3"/>
  </si>
  <si>
    <t>285円</t>
    <rPh sb="3" eb="4">
      <t>エン</t>
    </rPh>
    <phoneticPr fontId="3"/>
  </si>
  <si>
    <t>4100円</t>
    <rPh sb="4" eb="5">
      <t>エン</t>
    </rPh>
    <phoneticPr fontId="3"/>
  </si>
  <si>
    <t>3500円</t>
    <rPh sb="4" eb="5">
      <t>エン</t>
    </rPh>
    <phoneticPr fontId="3"/>
  </si>
  <si>
    <t>3Kg×4</t>
    <phoneticPr fontId="3"/>
  </si>
  <si>
    <t>ヤヨイ　水性巾木糊スーパー3ｋ</t>
    <rPh sb="4" eb="9">
      <t>スイセイハバキノリ</t>
    </rPh>
    <phoneticPr fontId="3"/>
  </si>
  <si>
    <t>4000円</t>
    <rPh sb="4" eb="5">
      <t>エン</t>
    </rPh>
    <phoneticPr fontId="3"/>
  </si>
  <si>
    <t>5200円</t>
    <rPh sb="4" eb="5">
      <t>エン</t>
    </rPh>
    <phoneticPr fontId="3"/>
  </si>
  <si>
    <t>FL18K　　</t>
    <phoneticPr fontId="3"/>
  </si>
  <si>
    <t>8500円</t>
    <rPh sb="4" eb="5">
      <t>エン</t>
    </rPh>
    <phoneticPr fontId="3"/>
  </si>
  <si>
    <t>ダイノックシート</t>
    <phoneticPr fontId="3"/>
  </si>
  <si>
    <t>269円</t>
    <phoneticPr fontId="3"/>
  </si>
  <si>
    <t>掛率 55%</t>
    <phoneticPr fontId="3"/>
  </si>
  <si>
    <t>465円</t>
    <phoneticPr fontId="3"/>
  </si>
  <si>
    <t>1550円</t>
    <phoneticPr fontId="3"/>
  </si>
  <si>
    <t>2120円</t>
    <phoneticPr fontId="3"/>
  </si>
  <si>
    <t>3000円</t>
    <phoneticPr fontId="3"/>
  </si>
  <si>
    <t>4100円</t>
    <phoneticPr fontId="3"/>
  </si>
  <si>
    <t>4300円</t>
    <phoneticPr fontId="3"/>
  </si>
  <si>
    <t>9500円</t>
    <phoneticPr fontId="3"/>
  </si>
  <si>
    <t>5600円</t>
    <phoneticPr fontId="3"/>
  </si>
  <si>
    <t>13500円</t>
    <phoneticPr fontId="3"/>
  </si>
  <si>
    <t>5800円</t>
    <phoneticPr fontId="3"/>
  </si>
  <si>
    <t>3550円</t>
    <phoneticPr fontId="3"/>
  </si>
  <si>
    <t>4900円</t>
    <phoneticPr fontId="3"/>
  </si>
  <si>
    <t>北川</t>
    <rPh sb="0" eb="2">
      <t>キタガワ</t>
    </rPh>
    <phoneticPr fontId="3"/>
  </si>
  <si>
    <t>SP/LB</t>
    <phoneticPr fontId="3"/>
  </si>
  <si>
    <t>掲示板クロス</t>
    <rPh sb="0" eb="3">
      <t>ケイジバン</t>
    </rPh>
    <phoneticPr fontId="3"/>
  </si>
  <si>
    <t>リアテックシート</t>
    <phoneticPr fontId="3"/>
  </si>
  <si>
    <t>サンゲツ　CF 2.3㎜、3.5㎜　消臭快適</t>
    <rPh sb="18" eb="20">
      <t>ショウシュウ</t>
    </rPh>
    <rPh sb="20" eb="22">
      <t>カイテキ</t>
    </rPh>
    <phoneticPr fontId="3"/>
  </si>
  <si>
    <t>ケース</t>
    <phoneticPr fontId="3"/>
  </si>
  <si>
    <t>サンゲツ　ソフト巾木　40㎜</t>
    <rPh sb="8" eb="10">
      <t>ハバキ</t>
    </rPh>
    <phoneticPr fontId="3"/>
  </si>
  <si>
    <t>サンゲツ　ソフト巾木　60㎜</t>
    <rPh sb="8" eb="10">
      <t>ハバキ</t>
    </rPh>
    <phoneticPr fontId="3"/>
  </si>
  <si>
    <t>サンゲツ　ソフト巾木　75㎜</t>
    <rPh sb="8" eb="10">
      <t>ハバキ</t>
    </rPh>
    <phoneticPr fontId="3"/>
  </si>
  <si>
    <t>サンゲツ　ソフト巾木　100㎜</t>
    <rPh sb="8" eb="10">
      <t>ハバキ</t>
    </rPh>
    <phoneticPr fontId="3"/>
  </si>
  <si>
    <t xml:space="preserve">サンゲツ/リリカラ　CF </t>
    <phoneticPr fontId="3"/>
  </si>
  <si>
    <t>リリカラ　ソフト巾木　40㎜</t>
    <rPh sb="8" eb="10">
      <t>ハバキ</t>
    </rPh>
    <phoneticPr fontId="3"/>
  </si>
  <si>
    <t>リリカラ　ソフト巾木　60㎜</t>
    <rPh sb="8" eb="10">
      <t>ハバキ</t>
    </rPh>
    <phoneticPr fontId="3"/>
  </si>
  <si>
    <t>リリカラ　ソフト巾木　75㎜</t>
    <rPh sb="8" eb="10">
      <t>ハバキ</t>
    </rPh>
    <phoneticPr fontId="3"/>
  </si>
  <si>
    <t>リリカラ　ソフト巾木　100㎜</t>
    <rPh sb="8" eb="10">
      <t>ハバキ</t>
    </rPh>
    <phoneticPr fontId="3"/>
  </si>
  <si>
    <t>への字　シルバー　3.64ｍ</t>
    <rPh sb="2" eb="3">
      <t>ジ</t>
    </rPh>
    <phoneticPr fontId="3"/>
  </si>
  <si>
    <t>への字　シルバー　1.82ｍ</t>
    <rPh sb="2" eb="3">
      <t>ジ</t>
    </rPh>
    <phoneticPr fontId="3"/>
  </si>
  <si>
    <t>への字　シルバー　0.91ｍ</t>
    <rPh sb="2" eb="3">
      <t>ジ</t>
    </rPh>
    <phoneticPr fontId="3"/>
  </si>
  <si>
    <t>への字　アンバー　3.64ｍ</t>
    <rPh sb="2" eb="3">
      <t>ジ</t>
    </rPh>
    <phoneticPr fontId="3"/>
  </si>
  <si>
    <t>への字　アンバー　1.82ｍ</t>
    <rPh sb="2" eb="3">
      <t>ジ</t>
    </rPh>
    <phoneticPr fontId="3"/>
  </si>
  <si>
    <t>への字　アンバー　0.91ｍ</t>
    <rPh sb="2" eb="3">
      <t>ジ</t>
    </rPh>
    <phoneticPr fontId="3"/>
  </si>
  <si>
    <t>障子　ワーロン　雲竜　15ｍ</t>
    <rPh sb="0" eb="2">
      <t>ショウジ</t>
    </rPh>
    <rPh sb="8" eb="10">
      <t>ウンリュウ</t>
    </rPh>
    <phoneticPr fontId="3"/>
  </si>
  <si>
    <t>巻</t>
    <rPh sb="0" eb="1">
      <t>マ</t>
    </rPh>
    <phoneticPr fontId="3"/>
  </si>
  <si>
    <t>障子　ワーロン　雲竜　30ｍ</t>
    <rPh sb="0" eb="2">
      <t>ショウジ</t>
    </rPh>
    <rPh sb="8" eb="10">
      <t>ウンリュウ</t>
    </rPh>
    <phoneticPr fontId="3"/>
  </si>
  <si>
    <t>650円</t>
    <phoneticPr fontId="3"/>
  </si>
  <si>
    <t>3090円</t>
    <rPh sb="4" eb="5">
      <t>エン</t>
    </rPh>
    <phoneticPr fontId="3"/>
  </si>
  <si>
    <t>3280円</t>
    <rPh sb="4" eb="5">
      <t>エン</t>
    </rPh>
    <phoneticPr fontId="3"/>
  </si>
  <si>
    <t>3690円</t>
    <rPh sb="4" eb="5">
      <t>エン</t>
    </rPh>
    <phoneticPr fontId="3"/>
  </si>
  <si>
    <t>4490円</t>
    <rPh sb="4" eb="5">
      <t>エン</t>
    </rPh>
    <phoneticPr fontId="3"/>
  </si>
  <si>
    <t>3900円</t>
    <rPh sb="4" eb="5">
      <t>エン</t>
    </rPh>
    <phoneticPr fontId="3"/>
  </si>
  <si>
    <t>4150円</t>
    <rPh sb="4" eb="5">
      <t>エン</t>
    </rPh>
    <phoneticPr fontId="3"/>
  </si>
  <si>
    <t>4800円</t>
    <rPh sb="4" eb="5">
      <t>エン</t>
    </rPh>
    <phoneticPr fontId="3"/>
  </si>
  <si>
    <t>6200円</t>
    <rPh sb="4" eb="5">
      <t>エン</t>
    </rPh>
    <phoneticPr fontId="3"/>
  </si>
  <si>
    <t>1850円</t>
    <rPh sb="4" eb="5">
      <t>エン</t>
    </rPh>
    <phoneticPr fontId="3"/>
  </si>
  <si>
    <t>1540円</t>
    <rPh sb="4" eb="5">
      <t>エン</t>
    </rPh>
    <phoneticPr fontId="3"/>
  </si>
  <si>
    <t>900円</t>
    <rPh sb="3" eb="4">
      <t>エン</t>
    </rPh>
    <phoneticPr fontId="3"/>
  </si>
  <si>
    <t>2600円</t>
    <rPh sb="4" eb="5">
      <t>エン</t>
    </rPh>
    <phoneticPr fontId="3"/>
  </si>
  <si>
    <t>2100円</t>
    <rPh sb="4" eb="5">
      <t>エン</t>
    </rPh>
    <phoneticPr fontId="3"/>
  </si>
  <si>
    <t>1180円</t>
    <rPh sb="4" eb="5">
      <t>エン</t>
    </rPh>
    <phoneticPr fontId="3"/>
  </si>
  <si>
    <t>6500円</t>
    <rPh sb="4" eb="5">
      <t>エン</t>
    </rPh>
    <phoneticPr fontId="3"/>
  </si>
  <si>
    <t>11700円</t>
    <rPh sb="5" eb="6">
      <t>エン</t>
    </rPh>
    <phoneticPr fontId="3"/>
  </si>
  <si>
    <t>70％</t>
    <phoneticPr fontId="3"/>
  </si>
  <si>
    <t>58％</t>
    <phoneticPr fontId="3"/>
  </si>
  <si>
    <t>1780円</t>
    <rPh sb="4" eb="5">
      <t>エン</t>
    </rPh>
    <phoneticPr fontId="3"/>
  </si>
  <si>
    <t>57％</t>
    <phoneticPr fontId="3"/>
  </si>
  <si>
    <t>株式会社リレイト</t>
    <phoneticPr fontId="3"/>
  </si>
  <si>
    <t>〒060-0041</t>
    <phoneticPr fontId="3"/>
  </si>
  <si>
    <t>札幌市中央区大通東2丁目15-1</t>
    <phoneticPr fontId="3"/>
  </si>
  <si>
    <t>サラサビル 4F</t>
    <phoneticPr fontId="3"/>
  </si>
  <si>
    <t>フェアフィールド白石</t>
    <phoneticPr fontId="3"/>
  </si>
  <si>
    <t>札幌市白石区本郷通6丁目南2-21</t>
    <phoneticPr fontId="3"/>
  </si>
  <si>
    <t>ルグラン中の島2号館</t>
  </si>
  <si>
    <t>札幌市豊平区中の島2条7丁目4-5</t>
  </si>
  <si>
    <t>アートジール</t>
  </si>
  <si>
    <t>〒</t>
  </si>
  <si>
    <t>　発　注　書</t>
    <rPh sb="1" eb="2">
      <t>ハッ</t>
    </rPh>
    <rPh sb="3" eb="4">
      <t>チュウ</t>
    </rPh>
    <rPh sb="5" eb="6">
      <t>ショ</t>
    </rPh>
    <phoneticPr fontId="3"/>
  </si>
  <si>
    <t>　見　積　依　頼　書</t>
    <rPh sb="1" eb="2">
      <t>ミ</t>
    </rPh>
    <rPh sb="3" eb="4">
      <t>セキ</t>
    </rPh>
    <rPh sb="5" eb="6">
      <t>イ</t>
    </rPh>
    <rPh sb="7" eb="8">
      <t>ライ</t>
    </rPh>
    <rPh sb="9" eb="10">
      <t>ショ</t>
    </rPh>
    <phoneticPr fontId="3"/>
  </si>
  <si>
    <t>戸当たりゴム取付</t>
    <rPh sb="0" eb="2">
      <t>トア</t>
    </rPh>
    <rPh sb="6" eb="8">
      <t>トリツケ</t>
    </rPh>
    <phoneticPr fontId="3"/>
  </si>
  <si>
    <t>TVモニターホン取付</t>
    <rPh sb="8" eb="10">
      <t>トリツケ</t>
    </rPh>
    <phoneticPr fontId="3"/>
  </si>
  <si>
    <r>
      <t>新規ダウンライト取付　100</t>
    </r>
    <r>
      <rPr>
        <b/>
        <sz val="11"/>
        <rFont val="Calibri"/>
        <family val="3"/>
        <charset val="161"/>
      </rPr>
      <t>φ</t>
    </r>
    <rPh sb="0" eb="2">
      <t>シンキ</t>
    </rPh>
    <rPh sb="8" eb="10">
      <t>トリツケ</t>
    </rPh>
    <phoneticPr fontId="3"/>
  </si>
  <si>
    <r>
      <t>新規ダウンライト取付　150</t>
    </r>
    <r>
      <rPr>
        <b/>
        <sz val="11"/>
        <rFont val="Calibri"/>
        <family val="3"/>
        <charset val="161"/>
      </rPr>
      <t>φ</t>
    </r>
    <rPh sb="0" eb="2">
      <t>シンキ</t>
    </rPh>
    <rPh sb="8" eb="10">
      <t>トリツケ</t>
    </rPh>
    <phoneticPr fontId="3"/>
  </si>
  <si>
    <r>
      <t>ダウンライト交換　100</t>
    </r>
    <r>
      <rPr>
        <b/>
        <sz val="11"/>
        <rFont val="Calibri"/>
        <family val="3"/>
        <charset val="161"/>
      </rPr>
      <t>φ</t>
    </r>
    <rPh sb="6" eb="8">
      <t>コウカン</t>
    </rPh>
    <phoneticPr fontId="3"/>
  </si>
  <si>
    <r>
      <t>ダウンライト交換　150</t>
    </r>
    <r>
      <rPr>
        <b/>
        <sz val="11"/>
        <rFont val="Calibri"/>
        <family val="3"/>
        <charset val="161"/>
      </rPr>
      <t>φ</t>
    </r>
    <rPh sb="6" eb="8">
      <t>コウカン</t>
    </rPh>
    <phoneticPr fontId="3"/>
  </si>
  <si>
    <t>スイッチ、コンセントプレート交換</t>
    <rPh sb="14" eb="16">
      <t>コウカン</t>
    </rPh>
    <phoneticPr fontId="3"/>
  </si>
  <si>
    <t>浴室鏡交換　400×500</t>
    <rPh sb="0" eb="5">
      <t>ヨクシツカガミコウカン</t>
    </rPh>
    <phoneticPr fontId="3"/>
  </si>
  <si>
    <t>オーバーフロー管交換　タンク脱着含む</t>
    <rPh sb="7" eb="8">
      <t>カン</t>
    </rPh>
    <rPh sb="8" eb="10">
      <t>コウカン</t>
    </rPh>
    <rPh sb="14" eb="16">
      <t>ダッチャク</t>
    </rPh>
    <rPh sb="16" eb="17">
      <t>フク</t>
    </rPh>
    <phoneticPr fontId="2"/>
  </si>
  <si>
    <t>シャンプードレッサー交換　W600</t>
    <rPh sb="10" eb="12">
      <t>コウカン</t>
    </rPh>
    <phoneticPr fontId="3"/>
  </si>
  <si>
    <t>シャンプードレッサー交換　W600　横引き配管</t>
    <rPh sb="10" eb="12">
      <t>コウカン</t>
    </rPh>
    <rPh sb="18" eb="20">
      <t>ヨコビ</t>
    </rPh>
    <rPh sb="21" eb="23">
      <t>ハイカン</t>
    </rPh>
    <phoneticPr fontId="3"/>
  </si>
  <si>
    <t>シャンプードレッサー交換　W750</t>
    <rPh sb="10" eb="12">
      <t>コウカン</t>
    </rPh>
    <phoneticPr fontId="3"/>
  </si>
  <si>
    <t>クロスコート合同会社</t>
  </si>
  <si>
    <t>札幌市北区北11条西2丁目1-24</t>
  </si>
  <si>
    <t>呼2942</t>
  </si>
  <si>
    <t>札幌市東区北26条東19丁目3</t>
  </si>
  <si>
    <t>フィオーレ元町Ⅱ</t>
  </si>
  <si>
    <t>フラットホーム合同会社</t>
  </si>
  <si>
    <t>札幌市北区新琴似1条11丁目3-12</t>
  </si>
  <si>
    <t>1,800円</t>
    <rPh sb="1" eb="6">
      <t>800エン</t>
    </rPh>
    <phoneticPr fontId="3"/>
  </si>
  <si>
    <t>合同会社東勝</t>
    <phoneticPr fontId="3"/>
  </si>
  <si>
    <t>札幌市北区新琴似1条11丁目3-12</t>
    <rPh sb="0" eb="2">
      <t>サッポロ</t>
    </rPh>
    <rPh sb="2" eb="3">
      <t>シ</t>
    </rPh>
    <rPh sb="3" eb="4">
      <t>キタ</t>
    </rPh>
    <rPh sb="4" eb="5">
      <t>ク</t>
    </rPh>
    <rPh sb="5" eb="8">
      <t>シンコトニ</t>
    </rPh>
    <phoneticPr fontId="3"/>
  </si>
  <si>
    <t>〒</t>
    <phoneticPr fontId="3"/>
  </si>
  <si>
    <t>ファインクラス札幌琴似</t>
  </si>
  <si>
    <t>札幌市西区琴似1条1丁目7-25</t>
  </si>
  <si>
    <t>Elate幌平橋</t>
  </si>
  <si>
    <t>札幌市中央区南14条西6丁目5-10</t>
  </si>
  <si>
    <t>株式会社二瓶不動産</t>
  </si>
  <si>
    <t>クルーザーバレータワーS2</t>
  </si>
  <si>
    <t xml:space="preserve">札幌市中央区南2条西8丁目11-1 </t>
  </si>
  <si>
    <t>札幌市北区北9条西4丁目7-4</t>
  </si>
  <si>
    <t>エルムビル8階　テナント</t>
  </si>
  <si>
    <t>株式会社暮らしのReborn</t>
  </si>
  <si>
    <t>札幌市南区石山4条6丁目1-20</t>
  </si>
  <si>
    <t>ヴィアーレ20</t>
  </si>
  <si>
    <t>札幌市東区北20条東15丁目4-18</t>
  </si>
  <si>
    <t>クレアシティ大通公園</t>
  </si>
  <si>
    <t>札幌市中央区大通西8丁目2-40</t>
  </si>
  <si>
    <t>ガラスフィルム（GF）</t>
    <phoneticPr fontId="3"/>
  </si>
  <si>
    <t>3240円</t>
    <rPh sb="4" eb="5">
      <t>エン</t>
    </rPh>
    <phoneticPr fontId="3"/>
  </si>
  <si>
    <t>TERRACE SOEN</t>
  </si>
  <si>
    <t>札幌市中央区北9条西18丁目36-33　</t>
  </si>
  <si>
    <t>呼1025</t>
  </si>
  <si>
    <t>竹内建設株式会社</t>
    <rPh sb="0" eb="4">
      <t>タケウチケンセツ</t>
    </rPh>
    <rPh sb="4" eb="8">
      <t>カブシキガイシャ</t>
    </rPh>
    <phoneticPr fontId="3"/>
  </si>
  <si>
    <t>〒062-0051</t>
  </si>
  <si>
    <t>札幌市豊平区月寒東1条18丁目1番35号</t>
  </si>
  <si>
    <t>札幌市豊平区平岸４条８丁目7-15</t>
  </si>
  <si>
    <t>GLORY平岸</t>
  </si>
  <si>
    <t>ブリス澄川1条　</t>
  </si>
  <si>
    <t>札幌市南区澄川1条3丁目3-11</t>
  </si>
  <si>
    <t>雑工事、その他</t>
    <rPh sb="0" eb="1">
      <t>ザツ</t>
    </rPh>
    <rPh sb="1" eb="3">
      <t>コウジ</t>
    </rPh>
    <rPh sb="6" eb="7">
      <t>タ</t>
    </rPh>
    <phoneticPr fontId="3"/>
  </si>
  <si>
    <t>浴室サーモ混合栓取付　壁付け　</t>
    <rPh sb="0" eb="2">
      <t>ヨクシツ</t>
    </rPh>
    <rPh sb="5" eb="8">
      <t>コンゴウセン</t>
    </rPh>
    <rPh sb="8" eb="10">
      <t>トリツケ</t>
    </rPh>
    <rPh sb="11" eb="13">
      <t>カベツ</t>
    </rPh>
    <phoneticPr fontId="3"/>
  </si>
  <si>
    <t>浴室混合栓交換　２ハンドル　ワンストップなし　壁付け</t>
    <rPh sb="0" eb="2">
      <t>ヨクシツ</t>
    </rPh>
    <rPh sb="2" eb="7">
      <t>コンゴウセンコウカン</t>
    </rPh>
    <rPh sb="23" eb="25">
      <t>カベツ</t>
    </rPh>
    <phoneticPr fontId="3"/>
  </si>
  <si>
    <t>浴室混合栓交換　２ハンドル　ワンストップあり　壁付け</t>
    <rPh sb="0" eb="2">
      <t>ヨクシツ</t>
    </rPh>
    <rPh sb="2" eb="7">
      <t>コンゴウセンコウカン</t>
    </rPh>
    <rPh sb="23" eb="25">
      <t>カベツ</t>
    </rPh>
    <phoneticPr fontId="3"/>
  </si>
  <si>
    <t>浴室混合栓交換　２ハンドル　台付き</t>
    <rPh sb="0" eb="2">
      <t>ヨクシツ</t>
    </rPh>
    <rPh sb="2" eb="7">
      <t>コンゴウセンコウカン</t>
    </rPh>
    <rPh sb="14" eb="16">
      <t>ダイツ</t>
    </rPh>
    <phoneticPr fontId="3"/>
  </si>
  <si>
    <t>式</t>
    <rPh sb="0" eb="1">
      <t>シキ</t>
    </rPh>
    <phoneticPr fontId="3"/>
  </si>
  <si>
    <t>台</t>
  </si>
  <si>
    <t>浴室サーモ混合栓取付　台付き　BF-WM646TSG(300)-AMZ</t>
    <rPh sb="0" eb="2">
      <t>ヨクシツ</t>
    </rPh>
    <rPh sb="5" eb="8">
      <t>コンゴウセン</t>
    </rPh>
    <rPh sb="8" eb="10">
      <t>トリツケ</t>
    </rPh>
    <rPh sb="11" eb="13">
      <t>ダイツ</t>
    </rPh>
    <phoneticPr fontId="3"/>
  </si>
  <si>
    <t>台所混合栓交換　2ハンドル　台付き</t>
    <rPh sb="0" eb="2">
      <t>ダイドコロ</t>
    </rPh>
    <rPh sb="2" eb="7">
      <t>コンゴウセンコウカン</t>
    </rPh>
    <rPh sb="14" eb="15">
      <t>ダイ</t>
    </rPh>
    <rPh sb="15" eb="16">
      <t>ツ</t>
    </rPh>
    <phoneticPr fontId="3"/>
  </si>
  <si>
    <t>台所混合栓交換　シングルレバー　壁付け</t>
    <rPh sb="0" eb="2">
      <t>ダイドコロ</t>
    </rPh>
    <rPh sb="2" eb="7">
      <t>コンゴウセンコウカン</t>
    </rPh>
    <rPh sb="16" eb="18">
      <t>カベツ</t>
    </rPh>
    <phoneticPr fontId="3"/>
  </si>
  <si>
    <t>台所混合栓交換　シングルレバー　台付き</t>
    <rPh sb="0" eb="2">
      <t>ダイドコロ</t>
    </rPh>
    <rPh sb="2" eb="7">
      <t>コンゴウセンコウカン</t>
    </rPh>
    <rPh sb="16" eb="17">
      <t>ダイ</t>
    </rPh>
    <rPh sb="17" eb="18">
      <t>ツ</t>
    </rPh>
    <phoneticPr fontId="3"/>
  </si>
  <si>
    <t>台所混合栓交換　2ハンドル　壁付け</t>
    <rPh sb="0" eb="2">
      <t>ダイドコロ</t>
    </rPh>
    <rPh sb="2" eb="7">
      <t>コンゴウセンコウカン</t>
    </rPh>
    <rPh sb="14" eb="16">
      <t>カベツ</t>
    </rPh>
    <phoneticPr fontId="3"/>
  </si>
  <si>
    <t>室内物干し新設　コンクリート取付用部材使用</t>
    <rPh sb="0" eb="4">
      <t>シツナイモノホ</t>
    </rPh>
    <phoneticPr fontId="3"/>
  </si>
  <si>
    <t>台所手元灯交換　LED　２０W相当</t>
    <rPh sb="0" eb="2">
      <t>ダイドコロ</t>
    </rPh>
    <rPh sb="2" eb="5">
      <t>テモトトウ</t>
    </rPh>
    <rPh sb="5" eb="7">
      <t>コウカン</t>
    </rPh>
    <rPh sb="15" eb="17">
      <t>ソウトウ</t>
    </rPh>
    <phoneticPr fontId="3"/>
  </si>
  <si>
    <t>台所手元灯交換　LED 1５W相当</t>
    <rPh sb="0" eb="7">
      <t>ダイドコロテモトトウコウカン</t>
    </rPh>
    <rPh sb="15" eb="17">
      <t>ソウトウ</t>
    </rPh>
    <phoneticPr fontId="3"/>
  </si>
  <si>
    <t>レンジフード交換　W600</t>
    <rPh sb="6" eb="8">
      <t>コウカン</t>
    </rPh>
    <phoneticPr fontId="3"/>
  </si>
  <si>
    <t>畳表替え</t>
    <rPh sb="0" eb="1">
      <t>タタミ</t>
    </rPh>
    <rPh sb="1" eb="3">
      <t>オモテガ</t>
    </rPh>
    <phoneticPr fontId="3"/>
  </si>
  <si>
    <t>枚</t>
    <rPh sb="0" eb="1">
      <t>マイ</t>
    </rPh>
    <phoneticPr fontId="3"/>
  </si>
  <si>
    <t>新畳</t>
    <rPh sb="0" eb="2">
      <t>シンタタミ</t>
    </rPh>
    <phoneticPr fontId="3"/>
  </si>
  <si>
    <t>畳撤去処分</t>
    <rPh sb="0" eb="5">
      <t>タタミテッキョショブン</t>
    </rPh>
    <phoneticPr fontId="3"/>
  </si>
  <si>
    <t>ストーブ分解清掃</t>
    <rPh sb="4" eb="6">
      <t>ブンカイ</t>
    </rPh>
    <rPh sb="6" eb="8">
      <t>セイソウ</t>
    </rPh>
    <phoneticPr fontId="3"/>
  </si>
  <si>
    <t>エアコン洗浄</t>
    <rPh sb="4" eb="6">
      <t>センジョウ</t>
    </rPh>
    <phoneticPr fontId="3"/>
  </si>
  <si>
    <t>キッチンパネル上張り　※　パネル3枚使用（器具脱着別途）</t>
    <rPh sb="7" eb="9">
      <t>ウワバ</t>
    </rPh>
    <rPh sb="17" eb="18">
      <t>マイ</t>
    </rPh>
    <rPh sb="18" eb="20">
      <t>シヨウ</t>
    </rPh>
    <rPh sb="21" eb="23">
      <t>キグ</t>
    </rPh>
    <rPh sb="23" eb="25">
      <t>ダッチャク</t>
    </rPh>
    <rPh sb="25" eb="27">
      <t>ベット</t>
    </rPh>
    <phoneticPr fontId="3"/>
  </si>
  <si>
    <t>ライオンズマンション中島公園通り</t>
  </si>
  <si>
    <t>札幌市中央区南11条西1丁目4-15</t>
  </si>
  <si>
    <t>メゾンリラ</t>
  </si>
  <si>
    <t>札幌市中央区南25条西14丁目3-12</t>
  </si>
  <si>
    <t>札幌市南区川沿4条4丁目13-20</t>
  </si>
  <si>
    <t>コーポ楡</t>
  </si>
  <si>
    <t>エクセル琴似</t>
  </si>
  <si>
    <t>札幌市西区二十四軒4条4丁目9-26</t>
  </si>
  <si>
    <t>※3230</t>
  </si>
  <si>
    <t>呼2600</t>
    <rPh sb="0" eb="1">
      <t>ヨ</t>
    </rPh>
    <phoneticPr fontId="3"/>
  </si>
  <si>
    <t>29,500円</t>
    <rPh sb="2" eb="7">
      <t>500エン</t>
    </rPh>
    <phoneticPr fontId="3"/>
  </si>
  <si>
    <t>32,500円</t>
    <rPh sb="2" eb="7">
      <t>500エン</t>
    </rPh>
    <phoneticPr fontId="3"/>
  </si>
  <si>
    <t>21,500円</t>
    <rPh sb="2" eb="7">
      <t>500エン</t>
    </rPh>
    <phoneticPr fontId="3"/>
  </si>
  <si>
    <t>23,500円</t>
    <rPh sb="2" eb="7">
      <t>500エン</t>
    </rPh>
    <phoneticPr fontId="3"/>
  </si>
  <si>
    <t>掛率　48％</t>
    <rPh sb="0" eb="2">
      <t>カケリツ</t>
    </rPh>
    <phoneticPr fontId="3"/>
  </si>
  <si>
    <t>ビヨンド麻生</t>
  </si>
  <si>
    <t>札幌市北区北36条西3丁目2-20</t>
  </si>
  <si>
    <t>札幌市白市区東札幌二条3丁目7－47</t>
  </si>
  <si>
    <t>メゾン睦</t>
  </si>
  <si>
    <t>札幌市手稲区稲穂1条2丁目7-18</t>
  </si>
  <si>
    <t>EPIC12</t>
  </si>
  <si>
    <t>シャーメゾンE</t>
  </si>
  <si>
    <t>札幌市東区東雁来10条2丁目1-6</t>
  </si>
  <si>
    <t>株式会社鏑木石材建築</t>
  </si>
  <si>
    <t>畳処分のみ</t>
    <rPh sb="0" eb="3">
      <t>タタミショブン</t>
    </rPh>
    <phoneticPr fontId="3"/>
  </si>
  <si>
    <t>1,500円</t>
    <rPh sb="1" eb="6">
      <t>500エン</t>
    </rPh>
    <phoneticPr fontId="3"/>
  </si>
  <si>
    <t>新畳を入れた場合</t>
    <rPh sb="0" eb="2">
      <t>シンタタミ</t>
    </rPh>
    <rPh sb="3" eb="4">
      <t>イ</t>
    </rPh>
    <rPh sb="6" eb="8">
      <t>バアイ</t>
    </rPh>
    <phoneticPr fontId="3"/>
  </si>
  <si>
    <t>3,800円</t>
    <rPh sb="1" eb="6">
      <t>800エン</t>
    </rPh>
    <phoneticPr fontId="3"/>
  </si>
  <si>
    <t>ロジェ札幌25</t>
  </si>
  <si>
    <t>札幌市中央区南2条西5丁目6-1</t>
  </si>
  <si>
    <t>ダイヤパレス北34条</t>
  </si>
  <si>
    <t>札幌市北区北34条西5丁目1-3</t>
  </si>
  <si>
    <t>Louvre元江別Ⅱ</t>
  </si>
  <si>
    <t>江別市元江別本町３７番</t>
  </si>
  <si>
    <t>市街</t>
  </si>
  <si>
    <t>札幌市北区北20条西4丁目1-16</t>
  </si>
  <si>
    <t>ハルガーデン・パリス</t>
  </si>
  <si>
    <t>札幌市白石区本郷通8丁目南5-6</t>
  </si>
  <si>
    <t>キッチンパネル　3×6　BKP-6</t>
  </si>
  <si>
    <t>ジョイナー　H型</t>
    <rPh sb="7" eb="8">
      <t>ガタ</t>
    </rPh>
    <phoneticPr fontId="3"/>
  </si>
  <si>
    <t>ジョイナー　コ型</t>
    <rPh sb="7" eb="8">
      <t>ガタ</t>
    </rPh>
    <phoneticPr fontId="3"/>
  </si>
  <si>
    <t>アイカ　ボンド</t>
  </si>
  <si>
    <t>アイカ　テープ</t>
  </si>
  <si>
    <t>7400円</t>
    <rPh sb="4" eb="5">
      <t>エン</t>
    </rPh>
    <phoneticPr fontId="3"/>
  </si>
  <si>
    <t>310円</t>
    <rPh sb="3" eb="4">
      <t>エン</t>
    </rPh>
    <phoneticPr fontId="3"/>
  </si>
  <si>
    <t>380円</t>
    <rPh sb="3" eb="4">
      <t>エン</t>
    </rPh>
    <phoneticPr fontId="3"/>
  </si>
  <si>
    <t>590円</t>
    <rPh sb="3" eb="4">
      <t>エン</t>
    </rPh>
    <phoneticPr fontId="3"/>
  </si>
  <si>
    <t>420円</t>
    <rPh sb="3" eb="4">
      <t>エン</t>
    </rPh>
    <phoneticPr fontId="3"/>
  </si>
  <si>
    <t>本</t>
    <rPh sb="0" eb="1">
      <t>ホン</t>
    </rPh>
    <phoneticPr fontId="3"/>
  </si>
  <si>
    <t>巻</t>
    <rPh sb="0" eb="1">
      <t>マ</t>
    </rPh>
    <phoneticPr fontId="3"/>
  </si>
  <si>
    <t>2,976円</t>
    <rPh sb="1" eb="6">
      <t>976エン</t>
    </rPh>
    <phoneticPr fontId="3"/>
  </si>
  <si>
    <t>タジマ　Pタイル　50枚</t>
    <rPh sb="11" eb="12">
      <t>マイ</t>
    </rPh>
    <phoneticPr fontId="3"/>
  </si>
  <si>
    <t>ケース</t>
    <phoneticPr fontId="3"/>
  </si>
  <si>
    <t>8,100円</t>
    <rPh sb="1" eb="6">
      <t>100エン</t>
    </rPh>
    <phoneticPr fontId="3"/>
  </si>
  <si>
    <t>マチコV　50枚</t>
    <rPh sb="7" eb="8">
      <t>マイ</t>
    </rPh>
    <phoneticPr fontId="3"/>
  </si>
  <si>
    <t>↑　物件名の一部を入力して検索ができます。</t>
    <rPh sb="2" eb="4">
      <t>ブッケン</t>
    </rPh>
    <rPh sb="4" eb="5">
      <t>メイ</t>
    </rPh>
    <rPh sb="6" eb="8">
      <t>イチブ</t>
    </rPh>
    <rPh sb="9" eb="11">
      <t>ニュウリョク</t>
    </rPh>
    <rPh sb="13" eb="15">
      <t>ケンサク</t>
    </rPh>
    <phoneticPr fontId="3"/>
  </si>
  <si>
    <t>INOVE札幌中島公園 203号室</t>
  </si>
  <si>
    <t>株式会社　鏑木石材建築</t>
  </si>
  <si>
    <t>坂下清掃</t>
  </si>
  <si>
    <t>PLAZA IN SHINKAWA</t>
  </si>
  <si>
    <t>札幌市北区新川西3条4丁目6‐12</t>
  </si>
  <si>
    <t>レント二十四軒</t>
  </si>
  <si>
    <t>札幌市西区二十四軒3条7丁目1-1</t>
  </si>
  <si>
    <t>札幌市白石区栄通9丁目1-9</t>
  </si>
  <si>
    <t>カーサフロレセル</t>
  </si>
  <si>
    <t>BONZO</t>
  </si>
  <si>
    <t>札幌市手稲区手稲本町2条3丁目9-15</t>
  </si>
  <si>
    <t>Relate平岸</t>
  </si>
  <si>
    <t>札幌市豊平区平岸2条８丁目3-12</t>
  </si>
  <si>
    <t>呼0208</t>
    <rPh sb="0" eb="1">
      <t>ヨブ</t>
    </rPh>
    <phoneticPr fontId="3"/>
  </si>
  <si>
    <t>うるおいの家真駒内</t>
  </si>
  <si>
    <t>札幌市南区真駒内柏丘11丁目1-100</t>
  </si>
  <si>
    <t>エクセル学園前</t>
  </si>
  <si>
    <t>札幌市豊平区豊平4条5丁目3-10</t>
  </si>
  <si>
    <t>呼3230</t>
    <rPh sb="0" eb="1">
      <t>ヨブ</t>
    </rPh>
    <phoneticPr fontId="3"/>
  </si>
  <si>
    <t>パークヒルズ藤野</t>
  </si>
  <si>
    <t>札幌市南区藤野1条5丁目1-27</t>
  </si>
  <si>
    <t>ディアドリーム</t>
  </si>
  <si>
    <t>手稲区星置南1丁目8-10　11</t>
  </si>
  <si>
    <t>ソレイユハイム新道東A</t>
  </si>
  <si>
    <t>札幌市東区北28条東18丁目1-11</t>
  </si>
  <si>
    <t>ASSETIA</t>
    <phoneticPr fontId="3"/>
  </si>
  <si>
    <t>ヴィラフレール　</t>
  </si>
  <si>
    <t>ヴィラフレール　</t>
    <phoneticPr fontId="3"/>
  </si>
  <si>
    <t>札幌市白石区本郷通2丁目北3‐16</t>
  </si>
  <si>
    <t>札幌市白石区本郷通2丁目北3‐16</t>
    <rPh sb="0" eb="3">
      <t>サッポロシ</t>
    </rPh>
    <rPh sb="3" eb="6">
      <t>シロイシク</t>
    </rPh>
    <rPh sb="6" eb="8">
      <t>ホンゴウ</t>
    </rPh>
    <rPh sb="8" eb="9">
      <t>ドオリ</t>
    </rPh>
    <rPh sb="10" eb="12">
      <t>チョウメ</t>
    </rPh>
    <rPh sb="12" eb="13">
      <t>キタ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</si>
</sst>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¥&quot;#,##0;&quot;¥&quot;\-#,##0"/>
    <numFmt numFmtId="176" formatCode="&quot;¥&quot;#,##0_);\(&quot;¥&quot;#,##0\)"/>
    <numFmt numFmtId="177" formatCode="&quot;¥&quot;#,##0_);[Red]\(&quot;¥&quot;#,##0\)"/>
    <numFmt numFmtId="178" formatCode="0.0_ "/>
    <numFmt numFmtId="179" formatCode="[$-411]ggge&quot;年&quot;m&quot;月&quot;d&quot;日&quot;;@"/>
    <numFmt numFmtId="180" formatCode="###0&quot;号室&quot;"/>
    <numFmt numFmtId="181" formatCode="#,##0_ "/>
    <numFmt numFmtId="182" formatCode="[=0]&quot;-&quot;;General"/>
    <numFmt numFmtId="183" formatCode="m&quot;月&quot;d&quot;日&quot;&quot;ま&quot;&quot;で&quot;&quot;に&quot;&quot;お&quot;&quot;願&quot;&quot;い&quot;&quot;致&quot;&quot;し&quot;&quot;ま&quot;&quot;す&quot;"/>
    <numFmt numFmtId="184" formatCode="m&quot;月&quot;d&quot;日&quot;&quot;完&quot;&quot;了&quot;"/>
    <numFmt numFmtId="185" formatCode="#,##0.0_ "/>
    <numFmt numFmtId="186" formatCode="0_ "/>
    <numFmt numFmtId="187" formatCode="&quot;¥&quot;#,##0;[Red]&quot;¥&quot;#,##0"/>
    <numFmt numFmtId="188" formatCode="0.0_);[Red]\(0.0\)"/>
    <numFmt numFmtId="189" formatCode="&quot;¥&quot;#,##0"/>
    <numFmt numFmtId="190" formatCode="@&quot; 御中&quot;"/>
    <numFmt numFmtId="191" formatCode="m/d;@"/>
    <numFmt numFmtId="192" formatCode="d"/>
    <numFmt numFmtId="193" formatCode="yyyy&quot;年&quot;m&quot;月&quot;d&quot;日&quot;;@"/>
    <numFmt numFmtId="194" formatCode="m&quot;月&quot;d&quot;日&quot;;@"/>
  </numFmts>
  <fonts count="7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theme="1"/>
      <name val="BIZ UDPゴシック"/>
      <family val="3"/>
      <charset val="128"/>
    </font>
    <font>
      <sz val="28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20"/>
      <color theme="1"/>
      <name val="BIZ UDP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b/>
      <u/>
      <sz val="20"/>
      <name val="BIZ UDPゴシック"/>
      <family val="3"/>
      <charset val="128"/>
    </font>
    <font>
      <b/>
      <u/>
      <sz val="18"/>
      <name val="BIZ UDPゴシック"/>
      <family val="3"/>
      <charset val="128"/>
    </font>
    <font>
      <b/>
      <sz val="14"/>
      <name val="BIZ UDPゴシック"/>
      <family val="3"/>
      <charset val="128"/>
    </font>
    <font>
      <b/>
      <sz val="9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2"/>
      <name val="BIZ UDPゴシック"/>
      <family val="3"/>
      <charset val="128"/>
    </font>
    <font>
      <b/>
      <sz val="16"/>
      <color theme="1"/>
      <name val="BIZ UDPゴシック"/>
      <family val="3"/>
      <charset val="128"/>
    </font>
    <font>
      <b/>
      <sz val="26"/>
      <color theme="1"/>
      <name val="BIZ UDP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8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6"/>
      <name val="BIZ UDPゴシック"/>
      <family val="3"/>
      <charset val="128"/>
    </font>
    <font>
      <b/>
      <sz val="12"/>
      <color theme="1"/>
      <name val="BIZ UDPゴシック"/>
      <family val="3"/>
      <charset val="128"/>
    </font>
    <font>
      <b/>
      <sz val="20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8"/>
      <color theme="1"/>
      <name val="BIZ UDPゴシック"/>
      <family val="3"/>
      <charset val="128"/>
    </font>
    <font>
      <sz val="16"/>
      <color theme="0"/>
      <name val="BIZ UDPゴシック"/>
      <family val="3"/>
      <charset val="128"/>
    </font>
    <font>
      <sz val="14"/>
      <name val="BIZ UDPゴシック"/>
      <family val="3"/>
      <charset val="128"/>
    </font>
    <font>
      <sz val="24"/>
      <name val="BIZ UDPゴシック"/>
      <family val="3"/>
      <charset val="128"/>
    </font>
    <font>
      <b/>
      <sz val="12"/>
      <color rgb="FFFF0000"/>
      <name val="BIZ UDPゴシック"/>
      <family val="3"/>
      <charset val="128"/>
    </font>
    <font>
      <u/>
      <sz val="11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1"/>
      <color rgb="FF006100"/>
      <name val="BIZ UDPゴシック"/>
      <family val="3"/>
      <charset val="128"/>
    </font>
    <font>
      <sz val="11"/>
      <color theme="0"/>
      <name val="BIZ UDPゴシック"/>
      <family val="3"/>
      <charset val="128"/>
    </font>
    <font>
      <sz val="9"/>
      <name val="BIZ UDPゴシック"/>
      <family val="3"/>
      <charset val="128"/>
    </font>
    <font>
      <u/>
      <sz val="11"/>
      <color indexed="12"/>
      <name val="BIZ UDPゴシック"/>
      <family val="3"/>
      <charset val="128"/>
    </font>
    <font>
      <b/>
      <sz val="10"/>
      <name val="BIZ UDPゴシック"/>
      <family val="3"/>
      <charset val="128"/>
    </font>
    <font>
      <b/>
      <sz val="8"/>
      <name val="BIZ UDPゴシック"/>
      <family val="3"/>
      <charset val="128"/>
    </font>
    <font>
      <sz val="8"/>
      <name val="BIZ UDPゴシック"/>
      <family val="3"/>
      <charset val="128"/>
    </font>
    <font>
      <sz val="10"/>
      <name val="BIZ UDPゴシック"/>
      <family val="3"/>
      <charset val="128"/>
    </font>
    <font>
      <u/>
      <sz val="10"/>
      <color indexed="12"/>
      <name val="BIZ UDPゴシック"/>
      <family val="3"/>
      <charset val="128"/>
    </font>
    <font>
      <b/>
      <sz val="18"/>
      <color rgb="FFFF0000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sz val="16"/>
      <color rgb="FFFFFFFF"/>
      <name val="BIZ UDPゴシック"/>
      <family val="3"/>
      <charset val="128"/>
    </font>
    <font>
      <b/>
      <sz val="16"/>
      <color theme="0"/>
      <name val="BIZ UDPゴシック"/>
      <family val="3"/>
      <charset val="128"/>
    </font>
    <font>
      <sz val="22"/>
      <color theme="0"/>
      <name val="BIZ UDPゴシック"/>
      <family val="3"/>
      <charset val="128"/>
    </font>
    <font>
      <sz val="26"/>
      <color theme="1"/>
      <name val="BIZ UDPゴシック"/>
      <family val="3"/>
      <charset val="128"/>
    </font>
    <font>
      <b/>
      <sz val="11"/>
      <name val="BIZ UDP明朝 Medium"/>
      <family val="1"/>
      <charset val="128"/>
    </font>
    <font>
      <b/>
      <sz val="10"/>
      <name val="BIZ UDP明朝 Medium"/>
      <family val="1"/>
      <charset val="128"/>
    </font>
    <font>
      <b/>
      <sz val="14"/>
      <color theme="1"/>
      <name val="BIZ UDPゴシック"/>
      <family val="3"/>
      <charset val="128"/>
    </font>
    <font>
      <b/>
      <sz val="24"/>
      <name val="BIZ UDPゴシック"/>
      <family val="3"/>
      <charset val="128"/>
    </font>
    <font>
      <b/>
      <sz val="11"/>
      <name val="Calibri"/>
      <family val="3"/>
      <charset val="161"/>
    </font>
    <font>
      <sz val="14"/>
      <color theme="1"/>
      <name val="BIZ UDPゴシック"/>
      <family val="3"/>
      <charset val="128"/>
    </font>
    <font>
      <sz val="24"/>
      <color theme="1"/>
      <name val="BIZ UDPゴシック"/>
      <family val="3"/>
      <charset val="128"/>
    </font>
    <font>
      <b/>
      <sz val="22"/>
      <name val="BIZ UDPゴシック"/>
      <family val="3"/>
      <charset val="128"/>
    </font>
    <font>
      <b/>
      <sz val="20"/>
      <color theme="1"/>
      <name val="BIZ UDPゴシック"/>
      <family val="3"/>
      <charset val="128"/>
    </font>
    <font>
      <b/>
      <sz val="22"/>
      <color theme="1"/>
      <name val="BIZ UDPゴシック"/>
      <family val="3"/>
      <charset val="128"/>
    </font>
    <font>
      <b/>
      <sz val="26"/>
      <color theme="1"/>
      <name val="HG丸ｺﾞｼｯｸM-PRO"/>
      <family val="3"/>
      <charset val="128"/>
    </font>
    <font>
      <b/>
      <sz val="28"/>
      <color theme="1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2"/>
      <color rgb="FF0000FF"/>
      <name val="BIZ UDPゴシック"/>
      <family val="3"/>
      <charset val="128"/>
    </font>
    <font>
      <b/>
      <sz val="36"/>
      <color theme="1"/>
      <name val="HG丸ｺﾞｼｯｸM-PRO"/>
      <family val="3"/>
      <charset val="128"/>
    </font>
    <font>
      <b/>
      <sz val="20"/>
      <color theme="1"/>
      <name val="HG丸ｺﾞｼｯｸM-PRO"/>
      <family val="3"/>
      <charset val="128"/>
    </font>
    <font>
      <b/>
      <sz val="14"/>
      <color theme="0"/>
      <name val="BIZ UDPゴシック"/>
      <family val="3"/>
      <charset val="128"/>
    </font>
    <font>
      <sz val="14"/>
      <color theme="0"/>
      <name val="BIZ UDPゴシック"/>
      <family val="3"/>
      <charset val="128"/>
    </font>
    <font>
      <sz val="12"/>
      <color rgb="FF333333"/>
      <name val="游ゴシック Medium"/>
      <family val="3"/>
      <charset val="128"/>
    </font>
    <font>
      <sz val="18"/>
      <color theme="1"/>
      <name val="BIZ UDPゴシック"/>
      <family val="3"/>
      <charset val="128"/>
    </font>
    <font>
      <sz val="11"/>
      <color rgb="FF212121"/>
      <name val="Tahoma"/>
      <family val="3"/>
      <charset val="128"/>
    </font>
    <font>
      <sz val="11"/>
      <color rgb="FF000000"/>
      <name val="メイリオ"/>
      <family val="3"/>
      <charset val="128"/>
    </font>
    <font>
      <u/>
      <sz val="11"/>
      <color theme="1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u/>
      <sz val="20"/>
      <color theme="1"/>
      <name val="BIZ UDPゴシック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rgb="FFB4C6E7"/>
      </patternFill>
    </fill>
    <fill>
      <patternFill patternType="solid">
        <fgColor theme="0"/>
        <bgColor rgb="FFD9E1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F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8" tint="-0.249977111117893"/>
        <bgColor theme="8" tint="-0.249977111117893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8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>
      <alignment vertical="center"/>
    </xf>
    <xf numFmtId="177" fontId="8" fillId="0" borderId="0" applyFont="0" applyFill="0" applyBorder="0" applyAlignment="0" applyProtection="0">
      <alignment vertical="center"/>
    </xf>
  </cellStyleXfs>
  <cellXfs count="751">
    <xf numFmtId="0" fontId="0" fillId="0" borderId="0" xfId="0">
      <alignment vertical="center"/>
    </xf>
    <xf numFmtId="0" fontId="10" fillId="0" borderId="0" xfId="1" applyFont="1"/>
    <xf numFmtId="178" fontId="10" fillId="0" borderId="0" xfId="1" applyNumberFormat="1" applyFont="1"/>
    <xf numFmtId="0" fontId="13" fillId="0" borderId="0" xfId="1" applyFont="1" applyAlignment="1">
      <alignment horizontal="left" shrinkToFit="1"/>
    </xf>
    <xf numFmtId="0" fontId="10" fillId="0" borderId="0" xfId="1" applyFont="1" applyAlignment="1">
      <alignment wrapText="1"/>
    </xf>
    <xf numFmtId="178" fontId="14" fillId="0" borderId="0" xfId="1" applyNumberFormat="1" applyFont="1"/>
    <xf numFmtId="0" fontId="10" fillId="0" borderId="5" xfId="1" applyFont="1" applyBorder="1"/>
    <xf numFmtId="0" fontId="10" fillId="0" borderId="5" xfId="1" applyFont="1" applyBorder="1" applyAlignment="1">
      <alignment horizontal="center"/>
    </xf>
    <xf numFmtId="0" fontId="15" fillId="0" borderId="0" xfId="1" applyFont="1"/>
    <xf numFmtId="0" fontId="10" fillId="0" borderId="6" xfId="1" applyFont="1" applyBorder="1" applyAlignment="1">
      <alignment horizontal="center" shrinkToFit="1"/>
    </xf>
    <xf numFmtId="180" fontId="10" fillId="0" borderId="6" xfId="1" applyNumberFormat="1" applyFont="1" applyBorder="1" applyAlignment="1">
      <alignment horizontal="center" shrinkToFit="1"/>
    </xf>
    <xf numFmtId="0" fontId="14" fillId="0" borderId="5" xfId="1" applyFont="1" applyBorder="1" applyAlignment="1">
      <alignment vertical="center"/>
    </xf>
    <xf numFmtId="176" fontId="14" fillId="0" borderId="5" xfId="1" applyNumberFormat="1" applyFont="1" applyBorder="1" applyAlignment="1">
      <alignment horizontal="left" vertical="center"/>
    </xf>
    <xf numFmtId="0" fontId="10" fillId="0" borderId="0" xfId="1" applyFont="1" applyAlignment="1">
      <alignment horizontal="right"/>
    </xf>
    <xf numFmtId="0" fontId="16" fillId="3" borderId="8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178" fontId="16" fillId="3" borderId="1" xfId="1" applyNumberFormat="1" applyFont="1" applyFill="1" applyBorder="1" applyAlignment="1">
      <alignment horizontal="center" vertical="center"/>
    </xf>
    <xf numFmtId="0" fontId="16" fillId="3" borderId="1" xfId="1" applyFont="1" applyFill="1" applyBorder="1" applyAlignment="1">
      <alignment horizontal="center" vertical="center"/>
    </xf>
    <xf numFmtId="0" fontId="17" fillId="0" borderId="11" xfId="1" applyFont="1" applyBorder="1" applyAlignment="1">
      <alignment horizontal="center" vertical="center" shrinkToFit="1"/>
    </xf>
    <xf numFmtId="0" fontId="10" fillId="0" borderId="12" xfId="1" applyFont="1" applyBorder="1" applyAlignment="1">
      <alignment vertical="center"/>
    </xf>
    <xf numFmtId="0" fontId="10" fillId="0" borderId="5" xfId="1" applyFont="1" applyBorder="1" applyAlignment="1">
      <alignment vertical="center"/>
    </xf>
    <xf numFmtId="0" fontId="10" fillId="0" borderId="9" xfId="1" applyFont="1" applyBorder="1" applyAlignment="1">
      <alignment vertical="center"/>
    </xf>
    <xf numFmtId="0" fontId="10" fillId="0" borderId="13" xfId="1" applyFont="1" applyBorder="1" applyAlignment="1">
      <alignment vertical="center"/>
    </xf>
    <xf numFmtId="178" fontId="10" fillId="0" borderId="13" xfId="1" applyNumberFormat="1" applyFont="1" applyBorder="1" applyAlignment="1">
      <alignment vertical="center"/>
    </xf>
    <xf numFmtId="0" fontId="10" fillId="0" borderId="11" xfId="1" applyFont="1" applyBorder="1" applyAlignment="1">
      <alignment horizontal="center" vertical="center"/>
    </xf>
    <xf numFmtId="3" fontId="10" fillId="0" borderId="1" xfId="1" applyNumberFormat="1" applyFont="1" applyBorder="1" applyAlignment="1">
      <alignment vertical="center"/>
    </xf>
    <xf numFmtId="3" fontId="10" fillId="0" borderId="11" xfId="1" applyNumberFormat="1" applyFont="1" applyBorder="1" applyAlignment="1">
      <alignment vertical="center"/>
    </xf>
    <xf numFmtId="0" fontId="17" fillId="0" borderId="1" xfId="1" applyFont="1" applyBorder="1" applyAlignment="1">
      <alignment horizontal="center" vertical="center" shrinkToFit="1"/>
    </xf>
    <xf numFmtId="0" fontId="10" fillId="0" borderId="1" xfId="1" applyFont="1" applyBorder="1" applyAlignment="1">
      <alignment horizontal="center" vertical="center"/>
    </xf>
    <xf numFmtId="178" fontId="10" fillId="0" borderId="10" xfId="1" applyNumberFormat="1" applyFont="1" applyBorder="1" applyAlignment="1">
      <alignment vertical="center"/>
    </xf>
    <xf numFmtId="0" fontId="10" fillId="0" borderId="8" xfId="1" applyFont="1" applyBorder="1" applyAlignment="1">
      <alignment vertical="center"/>
    </xf>
    <xf numFmtId="0" fontId="10" fillId="0" borderId="10" xfId="1" applyFont="1" applyBorder="1" applyAlignment="1">
      <alignment vertical="center"/>
    </xf>
    <xf numFmtId="0" fontId="17" fillId="0" borderId="14" xfId="1" applyFont="1" applyBorder="1" applyAlignment="1">
      <alignment horizontal="center" vertical="center" shrinkToFit="1"/>
    </xf>
    <xf numFmtId="0" fontId="10" fillId="0" borderId="15" xfId="1" applyFont="1" applyBorder="1" applyAlignment="1">
      <alignment vertical="center"/>
    </xf>
    <xf numFmtId="0" fontId="10" fillId="0" borderId="16" xfId="1" applyFont="1" applyBorder="1" applyAlignment="1">
      <alignment vertical="center"/>
    </xf>
    <xf numFmtId="0" fontId="10" fillId="0" borderId="16" xfId="1" applyFont="1" applyBorder="1" applyAlignment="1">
      <alignment horizontal="left" vertical="center" shrinkToFit="1"/>
    </xf>
    <xf numFmtId="0" fontId="10" fillId="0" borderId="16" xfId="1" applyFont="1" applyBorder="1" applyAlignment="1">
      <alignment vertical="center" shrinkToFit="1"/>
    </xf>
    <xf numFmtId="0" fontId="10" fillId="0" borderId="17" xfId="1" applyFont="1" applyBorder="1" applyAlignment="1">
      <alignment vertical="center" shrinkToFit="1"/>
    </xf>
    <xf numFmtId="178" fontId="10" fillId="0" borderId="14" xfId="1" applyNumberFormat="1" applyFont="1" applyBorder="1" applyAlignment="1">
      <alignment vertical="center"/>
    </xf>
    <xf numFmtId="0" fontId="10" fillId="0" borderId="14" xfId="1" applyFont="1" applyBorder="1" applyAlignment="1">
      <alignment horizontal="center" vertical="center"/>
    </xf>
    <xf numFmtId="3" fontId="10" fillId="0" borderId="14" xfId="1" applyNumberFormat="1" applyFont="1" applyBorder="1" applyAlignment="1">
      <alignment vertical="center"/>
    </xf>
    <xf numFmtId="0" fontId="18" fillId="0" borderId="18" xfId="1" applyFont="1" applyBorder="1" applyAlignment="1">
      <alignment vertical="top"/>
    </xf>
    <xf numFmtId="0" fontId="18" fillId="0" borderId="19" xfId="1" applyFont="1" applyBorder="1"/>
    <xf numFmtId="0" fontId="18" fillId="0" borderId="20" xfId="1" applyFont="1" applyBorder="1"/>
    <xf numFmtId="3" fontId="18" fillId="0" borderId="23" xfId="1" applyNumberFormat="1" applyFont="1" applyBorder="1"/>
    <xf numFmtId="0" fontId="18" fillId="0" borderId="24" xfId="1" applyFont="1" applyBorder="1"/>
    <xf numFmtId="0" fontId="18" fillId="0" borderId="0" xfId="1" applyFont="1"/>
    <xf numFmtId="0" fontId="18" fillId="0" borderId="25" xfId="1" applyFont="1" applyBorder="1"/>
    <xf numFmtId="3" fontId="18" fillId="0" borderId="27" xfId="1" applyNumberFormat="1" applyFont="1" applyBorder="1"/>
    <xf numFmtId="0" fontId="18" fillId="0" borderId="28" xfId="1" applyFont="1" applyBorder="1"/>
    <xf numFmtId="0" fontId="18" fillId="0" borderId="29" xfId="1" applyFont="1" applyBorder="1"/>
    <xf numFmtId="0" fontId="18" fillId="0" borderId="30" xfId="1" applyFont="1" applyBorder="1"/>
    <xf numFmtId="3" fontId="18" fillId="0" borderId="32" xfId="1" applyNumberFormat="1" applyFont="1" applyBorder="1"/>
    <xf numFmtId="0" fontId="10" fillId="0" borderId="0" xfId="1" applyFont="1" applyAlignment="1">
      <alignment horizontal="left"/>
    </xf>
    <xf numFmtId="178" fontId="14" fillId="0" borderId="5" xfId="1" applyNumberFormat="1" applyFont="1" applyBorder="1" applyAlignment="1">
      <alignment horizontal="right"/>
    </xf>
    <xf numFmtId="0" fontId="17" fillId="0" borderId="0" xfId="1" applyFont="1"/>
    <xf numFmtId="0" fontId="12" fillId="0" borderId="0" xfId="1" applyFont="1" applyAlignment="1">
      <alignment horizontal="center"/>
    </xf>
    <xf numFmtId="0" fontId="22" fillId="0" borderId="0" xfId="1" applyFont="1"/>
    <xf numFmtId="0" fontId="14" fillId="0" borderId="0" xfId="1" applyFont="1"/>
    <xf numFmtId="0" fontId="23" fillId="0" borderId="0" xfId="1" applyFont="1"/>
    <xf numFmtId="0" fontId="10" fillId="0" borderId="5" xfId="1" applyFont="1" applyBorder="1" applyAlignment="1">
      <alignment horizontal="right"/>
    </xf>
    <xf numFmtId="180" fontId="10" fillId="0" borderId="5" xfId="1" applyNumberFormat="1" applyFont="1" applyBorder="1"/>
    <xf numFmtId="0" fontId="10" fillId="0" borderId="9" xfId="1" applyFont="1" applyBorder="1" applyAlignment="1">
      <alignment horizontal="right"/>
    </xf>
    <xf numFmtId="182" fontId="10" fillId="0" borderId="20" xfId="1" applyNumberFormat="1" applyFont="1" applyBorder="1" applyAlignment="1">
      <alignment horizontal="center"/>
    </xf>
    <xf numFmtId="183" fontId="25" fillId="0" borderId="0" xfId="1" applyNumberFormat="1" applyFont="1" applyAlignment="1">
      <alignment horizontal="center" vertical="center"/>
    </xf>
    <xf numFmtId="182" fontId="10" fillId="0" borderId="4" xfId="1" applyNumberFormat="1" applyFont="1" applyBorder="1" applyAlignment="1">
      <alignment horizontal="center"/>
    </xf>
    <xf numFmtId="182" fontId="10" fillId="0" borderId="30" xfId="1" applyNumberFormat="1" applyFont="1" applyBorder="1" applyAlignment="1">
      <alignment horizontal="center"/>
    </xf>
    <xf numFmtId="0" fontId="18" fillId="0" borderId="11" xfId="1" applyFont="1" applyBorder="1" applyAlignment="1">
      <alignment horizontal="center" vertical="center"/>
    </xf>
    <xf numFmtId="0" fontId="18" fillId="0" borderId="12" xfId="1" applyFont="1" applyBorder="1" applyAlignment="1">
      <alignment vertical="center"/>
    </xf>
    <xf numFmtId="0" fontId="18" fillId="0" borderId="5" xfId="1" applyFont="1" applyBorder="1" applyAlignment="1">
      <alignment vertical="center"/>
    </xf>
    <xf numFmtId="0" fontId="18" fillId="0" borderId="9" xfId="1" applyFont="1" applyBorder="1" applyAlignment="1">
      <alignment vertical="center"/>
    </xf>
    <xf numFmtId="0" fontId="18" fillId="0" borderId="13" xfId="1" applyFont="1" applyBorder="1" applyAlignment="1">
      <alignment vertical="center"/>
    </xf>
    <xf numFmtId="178" fontId="18" fillId="0" borderId="11" xfId="1" applyNumberFormat="1" applyFont="1" applyBorder="1" applyAlignment="1">
      <alignment vertical="center"/>
    </xf>
    <xf numFmtId="3" fontId="18" fillId="0" borderId="11" xfId="1" applyNumberFormat="1" applyFont="1" applyBorder="1" applyAlignment="1">
      <alignment vertical="center"/>
    </xf>
    <xf numFmtId="0" fontId="18" fillId="0" borderId="1" xfId="1" applyFont="1" applyBorder="1" applyAlignment="1">
      <alignment horizontal="center" vertical="center"/>
    </xf>
    <xf numFmtId="0" fontId="18" fillId="0" borderId="8" xfId="1" applyFont="1" applyBorder="1" applyAlignment="1">
      <alignment vertical="center"/>
    </xf>
    <xf numFmtId="3" fontId="18" fillId="0" borderId="1" xfId="1" applyNumberFormat="1" applyFont="1" applyBorder="1" applyAlignment="1">
      <alignment vertical="center"/>
    </xf>
    <xf numFmtId="0" fontId="10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8" fillId="0" borderId="14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8" fillId="0" borderId="33" xfId="1" applyFont="1" applyBorder="1" applyAlignment="1">
      <alignment vertical="center"/>
    </xf>
    <xf numFmtId="0" fontId="18" fillId="0" borderId="34" xfId="1" applyFont="1" applyBorder="1" applyAlignment="1">
      <alignment vertical="center"/>
    </xf>
    <xf numFmtId="178" fontId="18" fillId="0" borderId="14" xfId="1" applyNumberFormat="1" applyFont="1" applyBorder="1" applyAlignment="1">
      <alignment vertical="center"/>
    </xf>
    <xf numFmtId="0" fontId="18" fillId="0" borderId="34" xfId="1" applyFont="1" applyBorder="1" applyAlignment="1">
      <alignment horizontal="center" vertical="center"/>
    </xf>
    <xf numFmtId="3" fontId="18" fillId="0" borderId="14" xfId="1" applyNumberFormat="1" applyFont="1" applyBorder="1" applyAlignment="1">
      <alignment vertical="center"/>
    </xf>
    <xf numFmtId="0" fontId="18" fillId="0" borderId="18" xfId="1" applyFont="1" applyBorder="1"/>
    <xf numFmtId="56" fontId="18" fillId="0" borderId="0" xfId="1" applyNumberFormat="1" applyFont="1"/>
    <xf numFmtId="31" fontId="14" fillId="0" borderId="0" xfId="1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6" fillId="7" borderId="0" xfId="0" applyFont="1" applyFill="1" applyProtection="1">
      <alignment vertical="center"/>
      <protection locked="0"/>
    </xf>
    <xf numFmtId="0" fontId="7" fillId="2" borderId="38" xfId="0" applyFont="1" applyFill="1" applyBorder="1" applyProtection="1">
      <alignment vertical="center"/>
      <protection locked="0"/>
    </xf>
    <xf numFmtId="0" fontId="7" fillId="2" borderId="40" xfId="0" applyFont="1" applyFill="1" applyBorder="1" applyProtection="1">
      <alignment vertical="center"/>
      <protection locked="0"/>
    </xf>
    <xf numFmtId="0" fontId="7" fillId="2" borderId="41" xfId="0" applyFont="1" applyFill="1" applyBorder="1" applyProtection="1">
      <alignment vertical="center"/>
      <protection locked="0"/>
    </xf>
    <xf numFmtId="0" fontId="31" fillId="0" borderId="0" xfId="4" applyFont="1" applyAlignment="1">
      <alignment horizontal="left" vertical="center"/>
    </xf>
    <xf numFmtId="0" fontId="17" fillId="0" borderId="0" xfId="4" applyFont="1">
      <alignment vertical="center"/>
    </xf>
    <xf numFmtId="0" fontId="10" fillId="0" borderId="3" xfId="4" applyFont="1" applyBorder="1" applyAlignment="1">
      <alignment horizontal="right" vertical="center"/>
    </xf>
    <xf numFmtId="0" fontId="10" fillId="0" borderId="3" xfId="4" applyFont="1" applyBorder="1">
      <alignment vertical="center"/>
    </xf>
    <xf numFmtId="0" fontId="10" fillId="0" borderId="0" xfId="4" applyFont="1">
      <alignment vertical="center"/>
    </xf>
    <xf numFmtId="0" fontId="17" fillId="0" borderId="0" xfId="4" applyFont="1" applyAlignment="1">
      <alignment horizontal="left" vertical="center"/>
    </xf>
    <xf numFmtId="0" fontId="17" fillId="0" borderId="0" xfId="4" applyFont="1" applyAlignment="1">
      <alignment vertical="center" shrinkToFit="1"/>
    </xf>
    <xf numFmtId="0" fontId="17" fillId="0" borderId="0" xfId="4" applyFont="1" applyAlignment="1">
      <alignment horizontal="left" vertical="center" shrinkToFit="1"/>
    </xf>
    <xf numFmtId="0" fontId="14" fillId="0" borderId="6" xfId="4" applyFont="1" applyBorder="1">
      <alignment vertical="center"/>
    </xf>
    <xf numFmtId="176" fontId="14" fillId="0" borderId="0" xfId="4" applyNumberFormat="1" applyFont="1">
      <alignment vertical="center"/>
    </xf>
    <xf numFmtId="0" fontId="18" fillId="0" borderId="0" xfId="4" applyFont="1" applyAlignment="1">
      <alignment horizontal="left" vertical="center"/>
    </xf>
    <xf numFmtId="0" fontId="17" fillId="0" borderId="0" xfId="4" applyFont="1" applyAlignment="1">
      <alignment horizontal="center" vertical="center"/>
    </xf>
    <xf numFmtId="0" fontId="34" fillId="0" borderId="0" xfId="4" applyFont="1">
      <alignment vertical="center"/>
    </xf>
    <xf numFmtId="0" fontId="17" fillId="0" borderId="0" xfId="4" applyFont="1" applyAlignment="1">
      <alignment horizontal="right" vertical="center"/>
    </xf>
    <xf numFmtId="0" fontId="6" fillId="0" borderId="0" xfId="4" applyFont="1" applyAlignment="1">
      <alignment horizontal="right" vertical="center"/>
    </xf>
    <xf numFmtId="0" fontId="10" fillId="10" borderId="1" xfId="4" applyFont="1" applyFill="1" applyBorder="1" applyAlignment="1">
      <alignment horizontal="center" vertical="center" shrinkToFit="1"/>
    </xf>
    <xf numFmtId="0" fontId="10" fillId="10" borderId="1" xfId="4" applyFont="1" applyFill="1" applyBorder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0" fillId="0" borderId="1" xfId="4" applyFont="1" applyBorder="1" applyAlignment="1">
      <alignment vertical="center" shrinkToFit="1"/>
    </xf>
    <xf numFmtId="0" fontId="10" fillId="0" borderId="8" xfId="4" applyFont="1" applyBorder="1">
      <alignment vertical="center"/>
    </xf>
    <xf numFmtId="0" fontId="10" fillId="0" borderId="10" xfId="4" applyFont="1" applyBorder="1" applyAlignment="1">
      <alignment vertical="center" shrinkToFit="1"/>
    </xf>
    <xf numFmtId="0" fontId="10" fillId="0" borderId="0" xfId="4" applyFont="1" applyAlignment="1">
      <alignment horizontal="left" vertical="center" shrinkToFit="1"/>
    </xf>
    <xf numFmtId="185" fontId="10" fillId="0" borderId="1" xfId="4" applyNumberFormat="1" applyFont="1" applyBorder="1" applyAlignment="1">
      <alignment horizontal="right" vertical="center" shrinkToFit="1"/>
    </xf>
    <xf numFmtId="0" fontId="10" fillId="0" borderId="1" xfId="1" applyFont="1" applyBorder="1" applyAlignment="1">
      <alignment horizontal="center" vertical="center" shrinkToFit="1"/>
    </xf>
    <xf numFmtId="181" fontId="10" fillId="0" borderId="1" xfId="4" applyNumberFormat="1" applyFont="1" applyBorder="1" applyAlignment="1">
      <alignment horizontal="right" vertical="center" shrinkToFit="1"/>
    </xf>
    <xf numFmtId="181" fontId="10" fillId="0" borderId="1" xfId="4" applyNumberFormat="1" applyFont="1" applyBorder="1">
      <alignment vertical="center"/>
    </xf>
    <xf numFmtId="181" fontId="18" fillId="0" borderId="0" xfId="4" applyNumberFormat="1" applyFont="1">
      <alignment vertical="center"/>
    </xf>
    <xf numFmtId="0" fontId="10" fillId="0" borderId="9" xfId="4" applyFont="1" applyBorder="1" applyAlignment="1">
      <alignment vertical="center" shrinkToFit="1"/>
    </xf>
    <xf numFmtId="0" fontId="10" fillId="0" borderId="1" xfId="4" applyFont="1" applyBorder="1" applyAlignment="1">
      <alignment horizontal="left" vertical="center" shrinkToFit="1"/>
    </xf>
    <xf numFmtId="0" fontId="10" fillId="0" borderId="6" xfId="4" applyFont="1" applyBorder="1">
      <alignment vertical="center"/>
    </xf>
    <xf numFmtId="0" fontId="10" fillId="0" borderId="0" xfId="4" applyFont="1" applyAlignment="1">
      <alignment horizontal="left" vertical="center"/>
    </xf>
    <xf numFmtId="0" fontId="10" fillId="0" borderId="1" xfId="4" applyFont="1" applyBorder="1" applyAlignment="1">
      <alignment horizontal="center" vertical="center" shrinkToFit="1"/>
    </xf>
    <xf numFmtId="0" fontId="17" fillId="0" borderId="6" xfId="4" applyFont="1" applyBorder="1">
      <alignment vertical="center"/>
    </xf>
    <xf numFmtId="181" fontId="10" fillId="0" borderId="6" xfId="4" applyNumberFormat="1" applyFont="1" applyBorder="1">
      <alignment vertical="center"/>
    </xf>
    <xf numFmtId="181" fontId="10" fillId="0" borderId="0" xfId="4" applyNumberFormat="1" applyFont="1">
      <alignment vertical="center"/>
    </xf>
    <xf numFmtId="0" fontId="17" fillId="0" borderId="33" xfId="4" applyFont="1" applyBorder="1">
      <alignment vertical="center"/>
    </xf>
    <xf numFmtId="181" fontId="10" fillId="0" borderId="33" xfId="4" applyNumberFormat="1" applyFont="1" applyBorder="1">
      <alignment vertical="center"/>
    </xf>
    <xf numFmtId="0" fontId="10" fillId="0" borderId="43" xfId="4" applyFont="1" applyBorder="1" applyAlignment="1">
      <alignment horizontal="center" vertical="center"/>
    </xf>
    <xf numFmtId="0" fontId="16" fillId="3" borderId="9" xfId="4" applyFont="1" applyFill="1" applyBorder="1" applyAlignment="1">
      <alignment horizontal="center" vertical="center"/>
    </xf>
    <xf numFmtId="0" fontId="35" fillId="0" borderId="0" xfId="4" applyFont="1">
      <alignment vertical="center"/>
    </xf>
    <xf numFmtId="0" fontId="36" fillId="11" borderId="0" xfId="4" applyFont="1" applyFill="1" applyAlignment="1">
      <alignment horizontal="left" vertical="center"/>
    </xf>
    <xf numFmtId="56" fontId="10" fillId="0" borderId="1" xfId="4" applyNumberFormat="1" applyFont="1" applyBorder="1" applyAlignment="1">
      <alignment horizontal="left" vertical="center" shrinkToFit="1"/>
    </xf>
    <xf numFmtId="56" fontId="10" fillId="0" borderId="1" xfId="4" applyNumberFormat="1" applyFont="1" applyBorder="1" applyAlignment="1">
      <alignment horizontal="right" vertical="center" shrinkToFit="1"/>
    </xf>
    <xf numFmtId="181" fontId="10" fillId="0" borderId="1" xfId="4" applyNumberFormat="1" applyFont="1" applyBorder="1" applyAlignment="1">
      <alignment vertical="center" shrinkToFit="1"/>
    </xf>
    <xf numFmtId="181" fontId="10" fillId="0" borderId="8" xfId="4" applyNumberFormat="1" applyFont="1" applyBorder="1">
      <alignment vertical="center"/>
    </xf>
    <xf numFmtId="181" fontId="18" fillId="0" borderId="43" xfId="4" applyNumberFormat="1" applyFont="1" applyBorder="1">
      <alignment vertical="center"/>
    </xf>
    <xf numFmtId="181" fontId="23" fillId="7" borderId="9" xfId="4" applyNumberFormat="1" applyFont="1" applyFill="1" applyBorder="1">
      <alignment vertical="center"/>
    </xf>
    <xf numFmtId="0" fontId="18" fillId="0" borderId="0" xfId="4" applyFont="1">
      <alignment vertical="center"/>
    </xf>
    <xf numFmtId="0" fontId="10" fillId="0" borderId="1" xfId="4" applyFont="1" applyBorder="1" applyAlignment="1">
      <alignment horizontal="right" vertical="center" shrinkToFit="1"/>
    </xf>
    <xf numFmtId="38" fontId="10" fillId="0" borderId="0" xfId="4" applyNumberFormat="1" applyFont="1">
      <alignment vertical="center"/>
    </xf>
    <xf numFmtId="177" fontId="10" fillId="0" borderId="0" xfId="4" applyNumberFormat="1" applyFont="1">
      <alignment vertical="center"/>
    </xf>
    <xf numFmtId="177" fontId="10" fillId="0" borderId="44" xfId="5" applyFont="1" applyBorder="1">
      <alignment vertical="center"/>
    </xf>
    <xf numFmtId="177" fontId="10" fillId="0" borderId="0" xfId="5" applyFont="1" applyBorder="1">
      <alignment vertical="center"/>
    </xf>
    <xf numFmtId="0" fontId="37" fillId="0" borderId="0" xfId="4" applyFont="1">
      <alignment vertical="center"/>
    </xf>
    <xf numFmtId="186" fontId="10" fillId="0" borderId="0" xfId="4" applyNumberFormat="1" applyFont="1">
      <alignment vertical="center"/>
    </xf>
    <xf numFmtId="187" fontId="10" fillId="0" borderId="0" xfId="4" applyNumberFormat="1" applyFont="1">
      <alignment vertical="center"/>
    </xf>
    <xf numFmtId="178" fontId="10" fillId="0" borderId="0" xfId="4" applyNumberFormat="1" applyFont="1">
      <alignment vertical="center"/>
    </xf>
    <xf numFmtId="0" fontId="23" fillId="0" borderId="2" xfId="1" applyFont="1" applyBorder="1"/>
    <xf numFmtId="0" fontId="23" fillId="0" borderId="3" xfId="1" applyFont="1" applyBorder="1"/>
    <xf numFmtId="0" fontId="38" fillId="0" borderId="0" xfId="1" applyFont="1"/>
    <xf numFmtId="178" fontId="38" fillId="0" borderId="0" xfId="1" applyNumberFormat="1" applyFont="1"/>
    <xf numFmtId="178" fontId="39" fillId="0" borderId="0" xfId="2" applyNumberFormat="1" applyFont="1" applyAlignment="1" applyProtection="1">
      <alignment horizontal="center"/>
    </xf>
    <xf numFmtId="0" fontId="43" fillId="0" borderId="21" xfId="1" applyFont="1" applyBorder="1"/>
    <xf numFmtId="0" fontId="43" fillId="13" borderId="22" xfId="1" applyFont="1" applyFill="1" applyBorder="1"/>
    <xf numFmtId="0" fontId="43" fillId="13" borderId="23" xfId="1" applyFont="1" applyFill="1" applyBorder="1"/>
    <xf numFmtId="0" fontId="43" fillId="0" borderId="0" xfId="1" applyFont="1"/>
    <xf numFmtId="178" fontId="43" fillId="0" borderId="0" xfId="1" applyNumberFormat="1" applyFont="1"/>
    <xf numFmtId="0" fontId="43" fillId="6" borderId="35" xfId="1" applyFont="1" applyFill="1" applyBorder="1"/>
    <xf numFmtId="0" fontId="43" fillId="0" borderId="1" xfId="1" applyFont="1" applyBorder="1"/>
    <xf numFmtId="0" fontId="43" fillId="0" borderId="27" xfId="1" applyFont="1" applyBorder="1"/>
    <xf numFmtId="0" fontId="43" fillId="12" borderId="35" xfId="1" applyFont="1" applyFill="1" applyBorder="1"/>
    <xf numFmtId="0" fontId="43" fillId="16" borderId="35" xfId="1" applyFont="1" applyFill="1" applyBorder="1"/>
    <xf numFmtId="0" fontId="43" fillId="29" borderId="35" xfId="1" applyFont="1" applyFill="1" applyBorder="1"/>
    <xf numFmtId="0" fontId="43" fillId="0" borderId="37" xfId="1" applyFont="1" applyBorder="1"/>
    <xf numFmtId="0" fontId="43" fillId="0" borderId="32" xfId="1" applyFont="1" applyBorder="1"/>
    <xf numFmtId="0" fontId="43" fillId="0" borderId="28" xfId="1" applyFont="1" applyBorder="1"/>
    <xf numFmtId="0" fontId="43" fillId="0" borderId="30" xfId="1" applyFont="1" applyBorder="1"/>
    <xf numFmtId="178" fontId="43" fillId="0" borderId="1" xfId="1" applyNumberFormat="1" applyFont="1" applyBorder="1" applyAlignment="1">
      <alignment horizontal="right" vertical="center"/>
    </xf>
    <xf numFmtId="178" fontId="43" fillId="0" borderId="1" xfId="1" applyNumberFormat="1" applyFont="1" applyBorder="1"/>
    <xf numFmtId="178" fontId="43" fillId="0" borderId="1" xfId="1" applyNumberFormat="1" applyFont="1" applyBorder="1" applyAlignment="1">
      <alignment horizontal="right"/>
    </xf>
    <xf numFmtId="0" fontId="43" fillId="24" borderId="35" xfId="1" applyFont="1" applyFill="1" applyBorder="1"/>
    <xf numFmtId="0" fontId="43" fillId="23" borderId="35" xfId="1" applyFont="1" applyFill="1" applyBorder="1"/>
    <xf numFmtId="0" fontId="43" fillId="31" borderId="35" xfId="1" applyFont="1" applyFill="1" applyBorder="1"/>
    <xf numFmtId="0" fontId="43" fillId="32" borderId="35" xfId="1" applyFont="1" applyFill="1" applyBorder="1"/>
    <xf numFmtId="0" fontId="43" fillId="0" borderId="24" xfId="1" applyFont="1" applyBorder="1"/>
    <xf numFmtId="0" fontId="43" fillId="0" borderId="25" xfId="1" applyFont="1" applyBorder="1"/>
    <xf numFmtId="0" fontId="43" fillId="13" borderId="2" xfId="1" applyFont="1" applyFill="1" applyBorder="1" applyAlignment="1">
      <alignment horizontal="center"/>
    </xf>
    <xf numFmtId="0" fontId="43" fillId="0" borderId="3" xfId="1" applyFont="1" applyBorder="1"/>
    <xf numFmtId="0" fontId="43" fillId="0" borderId="4" xfId="1" applyFont="1" applyBorder="1"/>
    <xf numFmtId="0" fontId="43" fillId="0" borderId="31" xfId="1" applyFont="1" applyBorder="1"/>
    <xf numFmtId="0" fontId="43" fillId="0" borderId="54" xfId="1" applyFont="1" applyBorder="1"/>
    <xf numFmtId="0" fontId="43" fillId="0" borderId="0" xfId="1" applyFont="1" applyAlignment="1">
      <alignment horizontal="center"/>
    </xf>
    <xf numFmtId="0" fontId="38" fillId="0" borderId="31" xfId="1" applyFont="1" applyBorder="1"/>
    <xf numFmtId="0" fontId="38" fillId="0" borderId="54" xfId="1" applyFont="1" applyBorder="1"/>
    <xf numFmtId="0" fontId="38" fillId="0" borderId="0" xfId="1" applyFont="1" applyAlignment="1">
      <alignment horizontal="center"/>
    </xf>
    <xf numFmtId="0" fontId="6" fillId="0" borderId="0" xfId="0" applyFont="1">
      <alignment vertical="center"/>
    </xf>
    <xf numFmtId="0" fontId="17" fillId="0" borderId="0" xfId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17" fillId="34" borderId="35" xfId="0" applyFont="1" applyFill="1" applyBorder="1" applyAlignment="1"/>
    <xf numFmtId="0" fontId="17" fillId="34" borderId="27" xfId="0" applyFont="1" applyFill="1" applyBorder="1" applyAlignment="1"/>
    <xf numFmtId="0" fontId="17" fillId="33" borderId="35" xfId="0" applyFont="1" applyFill="1" applyBorder="1" applyAlignment="1"/>
    <xf numFmtId="181" fontId="17" fillId="33" borderId="1" xfId="0" applyNumberFormat="1" applyFont="1" applyFill="1" applyBorder="1" applyAlignment="1"/>
    <xf numFmtId="0" fontId="17" fillId="33" borderId="27" xfId="0" applyFont="1" applyFill="1" applyBorder="1" applyAlignment="1"/>
    <xf numFmtId="181" fontId="17" fillId="34" borderId="1" xfId="0" applyNumberFormat="1" applyFont="1" applyFill="1" applyBorder="1" applyAlignment="1"/>
    <xf numFmtId="181" fontId="17" fillId="34" borderId="1" xfId="0" applyNumberFormat="1" applyFont="1" applyFill="1" applyBorder="1" applyAlignment="1">
      <alignment horizontal="center"/>
    </xf>
    <xf numFmtId="0" fontId="6" fillId="33" borderId="35" xfId="0" applyFont="1" applyFill="1" applyBorder="1">
      <alignment vertical="center"/>
    </xf>
    <xf numFmtId="0" fontId="6" fillId="33" borderId="1" xfId="0" applyFont="1" applyFill="1" applyBorder="1">
      <alignment vertical="center"/>
    </xf>
    <xf numFmtId="0" fontId="6" fillId="33" borderId="27" xfId="0" applyFont="1" applyFill="1" applyBorder="1">
      <alignment vertical="center"/>
    </xf>
    <xf numFmtId="0" fontId="6" fillId="34" borderId="35" xfId="0" applyFont="1" applyFill="1" applyBorder="1">
      <alignment vertical="center"/>
    </xf>
    <xf numFmtId="0" fontId="6" fillId="34" borderId="1" xfId="0" applyFont="1" applyFill="1" applyBorder="1">
      <alignment vertical="center"/>
    </xf>
    <xf numFmtId="0" fontId="6" fillId="34" borderId="27" xfId="0" applyFont="1" applyFill="1" applyBorder="1">
      <alignment vertical="center"/>
    </xf>
    <xf numFmtId="0" fontId="6" fillId="33" borderId="36" xfId="0" applyFont="1" applyFill="1" applyBorder="1">
      <alignment vertical="center"/>
    </xf>
    <xf numFmtId="0" fontId="6" fillId="33" borderId="37" xfId="0" applyFont="1" applyFill="1" applyBorder="1">
      <alignment vertical="center"/>
    </xf>
    <xf numFmtId="0" fontId="6" fillId="33" borderId="32" xfId="0" applyFont="1" applyFill="1" applyBorder="1">
      <alignment vertical="center"/>
    </xf>
    <xf numFmtId="0" fontId="6" fillId="33" borderId="45" xfId="0" applyFont="1" applyFill="1" applyBorder="1">
      <alignment vertical="center"/>
    </xf>
    <xf numFmtId="0" fontId="6" fillId="33" borderId="14" xfId="0" applyFont="1" applyFill="1" applyBorder="1">
      <alignment vertical="center"/>
    </xf>
    <xf numFmtId="0" fontId="6" fillId="33" borderId="49" xfId="0" applyFont="1" applyFill="1" applyBorder="1">
      <alignment vertical="center"/>
    </xf>
    <xf numFmtId="0" fontId="6" fillId="33" borderId="24" xfId="0" applyFont="1" applyFill="1" applyBorder="1">
      <alignment vertical="center"/>
    </xf>
    <xf numFmtId="0" fontId="6" fillId="33" borderId="0" xfId="0" applyFont="1" applyFill="1">
      <alignment vertical="center"/>
    </xf>
    <xf numFmtId="0" fontId="6" fillId="2" borderId="0" xfId="0" applyFont="1" applyFill="1">
      <alignment vertical="center"/>
    </xf>
    <xf numFmtId="0" fontId="6" fillId="0" borderId="1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33" xfId="0" applyFont="1" applyBorder="1">
      <alignment vertical="center"/>
    </xf>
    <xf numFmtId="0" fontId="17" fillId="0" borderId="0" xfId="1" applyFont="1" applyAlignment="1">
      <alignment horizontal="left"/>
    </xf>
    <xf numFmtId="0" fontId="6" fillId="0" borderId="35" xfId="0" applyFont="1" applyBorder="1">
      <alignment vertical="center"/>
    </xf>
    <xf numFmtId="0" fontId="6" fillId="0" borderId="27" xfId="0" applyFont="1" applyBorder="1">
      <alignment vertical="center"/>
    </xf>
    <xf numFmtId="0" fontId="6" fillId="0" borderId="36" xfId="0" applyFont="1" applyBorder="1">
      <alignment vertical="center"/>
    </xf>
    <xf numFmtId="0" fontId="6" fillId="0" borderId="37" xfId="0" applyFont="1" applyBorder="1">
      <alignment vertical="center"/>
    </xf>
    <xf numFmtId="0" fontId="6" fillId="0" borderId="32" xfId="0" applyFont="1" applyBorder="1">
      <alignment vertical="center"/>
    </xf>
    <xf numFmtId="0" fontId="6" fillId="35" borderId="35" xfId="0" applyFont="1" applyFill="1" applyBorder="1">
      <alignment vertical="center"/>
    </xf>
    <xf numFmtId="0" fontId="6" fillId="35" borderId="1" xfId="0" applyFont="1" applyFill="1" applyBorder="1">
      <alignment vertical="center"/>
    </xf>
    <xf numFmtId="0" fontId="6" fillId="34" borderId="45" xfId="0" applyFont="1" applyFill="1" applyBorder="1">
      <alignment vertical="center"/>
    </xf>
    <xf numFmtId="0" fontId="6" fillId="34" borderId="14" xfId="0" applyFont="1" applyFill="1" applyBorder="1">
      <alignment vertical="center"/>
    </xf>
    <xf numFmtId="0" fontId="6" fillId="34" borderId="49" xfId="0" applyFont="1" applyFill="1" applyBorder="1">
      <alignment vertical="center"/>
    </xf>
    <xf numFmtId="0" fontId="47" fillId="36" borderId="47" xfId="0" applyFont="1" applyFill="1" applyBorder="1">
      <alignment vertical="center"/>
    </xf>
    <xf numFmtId="0" fontId="47" fillId="36" borderId="21" xfId="0" applyFont="1" applyFill="1" applyBorder="1">
      <alignment vertical="center"/>
    </xf>
    <xf numFmtId="0" fontId="47" fillId="36" borderId="18" xfId="0" applyFont="1" applyFill="1" applyBorder="1">
      <alignment vertical="center"/>
    </xf>
    <xf numFmtId="0" fontId="47" fillId="36" borderId="11" xfId="0" applyFont="1" applyFill="1" applyBorder="1">
      <alignment vertical="center"/>
    </xf>
    <xf numFmtId="0" fontId="47" fillId="36" borderId="51" xfId="0" applyFont="1" applyFill="1" applyBorder="1">
      <alignment vertical="center"/>
    </xf>
    <xf numFmtId="0" fontId="47" fillId="36" borderId="35" xfId="0" applyFont="1" applyFill="1" applyBorder="1" applyAlignment="1"/>
    <xf numFmtId="0" fontId="47" fillId="36" borderId="1" xfId="0" applyFont="1" applyFill="1" applyBorder="1" applyAlignment="1"/>
    <xf numFmtId="0" fontId="47" fillId="36" borderId="27" xfId="0" applyFont="1" applyFill="1" applyBorder="1" applyAlignment="1"/>
    <xf numFmtId="0" fontId="47" fillId="36" borderId="22" xfId="0" applyFont="1" applyFill="1" applyBorder="1">
      <alignment vertical="center"/>
    </xf>
    <xf numFmtId="0" fontId="47" fillId="36" borderId="23" xfId="0" applyFont="1" applyFill="1" applyBorder="1">
      <alignment vertical="center"/>
    </xf>
    <xf numFmtId="0" fontId="46" fillId="8" borderId="22" xfId="0" applyFont="1" applyFill="1" applyBorder="1">
      <alignment vertical="center"/>
    </xf>
    <xf numFmtId="0" fontId="46" fillId="8" borderId="23" xfId="0" applyFont="1" applyFill="1" applyBorder="1">
      <alignment vertical="center"/>
    </xf>
    <xf numFmtId="14" fontId="33" fillId="9" borderId="0" xfId="4" applyNumberFormat="1" applyFont="1" applyFill="1">
      <alignment vertical="center"/>
    </xf>
    <xf numFmtId="0" fontId="40" fillId="12" borderId="21" xfId="1" applyFont="1" applyFill="1" applyBorder="1" applyAlignment="1">
      <alignment vertical="center"/>
    </xf>
    <xf numFmtId="0" fontId="41" fillId="13" borderId="22" xfId="1" applyFont="1" applyFill="1" applyBorder="1" applyAlignment="1">
      <alignment horizontal="center"/>
    </xf>
    <xf numFmtId="0" fontId="41" fillId="13" borderId="23" xfId="1" applyFont="1" applyFill="1" applyBorder="1" applyAlignment="1">
      <alignment horizontal="center"/>
    </xf>
    <xf numFmtId="0" fontId="42" fillId="0" borderId="0" xfId="1" applyFont="1"/>
    <xf numFmtId="0" fontId="40" fillId="14" borderId="21" xfId="1" applyFont="1" applyFill="1" applyBorder="1" applyAlignment="1">
      <alignment vertical="center" wrapText="1"/>
    </xf>
    <xf numFmtId="0" fontId="40" fillId="15" borderId="21" xfId="1" applyFont="1" applyFill="1" applyBorder="1" applyAlignment="1">
      <alignment vertical="center"/>
    </xf>
    <xf numFmtId="0" fontId="40" fillId="16" borderId="21" xfId="1" applyFont="1" applyFill="1" applyBorder="1" applyAlignment="1">
      <alignment vertical="center" wrapText="1"/>
    </xf>
    <xf numFmtId="0" fontId="40" fillId="16" borderId="21" xfId="1" applyFont="1" applyFill="1" applyBorder="1" applyAlignment="1">
      <alignment vertical="center"/>
    </xf>
    <xf numFmtId="0" fontId="42" fillId="0" borderId="1" xfId="1" applyFont="1" applyBorder="1"/>
    <xf numFmtId="0" fontId="42" fillId="0" borderId="27" xfId="1" applyFont="1" applyBorder="1"/>
    <xf numFmtId="178" fontId="38" fillId="17" borderId="0" xfId="1" applyNumberFormat="1" applyFont="1" applyFill="1" applyAlignment="1">
      <alignment horizontal="center"/>
    </xf>
    <xf numFmtId="178" fontId="38" fillId="18" borderId="1" xfId="1" applyNumberFormat="1" applyFont="1" applyFill="1" applyBorder="1" applyAlignment="1">
      <alignment horizontal="center"/>
    </xf>
    <xf numFmtId="178" fontId="38" fillId="18" borderId="14" xfId="1" applyNumberFormat="1" applyFont="1" applyFill="1" applyBorder="1" applyAlignment="1">
      <alignment horizontal="center"/>
    </xf>
    <xf numFmtId="178" fontId="38" fillId="19" borderId="1" xfId="1" applyNumberFormat="1" applyFont="1" applyFill="1" applyBorder="1" applyAlignment="1">
      <alignment horizontal="center"/>
    </xf>
    <xf numFmtId="178" fontId="38" fillId="12" borderId="10" xfId="1" applyNumberFormat="1" applyFont="1" applyFill="1" applyBorder="1" applyAlignment="1">
      <alignment horizontal="center"/>
    </xf>
    <xf numFmtId="178" fontId="38" fillId="19" borderId="10" xfId="1" applyNumberFormat="1" applyFont="1" applyFill="1" applyBorder="1"/>
    <xf numFmtId="178" fontId="38" fillId="19" borderId="1" xfId="1" applyNumberFormat="1" applyFont="1" applyFill="1" applyBorder="1"/>
    <xf numFmtId="178" fontId="38" fillId="20" borderId="1" xfId="1" applyNumberFormat="1" applyFont="1" applyFill="1" applyBorder="1" applyAlignment="1">
      <alignment horizontal="center"/>
    </xf>
    <xf numFmtId="178" fontId="38" fillId="16" borderId="10" xfId="1" applyNumberFormat="1" applyFont="1" applyFill="1" applyBorder="1" applyAlignment="1">
      <alignment horizontal="center"/>
    </xf>
    <xf numFmtId="178" fontId="38" fillId="20" borderId="10" xfId="1" applyNumberFormat="1" applyFont="1" applyFill="1" applyBorder="1"/>
    <xf numFmtId="178" fontId="38" fillId="20" borderId="1" xfId="1" applyNumberFormat="1" applyFont="1" applyFill="1" applyBorder="1"/>
    <xf numFmtId="0" fontId="42" fillId="0" borderId="37" xfId="1" applyFont="1" applyBorder="1"/>
    <xf numFmtId="0" fontId="42" fillId="0" borderId="32" xfId="1" applyFont="1" applyBorder="1"/>
    <xf numFmtId="178" fontId="43" fillId="0" borderId="24" xfId="1" applyNumberFormat="1" applyFont="1" applyBorder="1" applyAlignment="1">
      <alignment vertical="center"/>
    </xf>
    <xf numFmtId="178" fontId="38" fillId="0" borderId="1" xfId="1" applyNumberFormat="1" applyFont="1" applyBorder="1" applyAlignment="1">
      <alignment horizontal="center"/>
    </xf>
    <xf numFmtId="178" fontId="38" fillId="0" borderId="10" xfId="1" applyNumberFormat="1" applyFont="1" applyBorder="1" applyAlignment="1">
      <alignment horizontal="center"/>
    </xf>
    <xf numFmtId="178" fontId="38" fillId="0" borderId="10" xfId="1" applyNumberFormat="1" applyFont="1" applyBorder="1"/>
    <xf numFmtId="178" fontId="38" fillId="0" borderId="1" xfId="1" applyNumberFormat="1" applyFont="1" applyBorder="1"/>
    <xf numFmtId="0" fontId="42" fillId="10" borderId="28" xfId="1" applyFont="1" applyFill="1" applyBorder="1"/>
    <xf numFmtId="0" fontId="42" fillId="10" borderId="30" xfId="1" applyFont="1" applyFill="1" applyBorder="1"/>
    <xf numFmtId="178" fontId="43" fillId="0" borderId="24" xfId="1" applyNumberFormat="1" applyFont="1" applyBorder="1"/>
    <xf numFmtId="0" fontId="41" fillId="12" borderId="21" xfId="1" applyFont="1" applyFill="1" applyBorder="1"/>
    <xf numFmtId="0" fontId="41" fillId="0" borderId="0" xfId="1" applyFont="1"/>
    <xf numFmtId="0" fontId="41" fillId="14" borderId="21" xfId="1" applyFont="1" applyFill="1" applyBorder="1"/>
    <xf numFmtId="0" fontId="41" fillId="15" borderId="21" xfId="1" applyFont="1" applyFill="1" applyBorder="1"/>
    <xf numFmtId="0" fontId="41" fillId="16" borderId="21" xfId="1" applyFont="1" applyFill="1" applyBorder="1"/>
    <xf numFmtId="188" fontId="38" fillId="0" borderId="10" xfId="1" applyNumberFormat="1" applyFont="1" applyBorder="1" applyAlignment="1">
      <alignment horizontal="right"/>
    </xf>
    <xf numFmtId="178" fontId="38" fillId="19" borderId="1" xfId="1" applyNumberFormat="1" applyFont="1" applyFill="1" applyBorder="1" applyAlignment="1">
      <alignment horizontal="right"/>
    </xf>
    <xf numFmtId="188" fontId="38" fillId="20" borderId="1" xfId="1" applyNumberFormat="1" applyFont="1" applyFill="1" applyBorder="1" applyAlignment="1">
      <alignment horizontal="right"/>
    </xf>
    <xf numFmtId="178" fontId="38" fillId="0" borderId="1" xfId="1" applyNumberFormat="1" applyFont="1" applyBorder="1" applyAlignment="1">
      <alignment horizontal="right"/>
    </xf>
    <xf numFmtId="188" fontId="38" fillId="0" borderId="1" xfId="1" applyNumberFormat="1" applyFont="1" applyBorder="1" applyAlignment="1">
      <alignment horizontal="right"/>
    </xf>
    <xf numFmtId="0" fontId="38" fillId="20" borderId="1" xfId="1" applyFont="1" applyFill="1" applyBorder="1" applyAlignment="1">
      <alignment horizontal="center"/>
    </xf>
    <xf numFmtId="0" fontId="38" fillId="0" borderId="1" xfId="1" applyFont="1" applyBorder="1" applyAlignment="1">
      <alignment horizontal="center"/>
    </xf>
    <xf numFmtId="178" fontId="38" fillId="0" borderId="0" xfId="1" applyNumberFormat="1" applyFont="1" applyAlignment="1">
      <alignment horizontal="center"/>
    </xf>
    <xf numFmtId="178" fontId="38" fillId="18" borderId="1" xfId="1" applyNumberFormat="1" applyFont="1" applyFill="1" applyBorder="1"/>
    <xf numFmtId="0" fontId="42" fillId="0" borderId="49" xfId="1" applyFont="1" applyBorder="1"/>
    <xf numFmtId="178" fontId="38" fillId="21" borderId="0" xfId="1" applyNumberFormat="1" applyFont="1" applyFill="1" applyAlignment="1">
      <alignment horizontal="center"/>
    </xf>
    <xf numFmtId="178" fontId="38" fillId="22" borderId="1" xfId="1" applyNumberFormat="1" applyFont="1" applyFill="1" applyBorder="1" applyAlignment="1">
      <alignment horizontal="center"/>
    </xf>
    <xf numFmtId="178" fontId="38" fillId="6" borderId="10" xfId="1" applyNumberFormat="1" applyFont="1" applyFill="1" applyBorder="1" applyAlignment="1">
      <alignment horizontal="center"/>
    </xf>
    <xf numFmtId="178" fontId="38" fillId="22" borderId="10" xfId="1" applyNumberFormat="1" applyFont="1" applyFill="1" applyBorder="1"/>
    <xf numFmtId="178" fontId="38" fillId="22" borderId="1" xfId="1" applyNumberFormat="1" applyFont="1" applyFill="1" applyBorder="1"/>
    <xf numFmtId="0" fontId="42" fillId="0" borderId="14" xfId="1" applyFont="1" applyBorder="1"/>
    <xf numFmtId="0" fontId="42" fillId="12" borderId="36" xfId="1" applyFont="1" applyFill="1" applyBorder="1" applyAlignment="1">
      <alignment horizontal="center"/>
    </xf>
    <xf numFmtId="0" fontId="42" fillId="0" borderId="37" xfId="1" applyFont="1" applyBorder="1" applyAlignment="1">
      <alignment horizontal="right"/>
    </xf>
    <xf numFmtId="0" fontId="42" fillId="0" borderId="50" xfId="1" applyFont="1" applyBorder="1" applyAlignment="1">
      <alignment horizontal="right"/>
    </xf>
    <xf numFmtId="0" fontId="42" fillId="0" borderId="0" xfId="1" applyFont="1" applyAlignment="1">
      <alignment horizontal="center"/>
    </xf>
    <xf numFmtId="0" fontId="42" fillId="14" borderId="36" xfId="1" applyFont="1" applyFill="1" applyBorder="1" applyAlignment="1">
      <alignment horizontal="center"/>
    </xf>
    <xf numFmtId="0" fontId="42" fillId="0" borderId="32" xfId="1" applyFont="1" applyBorder="1" applyAlignment="1">
      <alignment horizontal="right"/>
    </xf>
    <xf numFmtId="0" fontId="42" fillId="15" borderId="36" xfId="1" applyFont="1" applyFill="1" applyBorder="1" applyAlignment="1">
      <alignment horizontal="center"/>
    </xf>
    <xf numFmtId="0" fontId="42" fillId="0" borderId="14" xfId="1" applyFont="1" applyBorder="1" applyAlignment="1">
      <alignment horizontal="right"/>
    </xf>
    <xf numFmtId="0" fontId="42" fillId="16" borderId="36" xfId="1" applyFont="1" applyFill="1" applyBorder="1" applyAlignment="1">
      <alignment horizontal="center"/>
    </xf>
    <xf numFmtId="0" fontId="42" fillId="10" borderId="2" xfId="1" applyFont="1" applyFill="1" applyBorder="1"/>
    <xf numFmtId="0" fontId="42" fillId="10" borderId="4" xfId="1" applyFont="1" applyFill="1" applyBorder="1"/>
    <xf numFmtId="0" fontId="41" fillId="23" borderId="21" xfId="1" applyFont="1" applyFill="1" applyBorder="1"/>
    <xf numFmtId="0" fontId="41" fillId="24" borderId="21" xfId="1" applyFont="1" applyFill="1" applyBorder="1"/>
    <xf numFmtId="0" fontId="41" fillId="25" borderId="21" xfId="1" applyFont="1" applyFill="1" applyBorder="1"/>
    <xf numFmtId="0" fontId="41" fillId="26" borderId="21" xfId="1" applyFont="1" applyFill="1" applyBorder="1"/>
    <xf numFmtId="178" fontId="38" fillId="22" borderId="1" xfId="1" applyNumberFormat="1" applyFont="1" applyFill="1" applyBorder="1" applyAlignment="1">
      <alignment horizontal="right"/>
    </xf>
    <xf numFmtId="178" fontId="38" fillId="6" borderId="1" xfId="1" applyNumberFormat="1" applyFont="1" applyFill="1" applyBorder="1" applyAlignment="1">
      <alignment horizontal="center"/>
    </xf>
    <xf numFmtId="178" fontId="38" fillId="28" borderId="1" xfId="1" applyNumberFormat="1" applyFont="1" applyFill="1" applyBorder="1" applyAlignment="1">
      <alignment horizontal="center"/>
    </xf>
    <xf numFmtId="178" fontId="38" fillId="29" borderId="1" xfId="1" applyNumberFormat="1" applyFont="1" applyFill="1" applyBorder="1" applyAlignment="1">
      <alignment horizontal="center"/>
    </xf>
    <xf numFmtId="178" fontId="38" fillId="28" borderId="1" xfId="1" applyNumberFormat="1" applyFont="1" applyFill="1" applyBorder="1"/>
    <xf numFmtId="178" fontId="17" fillId="0" borderId="0" xfId="1" applyNumberFormat="1" applyFont="1" applyAlignment="1">
      <alignment horizontal="center"/>
    </xf>
    <xf numFmtId="178" fontId="17" fillId="0" borderId="0" xfId="1" applyNumberFormat="1" applyFont="1"/>
    <xf numFmtId="0" fontId="42" fillId="0" borderId="11" xfId="1" applyFont="1" applyBorder="1"/>
    <xf numFmtId="0" fontId="42" fillId="0" borderId="51" xfId="1" applyFont="1" applyBorder="1"/>
    <xf numFmtId="0" fontId="42" fillId="23" borderId="36" xfId="1" applyFont="1" applyFill="1" applyBorder="1"/>
    <xf numFmtId="0" fontId="42" fillId="24" borderId="36" xfId="1" applyFont="1" applyFill="1" applyBorder="1"/>
    <xf numFmtId="0" fontId="42" fillId="25" borderId="36" xfId="1" applyFont="1" applyFill="1" applyBorder="1"/>
    <xf numFmtId="0" fontId="42" fillId="26" borderId="36" xfId="1" applyFont="1" applyFill="1" applyBorder="1"/>
    <xf numFmtId="0" fontId="0" fillId="2" borderId="1" xfId="0" applyFill="1" applyBorder="1">
      <alignment vertical="center"/>
    </xf>
    <xf numFmtId="0" fontId="0" fillId="37" borderId="1" xfId="0" applyFill="1" applyBorder="1" applyAlignment="1">
      <alignment horizontal="left" vertical="center"/>
    </xf>
    <xf numFmtId="0" fontId="28" fillId="39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28" fillId="0" borderId="1" xfId="0" applyFont="1" applyBorder="1">
      <alignment vertical="center"/>
    </xf>
    <xf numFmtId="189" fontId="0" fillId="37" borderId="0" xfId="0" applyNumberFormat="1" applyFill="1" applyAlignment="1">
      <alignment horizontal="left" vertical="center"/>
    </xf>
    <xf numFmtId="0" fontId="0" fillId="2" borderId="0" xfId="0" applyFill="1">
      <alignment vertical="center"/>
    </xf>
    <xf numFmtId="0" fontId="28" fillId="2" borderId="0" xfId="0" applyFont="1" applyFill="1">
      <alignment vertical="center"/>
    </xf>
    <xf numFmtId="0" fontId="28" fillId="38" borderId="0" xfId="0" applyFont="1" applyFill="1" applyAlignment="1">
      <alignment horizontal="left" vertical="center"/>
    </xf>
    <xf numFmtId="0" fontId="28" fillId="39" borderId="0" xfId="0" applyFont="1" applyFill="1" applyAlignment="1">
      <alignment horizontal="left" vertical="center"/>
    </xf>
    <xf numFmtId="0" fontId="48" fillId="8" borderId="0" xfId="1" applyFont="1" applyFill="1"/>
    <xf numFmtId="0" fontId="48" fillId="2" borderId="0" xfId="1" applyFont="1" applyFill="1"/>
    <xf numFmtId="0" fontId="17" fillId="0" borderId="1" xfId="1" applyFont="1" applyBorder="1"/>
    <xf numFmtId="0" fontId="17" fillId="0" borderId="1" xfId="1" applyFont="1" applyBorder="1" applyAlignment="1">
      <alignment vertical="center"/>
    </xf>
    <xf numFmtId="178" fontId="10" fillId="0" borderId="5" xfId="1" applyNumberFormat="1" applyFont="1" applyBorder="1" applyAlignment="1">
      <alignment horizontal="right"/>
    </xf>
    <xf numFmtId="188" fontId="17" fillId="0" borderId="0" xfId="1" applyNumberFormat="1" applyFont="1"/>
    <xf numFmtId="188" fontId="10" fillId="0" borderId="0" xfId="1" applyNumberFormat="1" applyFont="1" applyAlignment="1">
      <alignment vertical="center"/>
    </xf>
    <xf numFmtId="188" fontId="23" fillId="0" borderId="0" xfId="1" applyNumberFormat="1" applyFont="1"/>
    <xf numFmtId="188" fontId="18" fillId="0" borderId="0" xfId="1" applyNumberFormat="1" applyFont="1"/>
    <xf numFmtId="188" fontId="10" fillId="0" borderId="0" xfId="1" applyNumberFormat="1" applyFont="1"/>
    <xf numFmtId="0" fontId="26" fillId="4" borderId="1" xfId="0" applyFont="1" applyFill="1" applyBorder="1">
      <alignment vertical="center"/>
    </xf>
    <xf numFmtId="0" fontId="26" fillId="0" borderId="0" xfId="0" applyFont="1">
      <alignment vertical="center"/>
    </xf>
    <xf numFmtId="0" fontId="24" fillId="5" borderId="1" xfId="0" applyFont="1" applyFill="1" applyBorder="1">
      <alignment vertical="center"/>
    </xf>
    <xf numFmtId="0" fontId="24" fillId="0" borderId="0" xfId="0" applyFont="1">
      <alignment vertical="center"/>
    </xf>
    <xf numFmtId="0" fontId="24" fillId="0" borderId="1" xfId="0" applyFont="1" applyBorder="1">
      <alignment vertical="center"/>
    </xf>
    <xf numFmtId="0" fontId="24" fillId="0" borderId="39" xfId="0" applyFont="1" applyBorder="1">
      <alignment vertical="center"/>
    </xf>
    <xf numFmtId="0" fontId="53" fillId="4" borderId="1" xfId="0" applyFont="1" applyFill="1" applyBorder="1">
      <alignment vertical="center"/>
    </xf>
    <xf numFmtId="0" fontId="10" fillId="5" borderId="1" xfId="3" applyFont="1" applyFill="1" applyBorder="1" applyAlignment="1">
      <alignment vertical="center"/>
    </xf>
    <xf numFmtId="0" fontId="10" fillId="2" borderId="1" xfId="3" applyFont="1" applyFill="1" applyBorder="1" applyAlignment="1">
      <alignment vertical="center"/>
    </xf>
    <xf numFmtId="0" fontId="10" fillId="2" borderId="1" xfId="3" applyFont="1" applyFill="1" applyBorder="1" applyAlignment="1">
      <alignment horizontal="left" vertical="center"/>
    </xf>
    <xf numFmtId="49" fontId="26" fillId="4" borderId="1" xfId="0" applyNumberFormat="1" applyFont="1" applyFill="1" applyBorder="1" applyAlignment="1">
      <alignment horizontal="center" vertical="center"/>
    </xf>
    <xf numFmtId="49" fontId="24" fillId="5" borderId="1" xfId="0" applyNumberFormat="1" applyFont="1" applyFill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54" fillId="0" borderId="0" xfId="1" applyFont="1"/>
    <xf numFmtId="0" fontId="54" fillId="22" borderId="2" xfId="1" applyFont="1" applyFill="1" applyBorder="1"/>
    <xf numFmtId="0" fontId="10" fillId="22" borderId="3" xfId="1" applyFont="1" applyFill="1" applyBorder="1"/>
    <xf numFmtId="178" fontId="10" fillId="22" borderId="3" xfId="1" applyNumberFormat="1" applyFont="1" applyFill="1" applyBorder="1"/>
    <xf numFmtId="0" fontId="10" fillId="22" borderId="4" xfId="1" applyFont="1" applyFill="1" applyBorder="1"/>
    <xf numFmtId="0" fontId="10" fillId="0" borderId="0" xfId="1" applyFont="1" applyAlignment="1">
      <alignment vertical="center"/>
    </xf>
    <xf numFmtId="178" fontId="10" fillId="0" borderId="0" xfId="1" applyNumberFormat="1" applyFont="1" applyAlignment="1">
      <alignment vertical="center"/>
    </xf>
    <xf numFmtId="3" fontId="10" fillId="0" borderId="0" xfId="1" applyNumberFormat="1" applyFont="1" applyAlignment="1">
      <alignment vertical="center"/>
    </xf>
    <xf numFmtId="188" fontId="18" fillId="18" borderId="0" xfId="1" applyNumberFormat="1" applyFont="1" applyFill="1"/>
    <xf numFmtId="0" fontId="56" fillId="0" borderId="0" xfId="0" applyFont="1">
      <alignment vertical="center"/>
    </xf>
    <xf numFmtId="0" fontId="7" fillId="2" borderId="42" xfId="0" applyFont="1" applyFill="1" applyBorder="1" applyProtection="1">
      <alignment vertical="center"/>
      <protection locked="0"/>
    </xf>
    <xf numFmtId="0" fontId="26" fillId="4" borderId="1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56" fillId="0" borderId="23" xfId="0" applyFont="1" applyBorder="1">
      <alignment vertical="center"/>
    </xf>
    <xf numFmtId="0" fontId="56" fillId="0" borderId="27" xfId="0" applyFont="1" applyBorder="1">
      <alignment vertical="center"/>
    </xf>
    <xf numFmtId="0" fontId="56" fillId="0" borderId="32" xfId="0" applyFont="1" applyBorder="1">
      <alignment vertical="center"/>
    </xf>
    <xf numFmtId="0" fontId="29" fillId="0" borderId="0" xfId="0" applyFont="1">
      <alignment vertical="center"/>
    </xf>
    <xf numFmtId="0" fontId="14" fillId="0" borderId="6" xfId="1" applyFont="1" applyBorder="1" applyAlignment="1">
      <alignment vertical="center"/>
    </xf>
    <xf numFmtId="0" fontId="14" fillId="0" borderId="6" xfId="1" applyFont="1" applyBorder="1" applyAlignment="1">
      <alignment horizontal="center"/>
    </xf>
    <xf numFmtId="180" fontId="14" fillId="0" borderId="6" xfId="1" applyNumberFormat="1" applyFont="1" applyBorder="1" applyAlignment="1">
      <alignment horizontal="center" shrinkToFit="1"/>
    </xf>
    <xf numFmtId="0" fontId="14" fillId="0" borderId="44" xfId="1" applyFont="1" applyBorder="1" applyAlignment="1">
      <alignment vertical="center"/>
    </xf>
    <xf numFmtId="0" fontId="14" fillId="0" borderId="44" xfId="1" applyFont="1" applyBorder="1" applyAlignment="1">
      <alignment horizontal="center"/>
    </xf>
    <xf numFmtId="0" fontId="10" fillId="13" borderId="2" xfId="1" applyFont="1" applyFill="1" applyBorder="1" applyAlignment="1">
      <alignment horizontal="center" vertical="center"/>
    </xf>
    <xf numFmtId="0" fontId="14" fillId="0" borderId="11" xfId="1" applyFont="1" applyBorder="1" applyAlignment="1">
      <alignment horizontal="center" vertical="center" shrinkToFit="1"/>
    </xf>
    <xf numFmtId="0" fontId="14" fillId="0" borderId="12" xfId="1" applyFont="1" applyBorder="1" applyAlignment="1">
      <alignment vertical="center"/>
    </xf>
    <xf numFmtId="0" fontId="14" fillId="0" borderId="43" xfId="1" applyFont="1" applyBorder="1" applyAlignment="1">
      <alignment vertical="center"/>
    </xf>
    <xf numFmtId="186" fontId="14" fillId="0" borderId="5" xfId="1" applyNumberFormat="1" applyFont="1" applyBorder="1" applyAlignment="1">
      <alignment vertical="center"/>
    </xf>
    <xf numFmtId="0" fontId="14" fillId="0" borderId="13" xfId="1" applyFont="1" applyBorder="1" applyAlignment="1">
      <alignment vertical="center"/>
    </xf>
    <xf numFmtId="0" fontId="14" fillId="0" borderId="0" xfId="1" applyFont="1" applyAlignment="1">
      <alignment vertical="center"/>
    </xf>
    <xf numFmtId="0" fontId="14" fillId="0" borderId="1" xfId="1" applyFont="1" applyBorder="1" applyAlignment="1">
      <alignment horizontal="center" vertical="center" shrinkToFit="1"/>
    </xf>
    <xf numFmtId="0" fontId="14" fillId="0" borderId="8" xfId="1" applyFont="1" applyBorder="1" applyAlignment="1">
      <alignment vertical="center"/>
    </xf>
    <xf numFmtId="0" fontId="14" fillId="0" borderId="9" xfId="1" applyFont="1" applyBorder="1" applyAlignment="1">
      <alignment vertical="center"/>
    </xf>
    <xf numFmtId="0" fontId="6" fillId="0" borderId="60" xfId="0" applyFont="1" applyBorder="1">
      <alignment vertical="center"/>
    </xf>
    <xf numFmtId="0" fontId="6" fillId="0" borderId="58" xfId="0" applyFont="1" applyBorder="1">
      <alignment vertical="center"/>
    </xf>
    <xf numFmtId="0" fontId="6" fillId="0" borderId="62" xfId="0" applyFont="1" applyBorder="1">
      <alignment vertical="center"/>
    </xf>
    <xf numFmtId="0" fontId="10" fillId="40" borderId="1" xfId="1" applyFont="1" applyFill="1" applyBorder="1" applyAlignment="1">
      <alignment horizontal="center"/>
    </xf>
    <xf numFmtId="0" fontId="6" fillId="43" borderId="65" xfId="0" applyFont="1" applyFill="1" applyBorder="1">
      <alignment vertical="center"/>
    </xf>
    <xf numFmtId="0" fontId="6" fillId="43" borderId="68" xfId="0" applyFont="1" applyFill="1" applyBorder="1">
      <alignment vertical="center"/>
    </xf>
    <xf numFmtId="0" fontId="6" fillId="43" borderId="71" xfId="0" applyFont="1" applyFill="1" applyBorder="1">
      <alignment vertical="center"/>
    </xf>
    <xf numFmtId="0" fontId="6" fillId="44" borderId="65" xfId="0" applyFont="1" applyFill="1" applyBorder="1">
      <alignment vertical="center"/>
    </xf>
    <xf numFmtId="0" fontId="6" fillId="44" borderId="68" xfId="0" applyFont="1" applyFill="1" applyBorder="1">
      <alignment vertical="center"/>
    </xf>
    <xf numFmtId="0" fontId="6" fillId="44" borderId="71" xfId="0" applyFont="1" applyFill="1" applyBorder="1">
      <alignment vertical="center"/>
    </xf>
    <xf numFmtId="0" fontId="29" fillId="42" borderId="1" xfId="0" applyFont="1" applyFill="1" applyBorder="1" applyAlignment="1">
      <alignment horizontal="center" vertical="center"/>
    </xf>
    <xf numFmtId="0" fontId="53" fillId="40" borderId="1" xfId="0" applyFont="1" applyFill="1" applyBorder="1" applyAlignment="1">
      <alignment horizontal="center" vertical="center"/>
    </xf>
    <xf numFmtId="0" fontId="56" fillId="7" borderId="21" xfId="0" applyFont="1" applyFill="1" applyBorder="1">
      <alignment vertical="center"/>
    </xf>
    <xf numFmtId="0" fontId="56" fillId="7" borderId="35" xfId="0" applyFont="1" applyFill="1" applyBorder="1">
      <alignment vertical="center"/>
    </xf>
    <xf numFmtId="0" fontId="56" fillId="7" borderId="36" xfId="0" applyFont="1" applyFill="1" applyBorder="1">
      <alignment vertical="center"/>
    </xf>
    <xf numFmtId="192" fontId="26" fillId="0" borderId="64" xfId="0" applyNumberFormat="1" applyFont="1" applyBorder="1" applyAlignment="1">
      <alignment horizontal="center" vertical="center"/>
    </xf>
    <xf numFmtId="192" fontId="26" fillId="0" borderId="65" xfId="0" applyNumberFormat="1" applyFont="1" applyBorder="1" applyAlignment="1">
      <alignment horizontal="center" vertical="center"/>
    </xf>
    <xf numFmtId="192" fontId="26" fillId="0" borderId="66" xfId="0" applyNumberFormat="1" applyFont="1" applyBorder="1" applyAlignment="1">
      <alignment horizontal="center" vertical="center"/>
    </xf>
    <xf numFmtId="0" fontId="56" fillId="0" borderId="38" xfId="0" applyFont="1" applyBorder="1">
      <alignment vertical="center"/>
    </xf>
    <xf numFmtId="0" fontId="61" fillId="0" borderId="5" xfId="0" applyFont="1" applyBorder="1">
      <alignment vertical="center"/>
    </xf>
    <xf numFmtId="0" fontId="17" fillId="0" borderId="1" xfId="1" applyFont="1" applyBorder="1" applyAlignment="1">
      <alignment horizontal="center" vertical="center"/>
    </xf>
    <xf numFmtId="0" fontId="17" fillId="0" borderId="40" xfId="1" applyFont="1" applyBorder="1" applyAlignment="1">
      <alignment vertical="center"/>
    </xf>
    <xf numFmtId="0" fontId="17" fillId="0" borderId="41" xfId="1" applyFont="1" applyBorder="1" applyAlignment="1">
      <alignment vertical="center"/>
    </xf>
    <xf numFmtId="0" fontId="17" fillId="0" borderId="42" xfId="1" applyFont="1" applyBorder="1" applyAlignment="1">
      <alignment vertical="center"/>
    </xf>
    <xf numFmtId="0" fontId="17" fillId="46" borderId="0" xfId="1" applyFont="1" applyFill="1"/>
    <xf numFmtId="0" fontId="17" fillId="0" borderId="14" xfId="1" applyFont="1" applyBorder="1"/>
    <xf numFmtId="5" fontId="56" fillId="0" borderId="0" xfId="0" applyNumberFormat="1" applyFont="1">
      <alignment vertical="center"/>
    </xf>
    <xf numFmtId="193" fontId="56" fillId="0" borderId="0" xfId="0" applyNumberFormat="1" applyFont="1">
      <alignment vertical="center"/>
    </xf>
    <xf numFmtId="0" fontId="67" fillId="47" borderId="0" xfId="0" applyFont="1" applyFill="1">
      <alignment vertical="center"/>
    </xf>
    <xf numFmtId="5" fontId="67" fillId="47" borderId="0" xfId="0" applyNumberFormat="1" applyFont="1" applyFill="1">
      <alignment vertical="center"/>
    </xf>
    <xf numFmtId="193" fontId="67" fillId="47" borderId="0" xfId="0" applyNumberFormat="1" applyFont="1" applyFill="1">
      <alignment vertical="center"/>
    </xf>
    <xf numFmtId="0" fontId="68" fillId="48" borderId="8" xfId="0" applyFont="1" applyFill="1" applyBorder="1">
      <alignment vertical="center"/>
    </xf>
    <xf numFmtId="5" fontId="68" fillId="48" borderId="8" xfId="0" applyNumberFormat="1" applyFont="1" applyFill="1" applyBorder="1">
      <alignment vertical="center"/>
    </xf>
    <xf numFmtId="193" fontId="68" fillId="48" borderId="8" xfId="0" applyNumberFormat="1" applyFont="1" applyFill="1" applyBorder="1">
      <alignment vertical="center"/>
    </xf>
    <xf numFmtId="0" fontId="68" fillId="48" borderId="1" xfId="0" applyFont="1" applyFill="1" applyBorder="1">
      <alignment vertical="center"/>
    </xf>
    <xf numFmtId="0" fontId="10" fillId="42" borderId="8" xfId="4" applyFont="1" applyFill="1" applyBorder="1" applyAlignment="1">
      <alignment horizontal="center" vertical="center"/>
    </xf>
    <xf numFmtId="0" fontId="10" fillId="42" borderId="1" xfId="4" applyFont="1" applyFill="1" applyBorder="1" applyAlignment="1">
      <alignment horizontal="center" vertical="center" shrinkToFit="1"/>
    </xf>
    <xf numFmtId="0" fontId="10" fillId="42" borderId="1" xfId="4" applyFont="1" applyFill="1" applyBorder="1" applyAlignment="1">
      <alignment horizontal="center" vertical="center"/>
    </xf>
    <xf numFmtId="0" fontId="69" fillId="0" borderId="0" xfId="0" applyFont="1">
      <alignment vertical="center"/>
    </xf>
    <xf numFmtId="0" fontId="29" fillId="0" borderId="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61" xfId="0" applyFont="1" applyBorder="1">
      <alignment vertical="center"/>
    </xf>
    <xf numFmtId="0" fontId="29" fillId="0" borderId="61" xfId="0" applyFont="1" applyBorder="1" applyAlignment="1">
      <alignment vertical="center" shrinkToFit="1"/>
    </xf>
    <xf numFmtId="191" fontId="70" fillId="0" borderId="64" xfId="0" applyNumberFormat="1" applyFont="1" applyBorder="1" applyAlignment="1">
      <alignment horizontal="center" vertical="center"/>
    </xf>
    <xf numFmtId="191" fontId="70" fillId="0" borderId="66" xfId="0" applyNumberFormat="1" applyFont="1" applyBorder="1" applyAlignment="1">
      <alignment horizontal="center" vertical="center"/>
    </xf>
    <xf numFmtId="0" fontId="70" fillId="0" borderId="64" xfId="0" applyFont="1" applyBorder="1">
      <alignment vertical="center"/>
    </xf>
    <xf numFmtId="0" fontId="70" fillId="0" borderId="66" xfId="0" applyFont="1" applyBorder="1">
      <alignment vertical="center"/>
    </xf>
    <xf numFmtId="0" fontId="29" fillId="0" borderId="59" xfId="0" applyFont="1" applyBorder="1">
      <alignment vertical="center"/>
    </xf>
    <xf numFmtId="0" fontId="29" fillId="0" borderId="59" xfId="0" applyFont="1" applyBorder="1" applyAlignment="1">
      <alignment vertical="center" shrinkToFit="1"/>
    </xf>
    <xf numFmtId="191" fontId="70" fillId="0" borderId="67" xfId="0" applyNumberFormat="1" applyFont="1" applyBorder="1" applyAlignment="1">
      <alignment horizontal="center" vertical="center"/>
    </xf>
    <xf numFmtId="191" fontId="70" fillId="0" borderId="69" xfId="0" applyNumberFormat="1" applyFont="1" applyBorder="1" applyAlignment="1">
      <alignment horizontal="center" vertical="center"/>
    </xf>
    <xf numFmtId="0" fontId="70" fillId="0" borderId="67" xfId="0" applyFont="1" applyBorder="1">
      <alignment vertical="center"/>
    </xf>
    <xf numFmtId="0" fontId="70" fillId="0" borderId="69" xfId="0" applyFont="1" applyBorder="1">
      <alignment vertical="center"/>
    </xf>
    <xf numFmtId="0" fontId="29" fillId="0" borderId="63" xfId="0" applyFont="1" applyBorder="1">
      <alignment vertical="center"/>
    </xf>
    <xf numFmtId="0" fontId="29" fillId="0" borderId="63" xfId="0" applyFont="1" applyBorder="1" applyAlignment="1">
      <alignment vertical="center" shrinkToFit="1"/>
    </xf>
    <xf numFmtId="191" fontId="70" fillId="0" borderId="70" xfId="0" applyNumberFormat="1" applyFont="1" applyBorder="1" applyAlignment="1">
      <alignment horizontal="center" vertical="center"/>
    </xf>
    <xf numFmtId="191" fontId="70" fillId="0" borderId="72" xfId="0" applyNumberFormat="1" applyFont="1" applyBorder="1" applyAlignment="1">
      <alignment horizontal="center" vertical="center"/>
    </xf>
    <xf numFmtId="0" fontId="70" fillId="0" borderId="70" xfId="0" applyFont="1" applyBorder="1">
      <alignment vertical="center"/>
    </xf>
    <xf numFmtId="0" fontId="70" fillId="0" borderId="72" xfId="0" applyFont="1" applyBorder="1">
      <alignment vertical="center"/>
    </xf>
    <xf numFmtId="0" fontId="71" fillId="0" borderId="0" xfId="0" applyFont="1">
      <alignment vertical="center"/>
    </xf>
    <xf numFmtId="0" fontId="17" fillId="0" borderId="79" xfId="1" applyFont="1" applyBorder="1"/>
    <xf numFmtId="0" fontId="17" fillId="0" borderId="80" xfId="1" applyFont="1" applyBorder="1"/>
    <xf numFmtId="0" fontId="17" fillId="0" borderId="54" xfId="1" applyFont="1" applyBorder="1"/>
    <xf numFmtId="0" fontId="17" fillId="0" borderId="81" xfId="1" applyFont="1" applyBorder="1"/>
    <xf numFmtId="0" fontId="17" fillId="0" borderId="82" xfId="1" applyFont="1" applyBorder="1"/>
    <xf numFmtId="0" fontId="17" fillId="0" borderId="83" xfId="1" applyFont="1" applyBorder="1"/>
    <xf numFmtId="0" fontId="48" fillId="0" borderId="0" xfId="1" applyFont="1"/>
    <xf numFmtId="0" fontId="17" fillId="0" borderId="1" xfId="1" applyFont="1" applyBorder="1" applyAlignment="1">
      <alignment horizontal="left"/>
    </xf>
    <xf numFmtId="49" fontId="56" fillId="0" borderId="27" xfId="0" applyNumberFormat="1" applyFont="1" applyBorder="1" applyAlignment="1">
      <alignment vertical="center" wrapText="1"/>
    </xf>
    <xf numFmtId="49" fontId="24" fillId="0" borderId="1" xfId="0" applyNumberFormat="1" applyFont="1" applyBorder="1" applyAlignment="1">
      <alignment horizontal="center" vertical="center" wrapText="1"/>
    </xf>
    <xf numFmtId="0" fontId="72" fillId="0" borderId="0" xfId="0" applyFont="1">
      <alignment vertical="center"/>
    </xf>
    <xf numFmtId="0" fontId="17" fillId="0" borderId="1" xfId="1" applyFont="1" applyBorder="1" applyAlignment="1">
      <alignment vertical="center" shrinkToFit="1"/>
    </xf>
    <xf numFmtId="49" fontId="10" fillId="0" borderId="20" xfId="1" applyNumberFormat="1" applyFont="1" applyBorder="1" applyAlignment="1">
      <alignment horizontal="center"/>
    </xf>
    <xf numFmtId="49" fontId="10" fillId="0" borderId="4" xfId="1" applyNumberFormat="1" applyFont="1" applyBorder="1" applyAlignment="1">
      <alignment horizontal="center"/>
    </xf>
    <xf numFmtId="49" fontId="10" fillId="0" borderId="30" xfId="1" applyNumberFormat="1" applyFont="1" applyBorder="1" applyAlignment="1">
      <alignment horizontal="center"/>
    </xf>
    <xf numFmtId="9" fontId="6" fillId="34" borderId="1" xfId="0" applyNumberFormat="1" applyFont="1" applyFill="1" applyBorder="1">
      <alignment vertical="center"/>
    </xf>
    <xf numFmtId="49" fontId="17" fillId="0" borderId="0" xfId="1" applyNumberFormat="1" applyFont="1" applyAlignment="1">
      <alignment horizontal="center"/>
    </xf>
    <xf numFmtId="49" fontId="10" fillId="40" borderId="1" xfId="1" applyNumberFormat="1" applyFont="1" applyFill="1" applyBorder="1" applyAlignment="1">
      <alignment horizontal="center"/>
    </xf>
    <xf numFmtId="49" fontId="10" fillId="0" borderId="0" xfId="1" applyNumberFormat="1" applyFont="1" applyAlignment="1">
      <alignment horizontal="center" vertical="center"/>
    </xf>
    <xf numFmtId="49" fontId="23" fillId="0" borderId="0" xfId="1" applyNumberFormat="1" applyFont="1" applyAlignment="1">
      <alignment horizontal="center"/>
    </xf>
    <xf numFmtId="49" fontId="18" fillId="0" borderId="0" xfId="1" applyNumberFormat="1" applyFont="1" applyAlignment="1">
      <alignment horizontal="center"/>
    </xf>
    <xf numFmtId="49" fontId="10" fillId="0" borderId="0" xfId="1" applyNumberFormat="1" applyFont="1" applyAlignment="1">
      <alignment horizontal="center"/>
    </xf>
    <xf numFmtId="49" fontId="6" fillId="0" borderId="0" xfId="0" applyNumberFormat="1" applyFont="1">
      <alignment vertical="center"/>
    </xf>
    <xf numFmtId="49" fontId="47" fillId="36" borderId="22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0" borderId="37" xfId="0" applyNumberFormat="1" applyFont="1" applyBorder="1">
      <alignment vertical="center"/>
    </xf>
    <xf numFmtId="49" fontId="46" fillId="8" borderId="22" xfId="0" applyNumberFormat="1" applyFont="1" applyFill="1" applyBorder="1">
      <alignment vertical="center"/>
    </xf>
    <xf numFmtId="49" fontId="6" fillId="2" borderId="0" xfId="0" applyNumberFormat="1" applyFont="1" applyFill="1">
      <alignment vertical="center"/>
    </xf>
    <xf numFmtId="194" fontId="10" fillId="0" borderId="1" xfId="1" applyNumberFormat="1" applyFont="1" applyBorder="1" applyAlignment="1">
      <alignment horizontal="center"/>
    </xf>
    <xf numFmtId="0" fontId="64" fillId="0" borderId="73" xfId="0" applyFont="1" applyBorder="1" applyAlignment="1">
      <alignment horizontal="center" vertical="center"/>
    </xf>
    <xf numFmtId="0" fontId="63" fillId="0" borderId="74" xfId="0" applyFont="1" applyBorder="1" applyAlignment="1">
      <alignment horizontal="center" vertical="center"/>
    </xf>
    <xf numFmtId="0" fontId="33" fillId="0" borderId="74" xfId="0" applyFont="1" applyBorder="1" applyAlignment="1">
      <alignment horizontal="center" vertical="center"/>
    </xf>
    <xf numFmtId="0" fontId="64" fillId="0" borderId="74" xfId="0" applyFont="1" applyBorder="1" applyAlignment="1">
      <alignment horizontal="center" vertical="center"/>
    </xf>
    <xf numFmtId="0" fontId="63" fillId="0" borderId="75" xfId="0" applyFont="1" applyBorder="1" applyAlignment="1">
      <alignment horizontal="center" vertical="center"/>
    </xf>
    <xf numFmtId="0" fontId="19" fillId="42" borderId="10" xfId="0" applyFont="1" applyFill="1" applyBorder="1">
      <alignment vertical="center"/>
    </xf>
    <xf numFmtId="0" fontId="73" fillId="0" borderId="9" xfId="0" applyFont="1" applyBorder="1">
      <alignment vertical="center"/>
    </xf>
    <xf numFmtId="0" fontId="28" fillId="0" borderId="13" xfId="0" applyFont="1" applyBorder="1">
      <alignment vertical="center"/>
    </xf>
    <xf numFmtId="0" fontId="10" fillId="0" borderId="8" xfId="1" applyFont="1" applyBorder="1"/>
    <xf numFmtId="0" fontId="6" fillId="44" borderId="76" xfId="0" applyFont="1" applyFill="1" applyBorder="1">
      <alignment vertical="center"/>
    </xf>
    <xf numFmtId="0" fontId="6" fillId="44" borderId="77" xfId="0" applyFont="1" applyFill="1" applyBorder="1">
      <alignment vertical="center"/>
    </xf>
    <xf numFmtId="0" fontId="6" fillId="44" borderId="78" xfId="0" applyFont="1" applyFill="1" applyBorder="1">
      <alignment vertical="center"/>
    </xf>
    <xf numFmtId="0" fontId="6" fillId="0" borderId="65" xfId="0" applyFont="1" applyBorder="1">
      <alignment vertical="center"/>
    </xf>
    <xf numFmtId="0" fontId="6" fillId="0" borderId="68" xfId="0" applyFont="1" applyBorder="1">
      <alignment vertical="center"/>
    </xf>
    <xf numFmtId="0" fontId="6" fillId="0" borderId="71" xfId="0" applyFont="1" applyBorder="1">
      <alignment vertical="center"/>
    </xf>
    <xf numFmtId="0" fontId="6" fillId="0" borderId="66" xfId="0" applyFont="1" applyBorder="1">
      <alignment vertical="center"/>
    </xf>
    <xf numFmtId="0" fontId="6" fillId="0" borderId="69" xfId="0" applyFont="1" applyBorder="1">
      <alignment vertical="center"/>
    </xf>
    <xf numFmtId="0" fontId="6" fillId="0" borderId="72" xfId="0" applyFont="1" applyBorder="1">
      <alignment vertical="center"/>
    </xf>
    <xf numFmtId="0" fontId="6" fillId="2" borderId="0" xfId="0" applyFont="1" applyFill="1" applyProtection="1">
      <alignment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5" fillId="7" borderId="3" xfId="0" applyFont="1" applyFill="1" applyBorder="1" applyProtection="1">
      <alignment vertical="center"/>
      <protection locked="0"/>
    </xf>
    <xf numFmtId="0" fontId="5" fillId="7" borderId="56" xfId="0" applyFont="1" applyFill="1" applyBorder="1" applyAlignment="1" applyProtection="1">
      <alignment horizontal="center" vertical="center"/>
      <protection locked="0"/>
    </xf>
    <xf numFmtId="56" fontId="5" fillId="7" borderId="4" xfId="0" applyNumberFormat="1" applyFont="1" applyFill="1" applyBorder="1" applyAlignment="1" applyProtection="1">
      <alignment horizontal="center" vertical="center"/>
      <protection locked="0"/>
    </xf>
    <xf numFmtId="0" fontId="5" fillId="7" borderId="4" xfId="0" applyFont="1" applyFill="1" applyBorder="1" applyProtection="1">
      <alignment vertical="center"/>
      <protection locked="0"/>
    </xf>
    <xf numFmtId="0" fontId="59" fillId="7" borderId="24" xfId="0" applyFont="1" applyFill="1" applyBorder="1" applyAlignment="1" applyProtection="1">
      <alignment horizontal="center" vertical="center"/>
      <protection locked="0"/>
    </xf>
    <xf numFmtId="0" fontId="24" fillId="7" borderId="0" xfId="0" applyFont="1" applyFill="1" applyProtection="1">
      <alignment vertical="center"/>
      <protection locked="0"/>
    </xf>
    <xf numFmtId="0" fontId="6" fillId="7" borderId="25" xfId="0" applyFont="1" applyFill="1" applyBorder="1" applyProtection="1">
      <alignment vertical="center"/>
      <protection locked="0"/>
    </xf>
    <xf numFmtId="0" fontId="7" fillId="7" borderId="0" xfId="0" applyFont="1" applyFill="1" applyProtection="1">
      <alignment vertical="center"/>
      <protection locked="0"/>
    </xf>
    <xf numFmtId="0" fontId="59" fillId="7" borderId="0" xfId="0" applyFont="1" applyFill="1" applyAlignment="1" applyProtection="1">
      <alignment horizontal="center" vertical="center"/>
      <protection locked="0"/>
    </xf>
    <xf numFmtId="49" fontId="7" fillId="7" borderId="0" xfId="0" applyNumberFormat="1" applyFont="1" applyFill="1" applyProtection="1">
      <alignment vertical="center"/>
      <protection locked="0"/>
    </xf>
    <xf numFmtId="0" fontId="74" fillId="7" borderId="0" xfId="0" applyFont="1" applyFill="1" applyProtection="1">
      <alignment vertical="center"/>
      <protection locked="0"/>
    </xf>
    <xf numFmtId="0" fontId="59" fillId="7" borderId="0" xfId="0" applyFont="1" applyFill="1" applyProtection="1">
      <alignment vertical="center"/>
      <protection locked="0"/>
    </xf>
    <xf numFmtId="0" fontId="60" fillId="7" borderId="24" xfId="0" applyFont="1" applyFill="1" applyBorder="1" applyAlignment="1" applyProtection="1">
      <alignment horizontal="center" vertical="center"/>
      <protection locked="0"/>
    </xf>
    <xf numFmtId="0" fontId="29" fillId="7" borderId="24" xfId="0" applyFont="1" applyFill="1" applyBorder="1" applyAlignment="1" applyProtection="1">
      <alignment horizontal="center" vertical="center"/>
      <protection locked="0"/>
    </xf>
    <xf numFmtId="0" fontId="4" fillId="7" borderId="0" xfId="0" applyFont="1" applyFill="1" applyAlignment="1" applyProtection="1">
      <alignment horizontal="left" vertical="center"/>
      <protection locked="0"/>
    </xf>
    <xf numFmtId="0" fontId="7" fillId="7" borderId="0" xfId="0" applyFont="1" applyFill="1" applyAlignment="1" applyProtection="1">
      <alignment horizontal="left" vertical="center"/>
      <protection locked="0"/>
    </xf>
    <xf numFmtId="0" fontId="60" fillId="7" borderId="24" xfId="0" applyFont="1" applyFill="1" applyBorder="1" applyAlignment="1" applyProtection="1">
      <alignment horizontal="left" vertical="center"/>
      <protection locked="0"/>
    </xf>
    <xf numFmtId="0" fontId="7" fillId="7" borderId="0" xfId="0" applyFont="1" applyFill="1" applyAlignment="1" applyProtection="1">
      <alignment horizontal="center" vertical="center"/>
      <protection locked="0"/>
    </xf>
    <xf numFmtId="0" fontId="4" fillId="7" borderId="24" xfId="0" applyFont="1" applyFill="1" applyBorder="1" applyAlignment="1" applyProtection="1">
      <alignment horizontal="center" vertical="center"/>
      <protection locked="0"/>
    </xf>
    <xf numFmtId="0" fontId="4" fillId="7" borderId="28" xfId="0" applyFont="1" applyFill="1" applyBorder="1" applyAlignment="1" applyProtection="1">
      <alignment horizontal="center" vertical="center"/>
      <protection locked="0"/>
    </xf>
    <xf numFmtId="0" fontId="7" fillId="7" borderId="29" xfId="0" applyFont="1" applyFill="1" applyBorder="1" applyProtection="1">
      <alignment vertical="center"/>
      <protection locked="0"/>
    </xf>
    <xf numFmtId="0" fontId="6" fillId="7" borderId="29" xfId="0" applyFont="1" applyFill="1" applyBorder="1" applyProtection="1">
      <alignment vertical="center"/>
      <protection locked="0"/>
    </xf>
    <xf numFmtId="0" fontId="6" fillId="7" borderId="30" xfId="0" applyFont="1" applyFill="1" applyBorder="1" applyProtection="1">
      <alignment vertical="center"/>
      <protection locked="0"/>
    </xf>
    <xf numFmtId="56" fontId="7" fillId="2" borderId="38" xfId="0" applyNumberFormat="1" applyFont="1" applyFill="1" applyBorder="1" applyAlignment="1" applyProtection="1">
      <alignment horizontal="center" vertical="center"/>
      <protection locked="0"/>
    </xf>
    <xf numFmtId="0" fontId="75" fillId="2" borderId="38" xfId="0" applyFont="1" applyFill="1" applyBorder="1" applyProtection="1">
      <alignment vertical="center"/>
      <protection locked="0"/>
    </xf>
    <xf numFmtId="0" fontId="7" fillId="2" borderId="38" xfId="0" applyFont="1" applyFill="1" applyBorder="1">
      <alignment vertical="center"/>
    </xf>
    <xf numFmtId="49" fontId="7" fillId="2" borderId="4" xfId="0" applyNumberFormat="1" applyFont="1" applyFill="1" applyBorder="1" applyProtection="1">
      <alignment vertical="center"/>
      <protection locked="0"/>
    </xf>
    <xf numFmtId="0" fontId="59" fillId="29" borderId="38" xfId="0" applyFont="1" applyFill="1" applyBorder="1" applyAlignment="1" applyProtection="1">
      <alignment horizontal="center" vertical="center"/>
      <protection locked="0"/>
    </xf>
    <xf numFmtId="0" fontId="60" fillId="29" borderId="38" xfId="0" applyFont="1" applyFill="1" applyBorder="1" applyAlignment="1" applyProtection="1">
      <alignment horizontal="center" vertical="center"/>
      <protection locked="0"/>
    </xf>
    <xf numFmtId="0" fontId="60" fillId="12" borderId="38" xfId="0" applyFont="1" applyFill="1" applyBorder="1" applyAlignment="1" applyProtection="1">
      <alignment horizontal="left" vertical="center"/>
      <protection locked="0"/>
    </xf>
    <xf numFmtId="49" fontId="56" fillId="0" borderId="27" xfId="0" applyNumberFormat="1" applyFont="1" applyBorder="1">
      <alignment vertical="center"/>
    </xf>
    <xf numFmtId="0" fontId="62" fillId="7" borderId="2" xfId="0" applyFont="1" applyFill="1" applyBorder="1" applyAlignment="1" applyProtection="1">
      <alignment horizontal="left" vertical="center"/>
      <protection locked="0"/>
    </xf>
    <xf numFmtId="0" fontId="62" fillId="7" borderId="3" xfId="0" applyFont="1" applyFill="1" applyBorder="1" applyAlignment="1" applyProtection="1">
      <alignment horizontal="left" vertical="center"/>
      <protection locked="0"/>
    </xf>
    <xf numFmtId="0" fontId="57" fillId="7" borderId="2" xfId="0" applyFont="1" applyFill="1" applyBorder="1" applyAlignment="1">
      <alignment horizontal="left" vertical="center"/>
    </xf>
    <xf numFmtId="0" fontId="57" fillId="7" borderId="4" xfId="0" applyFont="1" applyFill="1" applyBorder="1" applyAlignment="1">
      <alignment horizontal="left" vertical="center"/>
    </xf>
    <xf numFmtId="0" fontId="18" fillId="0" borderId="26" xfId="1" applyFont="1" applyBorder="1" applyAlignment="1">
      <alignment horizontal="center" vertical="center"/>
    </xf>
    <xf numFmtId="0" fontId="18" fillId="0" borderId="10" xfId="1" applyFont="1" applyBorder="1" applyAlignment="1">
      <alignment horizontal="center" vertical="center"/>
    </xf>
    <xf numFmtId="0" fontId="18" fillId="0" borderId="31" xfId="1" applyFont="1" applyBorder="1" applyAlignment="1">
      <alignment horizontal="center" vertical="center"/>
    </xf>
    <xf numFmtId="0" fontId="18" fillId="0" borderId="17" xfId="1" applyFont="1" applyBorder="1" applyAlignment="1">
      <alignment horizontal="center" vertical="center"/>
    </xf>
    <xf numFmtId="0" fontId="10" fillId="0" borderId="0" xfId="1" applyFont="1" applyAlignment="1">
      <alignment horizontal="left"/>
    </xf>
    <xf numFmtId="0" fontId="10" fillId="0" borderId="0" xfId="1" applyFont="1" applyAlignment="1">
      <alignment vertical="top" wrapText="1"/>
    </xf>
    <xf numFmtId="0" fontId="10" fillId="0" borderId="6" xfId="1" applyFont="1" applyBorder="1" applyAlignment="1">
      <alignment horizontal="left" vertical="center"/>
    </xf>
    <xf numFmtId="0" fontId="10" fillId="0" borderId="6" xfId="1" applyFont="1" applyBorder="1" applyAlignment="1">
      <alignment horizontal="center" shrinkToFit="1"/>
    </xf>
    <xf numFmtId="0" fontId="10" fillId="0" borderId="0" xfId="1" applyFont="1" applyAlignment="1">
      <alignment wrapText="1"/>
    </xf>
    <xf numFmtId="0" fontId="10" fillId="0" borderId="7" xfId="1" applyFont="1" applyBorder="1" applyAlignment="1">
      <alignment horizontal="left"/>
    </xf>
    <xf numFmtId="0" fontId="10" fillId="0" borderId="7" xfId="1" applyFont="1" applyBorder="1" applyAlignment="1">
      <alignment horizontal="center" shrinkToFit="1"/>
    </xf>
    <xf numFmtId="0" fontId="10" fillId="0" borderId="5" xfId="1" applyFont="1" applyBorder="1" applyAlignment="1">
      <alignment horizontal="right"/>
    </xf>
    <xf numFmtId="0" fontId="16" fillId="3" borderId="8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8" fillId="0" borderId="21" xfId="1" applyFont="1" applyBorder="1" applyAlignment="1">
      <alignment horizontal="center" vertical="center"/>
    </xf>
    <xf numFmtId="0" fontId="18" fillId="0" borderId="22" xfId="1" applyFont="1" applyBorder="1" applyAlignment="1">
      <alignment horizontal="center" vertical="center"/>
    </xf>
    <xf numFmtId="31" fontId="10" fillId="0" borderId="0" xfId="1" applyNumberFormat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0" fontId="11" fillId="3" borderId="2" xfId="1" applyFont="1" applyFill="1" applyBorder="1" applyAlignment="1">
      <alignment horizontal="left" vertical="center"/>
    </xf>
    <xf numFmtId="0" fontId="11" fillId="3" borderId="3" xfId="1" applyFont="1" applyFill="1" applyBorder="1" applyAlignment="1">
      <alignment horizontal="left" vertical="center"/>
    </xf>
    <xf numFmtId="0" fontId="11" fillId="3" borderId="4" xfId="1" applyFont="1" applyFill="1" applyBorder="1" applyAlignment="1">
      <alignment horizontal="left" vertical="center"/>
    </xf>
    <xf numFmtId="0" fontId="12" fillId="0" borderId="0" xfId="1" applyFont="1" applyAlignment="1">
      <alignment horizontal="left" shrinkToFit="1"/>
    </xf>
    <xf numFmtId="179" fontId="10" fillId="0" borderId="5" xfId="1" applyNumberFormat="1" applyFont="1" applyBorder="1" applyAlignment="1">
      <alignment horizontal="center"/>
    </xf>
    <xf numFmtId="178" fontId="19" fillId="0" borderId="0" xfId="1" applyNumberFormat="1" applyFont="1" applyAlignment="1">
      <alignment horizontal="right" vertical="center" shrinkToFit="1"/>
    </xf>
    <xf numFmtId="178" fontId="20" fillId="0" borderId="0" xfId="1" applyNumberFormat="1" applyFont="1" applyAlignment="1">
      <alignment horizontal="left" vertical="center" shrinkToFit="1"/>
    </xf>
    <xf numFmtId="0" fontId="27" fillId="0" borderId="0" xfId="1" applyFont="1" applyAlignment="1">
      <alignment horizontal="left" wrapText="1"/>
    </xf>
    <xf numFmtId="0" fontId="10" fillId="0" borderId="0" xfId="1" applyFont="1" applyAlignment="1">
      <alignment horizontal="center" wrapText="1"/>
    </xf>
    <xf numFmtId="0" fontId="18" fillId="0" borderId="35" xfId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/>
    </xf>
    <xf numFmtId="0" fontId="18" fillId="0" borderId="36" xfId="1" applyFont="1" applyBorder="1" applyAlignment="1">
      <alignment horizontal="center" vertical="center"/>
    </xf>
    <xf numFmtId="0" fontId="18" fillId="0" borderId="3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/>
    </xf>
    <xf numFmtId="0" fontId="10" fillId="0" borderId="19" xfId="1" applyFont="1" applyBorder="1" applyAlignment="1">
      <alignment horizontal="center"/>
    </xf>
    <xf numFmtId="183" fontId="25" fillId="0" borderId="18" xfId="1" applyNumberFormat="1" applyFont="1" applyBorder="1" applyAlignment="1">
      <alignment horizontal="center" vertical="center"/>
    </xf>
    <xf numFmtId="183" fontId="25" fillId="0" borderId="19" xfId="1" applyNumberFormat="1" applyFont="1" applyBorder="1" applyAlignment="1">
      <alignment horizontal="center" vertical="center"/>
    </xf>
    <xf numFmtId="183" fontId="25" fillId="0" borderId="20" xfId="1" applyNumberFormat="1" applyFont="1" applyBorder="1" applyAlignment="1">
      <alignment horizontal="center" vertical="center"/>
    </xf>
    <xf numFmtId="183" fontId="25" fillId="0" borderId="28" xfId="1" applyNumberFormat="1" applyFont="1" applyBorder="1" applyAlignment="1">
      <alignment horizontal="center" vertical="center"/>
    </xf>
    <xf numFmtId="183" fontId="25" fillId="0" borderId="29" xfId="1" applyNumberFormat="1" applyFont="1" applyBorder="1" applyAlignment="1">
      <alignment horizontal="center" vertical="center"/>
    </xf>
    <xf numFmtId="183" fontId="25" fillId="0" borderId="30" xfId="1" applyNumberFormat="1" applyFont="1" applyBorder="1" applyAlignment="1">
      <alignment horizontal="center" vertical="center"/>
    </xf>
    <xf numFmtId="0" fontId="10" fillId="0" borderId="18" xfId="1" applyFont="1" applyBorder="1" applyAlignment="1">
      <alignment horizontal="center" shrinkToFit="1"/>
    </xf>
    <xf numFmtId="0" fontId="10" fillId="0" borderId="19" xfId="1" applyFont="1" applyBorder="1" applyAlignment="1">
      <alignment horizontal="center" shrinkToFit="1"/>
    </xf>
    <xf numFmtId="0" fontId="10" fillId="0" borderId="2" xfId="1" applyFont="1" applyBorder="1" applyAlignment="1">
      <alignment horizontal="center" shrinkToFit="1"/>
    </xf>
    <xf numFmtId="0" fontId="10" fillId="0" borderId="3" xfId="1" applyFont="1" applyBorder="1" applyAlignment="1">
      <alignment horizontal="center" shrinkToFit="1"/>
    </xf>
    <xf numFmtId="0" fontId="10" fillId="0" borderId="28" xfId="1" applyFont="1" applyBorder="1" applyAlignment="1">
      <alignment horizontal="center" shrinkToFit="1"/>
    </xf>
    <xf numFmtId="0" fontId="10" fillId="0" borderId="29" xfId="1" applyFont="1" applyBorder="1" applyAlignment="1">
      <alignment horizontal="center" shrinkToFit="1"/>
    </xf>
    <xf numFmtId="0" fontId="10" fillId="0" borderId="5" xfId="1" applyFont="1" applyBorder="1"/>
    <xf numFmtId="0" fontId="10" fillId="0" borderId="33" xfId="1" applyFont="1" applyBorder="1" applyAlignment="1">
      <alignment horizontal="left"/>
    </xf>
    <xf numFmtId="0" fontId="10" fillId="0" borderId="0" xfId="1" applyFont="1" applyAlignment="1">
      <alignment horizontal="center" vertical="top" wrapText="1"/>
    </xf>
    <xf numFmtId="0" fontId="10" fillId="0" borderId="5" xfId="1" applyFont="1" applyBorder="1" applyAlignment="1">
      <alignment horizontal="center"/>
    </xf>
    <xf numFmtId="0" fontId="14" fillId="0" borderId="0" xfId="1" applyFont="1" applyAlignment="1">
      <alignment horizontal="center" vertical="center" wrapText="1"/>
    </xf>
    <xf numFmtId="0" fontId="24" fillId="0" borderId="9" xfId="1" applyFont="1" applyBorder="1" applyAlignment="1">
      <alignment horizontal="center"/>
    </xf>
    <xf numFmtId="179" fontId="10" fillId="0" borderId="0" xfId="1" applyNumberFormat="1" applyFont="1" applyAlignment="1">
      <alignment horizontal="center"/>
    </xf>
    <xf numFmtId="0" fontId="11" fillId="3" borderId="29" xfId="1" applyFont="1" applyFill="1" applyBorder="1" applyAlignment="1">
      <alignment horizontal="left" vertical="center"/>
    </xf>
    <xf numFmtId="0" fontId="27" fillId="0" borderId="0" xfId="1" applyFont="1" applyAlignment="1">
      <alignment horizontal="center"/>
    </xf>
    <xf numFmtId="178" fontId="29" fillId="0" borderId="0" xfId="1" applyNumberFormat="1" applyFont="1" applyAlignment="1">
      <alignment horizontal="center" vertical="center" shrinkToFit="1"/>
    </xf>
    <xf numFmtId="178" fontId="26" fillId="0" borderId="0" xfId="1" applyNumberFormat="1" applyFont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shrinkToFit="1"/>
    </xf>
    <xf numFmtId="0" fontId="19" fillId="42" borderId="9" xfId="0" applyFont="1" applyFill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193" fontId="56" fillId="0" borderId="2" xfId="0" applyNumberFormat="1" applyFont="1" applyBorder="1" applyAlignment="1">
      <alignment horizontal="center" vertical="center"/>
    </xf>
    <xf numFmtId="193" fontId="56" fillId="0" borderId="3" xfId="0" applyNumberFormat="1" applyFont="1" applyBorder="1" applyAlignment="1">
      <alignment horizontal="center" vertical="center"/>
    </xf>
    <xf numFmtId="193" fontId="56" fillId="0" borderId="4" xfId="0" applyNumberFormat="1" applyFont="1" applyBorder="1" applyAlignment="1">
      <alignment horizontal="center" vertical="center"/>
    </xf>
    <xf numFmtId="0" fontId="53" fillId="40" borderId="1" xfId="0" applyFont="1" applyFill="1" applyBorder="1" applyAlignment="1">
      <alignment horizontal="center" vertical="center"/>
    </xf>
    <xf numFmtId="56" fontId="29" fillId="42" borderId="1" xfId="0" applyNumberFormat="1" applyFont="1" applyFill="1" applyBorder="1" applyAlignment="1">
      <alignment horizontal="center" vertical="center"/>
    </xf>
    <xf numFmtId="0" fontId="29" fillId="42" borderId="1" xfId="0" applyFont="1" applyFill="1" applyBorder="1" applyAlignment="1">
      <alignment horizontal="center" vertical="center"/>
    </xf>
    <xf numFmtId="0" fontId="19" fillId="40" borderId="1" xfId="0" applyFont="1" applyFill="1" applyBorder="1">
      <alignment vertical="center"/>
    </xf>
    <xf numFmtId="0" fontId="19" fillId="40" borderId="11" xfId="0" applyFont="1" applyFill="1" applyBorder="1">
      <alignment vertical="center"/>
    </xf>
    <xf numFmtId="0" fontId="19" fillId="40" borderId="1" xfId="0" applyFont="1" applyFill="1" applyBorder="1" applyAlignment="1">
      <alignment horizontal="left" vertical="center"/>
    </xf>
    <xf numFmtId="0" fontId="19" fillId="42" borderId="1" xfId="0" applyFont="1" applyFill="1" applyBorder="1" applyAlignment="1">
      <alignment horizontal="left" vertical="center"/>
    </xf>
    <xf numFmtId="0" fontId="65" fillId="0" borderId="52" xfId="0" applyFont="1" applyBorder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0" fontId="19" fillId="42" borderId="8" xfId="0" applyFont="1" applyFill="1" applyBorder="1" applyAlignment="1">
      <alignment horizontal="center" vertical="center"/>
    </xf>
    <xf numFmtId="0" fontId="17" fillId="0" borderId="1" xfId="1" applyFont="1" applyBorder="1" applyAlignment="1">
      <alignment horizontal="center" vertical="center"/>
    </xf>
    <xf numFmtId="0" fontId="17" fillId="0" borderId="1" xfId="1" applyFont="1" applyBorder="1" applyAlignment="1">
      <alignment horizontal="center"/>
    </xf>
    <xf numFmtId="0" fontId="17" fillId="0" borderId="14" xfId="1" applyFont="1" applyBorder="1" applyAlignment="1">
      <alignment horizontal="center" vertical="center"/>
    </xf>
    <xf numFmtId="0" fontId="17" fillId="0" borderId="55" xfId="1" applyFont="1" applyBorder="1" applyAlignment="1">
      <alignment horizontal="center" vertical="center"/>
    </xf>
    <xf numFmtId="0" fontId="17" fillId="0" borderId="11" xfId="1" applyFont="1" applyBorder="1" applyAlignment="1">
      <alignment horizontal="center" vertical="center"/>
    </xf>
    <xf numFmtId="0" fontId="10" fillId="0" borderId="6" xfId="1" applyFont="1" applyBorder="1" applyAlignment="1">
      <alignment horizontal="right" vertical="center"/>
    </xf>
    <xf numFmtId="0" fontId="10" fillId="0" borderId="7" xfId="1" applyFont="1" applyBorder="1" applyAlignment="1">
      <alignment horizontal="right"/>
    </xf>
    <xf numFmtId="0" fontId="14" fillId="0" borderId="5" xfId="1" applyFont="1" applyBorder="1" applyAlignment="1">
      <alignment horizontal="center" vertical="center"/>
    </xf>
    <xf numFmtId="0" fontId="49" fillId="8" borderId="2" xfId="1" applyFont="1" applyFill="1" applyBorder="1" applyAlignment="1">
      <alignment horizontal="center" vertical="center"/>
    </xf>
    <xf numFmtId="0" fontId="49" fillId="8" borderId="3" xfId="1" applyFont="1" applyFill="1" applyBorder="1" applyAlignment="1">
      <alignment horizontal="center" vertical="center"/>
    </xf>
    <xf numFmtId="0" fontId="49" fillId="8" borderId="4" xfId="1" applyFont="1" applyFill="1" applyBorder="1" applyAlignment="1">
      <alignment horizontal="center" vertical="center"/>
    </xf>
    <xf numFmtId="190" fontId="12" fillId="0" borderId="0" xfId="1" applyNumberFormat="1" applyFont="1" applyAlignment="1">
      <alignment horizontal="left" shrinkToFit="1"/>
    </xf>
    <xf numFmtId="178" fontId="46" fillId="0" borderId="0" xfId="1" applyNumberFormat="1" applyFont="1" applyAlignment="1">
      <alignment horizontal="right" vertical="center" shrinkToFit="1"/>
    </xf>
    <xf numFmtId="178" fontId="50" fillId="0" borderId="0" xfId="1" applyNumberFormat="1" applyFont="1" applyAlignment="1">
      <alignment horizontal="left" vertical="center" shrinkToFit="1"/>
    </xf>
    <xf numFmtId="0" fontId="66" fillId="7" borderId="0" xfId="0" applyFont="1" applyFill="1" applyAlignment="1">
      <alignment horizontal="left" vertical="center"/>
    </xf>
    <xf numFmtId="0" fontId="30" fillId="45" borderId="3" xfId="4" applyFont="1" applyFill="1" applyBorder="1" applyAlignment="1">
      <alignment horizontal="left" vertical="center"/>
    </xf>
    <xf numFmtId="0" fontId="30" fillId="45" borderId="4" xfId="4" applyFont="1" applyFill="1" applyBorder="1" applyAlignment="1">
      <alignment horizontal="left" vertical="center"/>
    </xf>
    <xf numFmtId="0" fontId="14" fillId="0" borderId="3" xfId="4" applyFont="1" applyBorder="1" applyAlignment="1">
      <alignment horizontal="right" vertical="center"/>
    </xf>
    <xf numFmtId="0" fontId="10" fillId="0" borderId="3" xfId="4" applyFont="1" applyBorder="1" applyAlignment="1">
      <alignment horizontal="center" vertical="center"/>
    </xf>
    <xf numFmtId="184" fontId="32" fillId="0" borderId="18" xfId="4" applyNumberFormat="1" applyFont="1" applyBorder="1" applyAlignment="1">
      <alignment horizontal="center" vertical="center"/>
    </xf>
    <xf numFmtId="184" fontId="32" fillId="0" borderId="20" xfId="4" applyNumberFormat="1" applyFont="1" applyBorder="1" applyAlignment="1">
      <alignment horizontal="center" vertical="center"/>
    </xf>
    <xf numFmtId="184" fontId="32" fillId="0" borderId="28" xfId="4" applyNumberFormat="1" applyFont="1" applyBorder="1" applyAlignment="1">
      <alignment horizontal="center" vertical="center"/>
    </xf>
    <xf numFmtId="184" fontId="32" fillId="0" borderId="30" xfId="4" applyNumberFormat="1" applyFont="1" applyBorder="1" applyAlignment="1">
      <alignment horizontal="center" vertical="center"/>
    </xf>
    <xf numFmtId="0" fontId="10" fillId="42" borderId="8" xfId="4" applyFont="1" applyFill="1" applyBorder="1" applyAlignment="1">
      <alignment horizontal="center" vertical="center"/>
    </xf>
    <xf numFmtId="0" fontId="10" fillId="42" borderId="10" xfId="4" applyFont="1" applyFill="1" applyBorder="1" applyAlignment="1">
      <alignment horizontal="center" vertical="center"/>
    </xf>
    <xf numFmtId="0" fontId="17" fillId="10" borderId="8" xfId="4" applyFont="1" applyFill="1" applyBorder="1" applyAlignment="1">
      <alignment horizontal="center" vertical="center"/>
    </xf>
    <xf numFmtId="0" fontId="17" fillId="10" borderId="10" xfId="4" applyFont="1" applyFill="1" applyBorder="1" applyAlignment="1">
      <alignment horizontal="center" vertical="center"/>
    </xf>
    <xf numFmtId="0" fontId="10" fillId="0" borderId="8" xfId="4" applyFont="1" applyBorder="1" applyAlignment="1">
      <alignment horizontal="left" vertical="center" shrinkToFit="1"/>
    </xf>
    <xf numFmtId="0" fontId="10" fillId="0" borderId="10" xfId="4" applyFont="1" applyBorder="1" applyAlignment="1">
      <alignment horizontal="left" vertical="center" shrinkToFit="1"/>
    </xf>
    <xf numFmtId="176" fontId="14" fillId="0" borderId="6" xfId="4" applyNumberFormat="1" applyFont="1" applyBorder="1" applyAlignment="1">
      <alignment horizontal="center" vertical="center"/>
    </xf>
    <xf numFmtId="0" fontId="10" fillId="13" borderId="2" xfId="1" applyFont="1" applyFill="1" applyBorder="1" applyAlignment="1">
      <alignment horizontal="center" vertical="center"/>
    </xf>
    <xf numFmtId="0" fontId="10" fillId="13" borderId="4" xfId="1" applyFont="1" applyFill="1" applyBorder="1" applyAlignment="1">
      <alignment horizontal="center" vertical="center"/>
    </xf>
    <xf numFmtId="0" fontId="10" fillId="13" borderId="3" xfId="1" applyFont="1" applyFill="1" applyBorder="1" applyAlignment="1">
      <alignment horizontal="center" vertical="center"/>
    </xf>
    <xf numFmtId="0" fontId="10" fillId="13" borderId="56" xfId="1" applyFont="1" applyFill="1" applyBorder="1" applyAlignment="1">
      <alignment horizontal="center" vertical="center"/>
    </xf>
    <xf numFmtId="178" fontId="10" fillId="13" borderId="57" xfId="1" applyNumberFormat="1" applyFont="1" applyFill="1" applyBorder="1" applyAlignment="1">
      <alignment horizontal="center" vertical="center"/>
    </xf>
    <xf numFmtId="178" fontId="10" fillId="13" borderId="3" xfId="1" applyNumberFormat="1" applyFont="1" applyFill="1" applyBorder="1" applyAlignment="1">
      <alignment horizontal="center" vertical="center"/>
    </xf>
    <xf numFmtId="178" fontId="10" fillId="13" borderId="4" xfId="1" applyNumberFormat="1" applyFont="1" applyFill="1" applyBorder="1" applyAlignment="1">
      <alignment horizontal="center" vertical="center"/>
    </xf>
    <xf numFmtId="0" fontId="58" fillId="13" borderId="2" xfId="1" applyFont="1" applyFill="1" applyBorder="1" applyAlignment="1">
      <alignment horizontal="left" vertical="center"/>
    </xf>
    <xf numFmtId="0" fontId="58" fillId="13" borderId="3" xfId="1" applyFont="1" applyFill="1" applyBorder="1" applyAlignment="1">
      <alignment horizontal="left" vertical="center"/>
    </xf>
    <xf numFmtId="0" fontId="58" fillId="13" borderId="4" xfId="1" applyFont="1" applyFill="1" applyBorder="1" applyAlignment="1">
      <alignment horizontal="left" vertical="center"/>
    </xf>
    <xf numFmtId="0" fontId="14" fillId="0" borderId="6" xfId="1" applyFont="1" applyBorder="1" applyAlignment="1">
      <alignment horizontal="center" shrinkToFit="1"/>
    </xf>
    <xf numFmtId="0" fontId="14" fillId="0" borderId="44" xfId="1" applyFont="1" applyBorder="1" applyAlignment="1">
      <alignment horizontal="center" shrinkToFit="1"/>
    </xf>
    <xf numFmtId="0" fontId="23" fillId="0" borderId="3" xfId="1" applyFont="1" applyBorder="1" applyAlignment="1">
      <alignment horizontal="center" shrinkToFit="1"/>
    </xf>
    <xf numFmtId="0" fontId="23" fillId="0" borderId="4" xfId="1" applyFont="1" applyBorder="1" applyAlignment="1">
      <alignment horizontal="center" shrinkToFit="1"/>
    </xf>
    <xf numFmtId="14" fontId="23" fillId="0" borderId="3" xfId="1" applyNumberFormat="1" applyFont="1" applyBorder="1" applyAlignment="1">
      <alignment horizontal="center"/>
    </xf>
    <xf numFmtId="14" fontId="23" fillId="0" borderId="4" xfId="1" applyNumberFormat="1" applyFont="1" applyBorder="1" applyAlignment="1">
      <alignment horizontal="center"/>
    </xf>
    <xf numFmtId="0" fontId="42" fillId="12" borderId="45" xfId="1" applyFont="1" applyFill="1" applyBorder="1" applyAlignment="1">
      <alignment horizontal="center" vertical="center"/>
    </xf>
    <xf numFmtId="0" fontId="42" fillId="12" borderId="46" xfId="1" applyFont="1" applyFill="1" applyBorder="1" applyAlignment="1">
      <alignment horizontal="center" vertical="center"/>
    </xf>
    <xf numFmtId="0" fontId="42" fillId="12" borderId="47" xfId="1" applyFont="1" applyFill="1" applyBorder="1" applyAlignment="1">
      <alignment horizontal="center" vertical="center"/>
    </xf>
    <xf numFmtId="0" fontId="42" fillId="14" borderId="45" xfId="1" applyFont="1" applyFill="1" applyBorder="1" applyAlignment="1">
      <alignment horizontal="center" vertical="center"/>
    </xf>
    <xf numFmtId="0" fontId="42" fillId="14" borderId="46" xfId="1" applyFont="1" applyFill="1" applyBorder="1" applyAlignment="1">
      <alignment horizontal="center" vertical="center"/>
    </xf>
    <xf numFmtId="0" fontId="42" fillId="14" borderId="47" xfId="1" applyFont="1" applyFill="1" applyBorder="1" applyAlignment="1">
      <alignment horizontal="center" vertical="center"/>
    </xf>
    <xf numFmtId="0" fontId="42" fillId="15" borderId="45" xfId="1" applyFont="1" applyFill="1" applyBorder="1" applyAlignment="1">
      <alignment horizontal="center" vertical="center"/>
    </xf>
    <xf numFmtId="0" fontId="42" fillId="15" borderId="46" xfId="1" applyFont="1" applyFill="1" applyBorder="1" applyAlignment="1">
      <alignment horizontal="center" vertical="center"/>
    </xf>
    <xf numFmtId="0" fontId="42" fillId="15" borderId="47" xfId="1" applyFont="1" applyFill="1" applyBorder="1" applyAlignment="1">
      <alignment horizontal="center" vertical="center"/>
    </xf>
    <xf numFmtId="0" fontId="42" fillId="16" borderId="45" xfId="1" applyFont="1" applyFill="1" applyBorder="1" applyAlignment="1">
      <alignment horizontal="center" vertical="center"/>
    </xf>
    <xf numFmtId="0" fontId="42" fillId="16" borderId="46" xfId="1" applyFont="1" applyFill="1" applyBorder="1" applyAlignment="1">
      <alignment horizontal="center" vertical="center"/>
    </xf>
    <xf numFmtId="0" fontId="42" fillId="16" borderId="47" xfId="1" applyFont="1" applyFill="1" applyBorder="1" applyAlignment="1">
      <alignment horizontal="center" vertical="center"/>
    </xf>
    <xf numFmtId="178" fontId="39" fillId="0" borderId="0" xfId="2" applyNumberFormat="1" applyFont="1" applyAlignment="1" applyProtection="1">
      <alignment horizontal="center"/>
    </xf>
    <xf numFmtId="0" fontId="42" fillId="12" borderId="45" xfId="1" applyFont="1" applyFill="1" applyBorder="1" applyAlignment="1">
      <alignment horizontal="center" vertical="center" wrapText="1"/>
    </xf>
    <xf numFmtId="0" fontId="42" fillId="12" borderId="48" xfId="1" applyFont="1" applyFill="1" applyBorder="1" applyAlignment="1">
      <alignment horizontal="center" vertical="center"/>
    </xf>
    <xf numFmtId="0" fontId="42" fillId="14" borderId="45" xfId="1" applyFont="1" applyFill="1" applyBorder="1" applyAlignment="1">
      <alignment horizontal="center" vertical="center" wrapText="1"/>
    </xf>
    <xf numFmtId="0" fontId="42" fillId="14" borderId="48" xfId="1" applyFont="1" applyFill="1" applyBorder="1" applyAlignment="1">
      <alignment horizontal="center" vertical="center"/>
    </xf>
    <xf numFmtId="0" fontId="42" fillId="15" borderId="45" xfId="1" applyFont="1" applyFill="1" applyBorder="1" applyAlignment="1">
      <alignment horizontal="center" vertical="center" wrapText="1"/>
    </xf>
    <xf numFmtId="0" fontId="42" fillId="15" borderId="48" xfId="1" applyFont="1" applyFill="1" applyBorder="1" applyAlignment="1">
      <alignment horizontal="center" vertical="center"/>
    </xf>
    <xf numFmtId="0" fontId="42" fillId="16" borderId="45" xfId="1" applyFont="1" applyFill="1" applyBorder="1" applyAlignment="1">
      <alignment horizontal="center" vertical="center" wrapText="1"/>
    </xf>
    <xf numFmtId="0" fontId="42" fillId="16" borderId="46" xfId="1" applyFont="1" applyFill="1" applyBorder="1" applyAlignment="1">
      <alignment horizontal="center" vertical="center" wrapText="1"/>
    </xf>
    <xf numFmtId="0" fontId="42" fillId="16" borderId="48" xfId="1" applyFont="1" applyFill="1" applyBorder="1" applyAlignment="1">
      <alignment horizontal="center" vertical="center" wrapText="1"/>
    </xf>
    <xf numFmtId="0" fontId="42" fillId="16" borderId="48" xfId="1" applyFont="1" applyFill="1" applyBorder="1" applyAlignment="1">
      <alignment horizontal="center" vertical="center"/>
    </xf>
    <xf numFmtId="0" fontId="42" fillId="23" borderId="45" xfId="1" applyFont="1" applyFill="1" applyBorder="1" applyAlignment="1">
      <alignment horizontal="center" vertical="center"/>
    </xf>
    <xf numFmtId="0" fontId="42" fillId="23" borderId="46" xfId="1" applyFont="1" applyFill="1" applyBorder="1" applyAlignment="1">
      <alignment horizontal="center" vertical="center"/>
    </xf>
    <xf numFmtId="0" fontId="42" fillId="23" borderId="47" xfId="1" applyFont="1" applyFill="1" applyBorder="1" applyAlignment="1">
      <alignment horizontal="center" vertical="center"/>
    </xf>
    <xf numFmtId="0" fontId="42" fillId="24" borderId="45" xfId="1" applyFont="1" applyFill="1" applyBorder="1" applyAlignment="1">
      <alignment horizontal="center" vertical="center"/>
    </xf>
    <xf numFmtId="0" fontId="42" fillId="24" borderId="46" xfId="1" applyFont="1" applyFill="1" applyBorder="1" applyAlignment="1">
      <alignment horizontal="center" vertical="center"/>
    </xf>
    <xf numFmtId="0" fontId="42" fillId="24" borderId="47" xfId="1" applyFont="1" applyFill="1" applyBorder="1" applyAlignment="1">
      <alignment horizontal="center" vertical="center"/>
    </xf>
    <xf numFmtId="0" fontId="42" fillId="27" borderId="45" xfId="1" applyFont="1" applyFill="1" applyBorder="1" applyAlignment="1">
      <alignment horizontal="center" vertical="center"/>
    </xf>
    <xf numFmtId="0" fontId="42" fillId="27" borderId="46" xfId="1" applyFont="1" applyFill="1" applyBorder="1" applyAlignment="1">
      <alignment horizontal="center" vertical="center"/>
    </xf>
    <xf numFmtId="0" fontId="42" fillId="27" borderId="47" xfId="1" applyFont="1" applyFill="1" applyBorder="1" applyAlignment="1">
      <alignment horizontal="center" vertical="center"/>
    </xf>
    <xf numFmtId="0" fontId="42" fillId="26" borderId="45" xfId="1" applyFont="1" applyFill="1" applyBorder="1" applyAlignment="1">
      <alignment horizontal="center" vertical="center"/>
    </xf>
    <xf numFmtId="0" fontId="42" fillId="26" borderId="46" xfId="1" applyFont="1" applyFill="1" applyBorder="1" applyAlignment="1">
      <alignment horizontal="center" vertical="center"/>
    </xf>
    <xf numFmtId="0" fontId="42" fillId="26" borderId="47" xfId="1" applyFont="1" applyFill="1" applyBorder="1" applyAlignment="1">
      <alignment horizontal="center" vertical="center"/>
    </xf>
    <xf numFmtId="0" fontId="42" fillId="23" borderId="45" xfId="1" applyFont="1" applyFill="1" applyBorder="1" applyAlignment="1">
      <alignment horizontal="center" vertical="center" wrapText="1"/>
    </xf>
    <xf numFmtId="0" fontId="42" fillId="23" borderId="48" xfId="1" applyFont="1" applyFill="1" applyBorder="1" applyAlignment="1">
      <alignment horizontal="center" vertical="center"/>
    </xf>
    <xf numFmtId="0" fontId="42" fillId="24" borderId="45" xfId="1" applyFont="1" applyFill="1" applyBorder="1" applyAlignment="1">
      <alignment horizontal="center" vertical="center" wrapText="1"/>
    </xf>
    <xf numFmtId="0" fontId="42" fillId="24" borderId="48" xfId="1" applyFont="1" applyFill="1" applyBorder="1" applyAlignment="1">
      <alignment horizontal="center" vertical="center"/>
    </xf>
    <xf numFmtId="0" fontId="42" fillId="27" borderId="45" xfId="1" applyFont="1" applyFill="1" applyBorder="1" applyAlignment="1">
      <alignment horizontal="center" vertical="center" wrapText="1"/>
    </xf>
    <xf numFmtId="0" fontId="42" fillId="27" borderId="48" xfId="1" applyFont="1" applyFill="1" applyBorder="1" applyAlignment="1">
      <alignment horizontal="center" vertical="center"/>
    </xf>
    <xf numFmtId="0" fontId="42" fillId="23" borderId="45" xfId="1" applyFont="1" applyFill="1" applyBorder="1" applyAlignment="1">
      <alignment vertical="center"/>
    </xf>
    <xf numFmtId="0" fontId="42" fillId="23" borderId="46" xfId="1" applyFont="1" applyFill="1" applyBorder="1" applyAlignment="1">
      <alignment vertical="center"/>
    </xf>
    <xf numFmtId="0" fontId="42" fillId="23" borderId="47" xfId="1" applyFont="1" applyFill="1" applyBorder="1" applyAlignment="1">
      <alignment vertical="center"/>
    </xf>
    <xf numFmtId="0" fontId="42" fillId="25" borderId="45" xfId="1" applyFont="1" applyFill="1" applyBorder="1" applyAlignment="1">
      <alignment horizontal="center" vertical="center"/>
    </xf>
    <xf numFmtId="0" fontId="42" fillId="25" borderId="46" xfId="1" applyFont="1" applyFill="1" applyBorder="1" applyAlignment="1">
      <alignment horizontal="center" vertical="center"/>
    </xf>
    <xf numFmtId="0" fontId="42" fillId="25" borderId="47" xfId="1" applyFont="1" applyFill="1" applyBorder="1" applyAlignment="1">
      <alignment horizontal="center" vertical="center"/>
    </xf>
    <xf numFmtId="178" fontId="44" fillId="0" borderId="0" xfId="2" applyNumberFormat="1" applyFont="1" applyAlignment="1" applyProtection="1">
      <alignment horizontal="center"/>
    </xf>
    <xf numFmtId="0" fontId="25" fillId="30" borderId="2" xfId="1" applyFont="1" applyFill="1" applyBorder="1" applyAlignment="1">
      <alignment horizontal="center" vertical="center"/>
    </xf>
    <xf numFmtId="0" fontId="25" fillId="30" borderId="3" xfId="1" applyFont="1" applyFill="1" applyBorder="1" applyAlignment="1">
      <alignment horizontal="center" vertical="center"/>
    </xf>
    <xf numFmtId="0" fontId="25" fillId="30" borderId="4" xfId="1" applyFont="1" applyFill="1" applyBorder="1" applyAlignment="1">
      <alignment horizontal="center" vertical="center"/>
    </xf>
    <xf numFmtId="178" fontId="45" fillId="0" borderId="0" xfId="1" applyNumberFormat="1" applyFont="1" applyAlignment="1">
      <alignment horizontal="center"/>
    </xf>
    <xf numFmtId="178" fontId="45" fillId="0" borderId="29" xfId="1" applyNumberFormat="1" applyFont="1" applyBorder="1" applyAlignment="1">
      <alignment horizontal="center"/>
    </xf>
    <xf numFmtId="178" fontId="43" fillId="18" borderId="18" xfId="1" applyNumberFormat="1" applyFont="1" applyFill="1" applyBorder="1" applyAlignment="1">
      <alignment horizontal="center" vertical="center"/>
    </xf>
    <xf numFmtId="178" fontId="43" fillId="18" borderId="20" xfId="1" applyNumberFormat="1" applyFont="1" applyFill="1" applyBorder="1" applyAlignment="1">
      <alignment horizontal="center" vertical="center"/>
    </xf>
    <xf numFmtId="178" fontId="43" fillId="18" borderId="52" xfId="1" applyNumberFormat="1" applyFont="1" applyFill="1" applyBorder="1" applyAlignment="1">
      <alignment horizontal="center" vertical="center"/>
    </xf>
    <xf numFmtId="178" fontId="43" fillId="18" borderId="53" xfId="1" applyNumberFormat="1" applyFont="1" applyFill="1" applyBorder="1" applyAlignment="1">
      <alignment horizontal="center" vertical="center"/>
    </xf>
    <xf numFmtId="178" fontId="43" fillId="0" borderId="0" xfId="1" applyNumberFormat="1" applyFont="1" applyAlignment="1">
      <alignment horizontal="left"/>
    </xf>
    <xf numFmtId="178" fontId="43" fillId="13" borderId="0" xfId="1" applyNumberFormat="1" applyFont="1" applyFill="1" applyAlignment="1">
      <alignment horizontal="right"/>
    </xf>
    <xf numFmtId="178" fontId="38" fillId="18" borderId="24" xfId="1" applyNumberFormat="1" applyFont="1" applyFill="1" applyBorder="1" applyAlignment="1">
      <alignment horizontal="center" wrapText="1"/>
    </xf>
    <xf numFmtId="178" fontId="38" fillId="18" borderId="52" xfId="1" applyNumberFormat="1" applyFont="1" applyFill="1" applyBorder="1" applyAlignment="1">
      <alignment horizontal="center"/>
    </xf>
    <xf numFmtId="178" fontId="43" fillId="18" borderId="40" xfId="1" applyNumberFormat="1" applyFont="1" applyFill="1" applyBorder="1" applyAlignment="1">
      <alignment horizontal="center" wrapText="1"/>
    </xf>
    <xf numFmtId="178" fontId="43" fillId="18" borderId="42" xfId="1" applyNumberFormat="1" applyFont="1" applyFill="1" applyBorder="1" applyAlignment="1">
      <alignment horizontal="center"/>
    </xf>
    <xf numFmtId="178" fontId="43" fillId="0" borderId="40" xfId="1" applyNumberFormat="1" applyFont="1" applyBorder="1" applyAlignment="1">
      <alignment horizontal="center"/>
    </xf>
    <xf numFmtId="178" fontId="43" fillId="0" borderId="42" xfId="1" applyNumberFormat="1" applyFont="1" applyBorder="1" applyAlignment="1">
      <alignment horizontal="center"/>
    </xf>
    <xf numFmtId="0" fontId="25" fillId="30" borderId="2" xfId="1" applyFont="1" applyFill="1" applyBorder="1" applyAlignment="1">
      <alignment horizontal="center"/>
    </xf>
    <xf numFmtId="0" fontId="25" fillId="30" borderId="3" xfId="1" applyFont="1" applyFill="1" applyBorder="1" applyAlignment="1">
      <alignment horizontal="center"/>
    </xf>
    <xf numFmtId="0" fontId="25" fillId="30" borderId="4" xfId="1" applyFont="1" applyFill="1" applyBorder="1" applyAlignment="1">
      <alignment horizontal="center"/>
    </xf>
    <xf numFmtId="178" fontId="40" fillId="18" borderId="18" xfId="1" applyNumberFormat="1" applyFont="1" applyFill="1" applyBorder="1" applyAlignment="1">
      <alignment horizontal="center" vertical="center"/>
    </xf>
    <xf numFmtId="178" fontId="40" fillId="18" borderId="20" xfId="1" applyNumberFormat="1" applyFont="1" applyFill="1" applyBorder="1" applyAlignment="1">
      <alignment horizontal="center" vertical="center"/>
    </xf>
    <xf numFmtId="178" fontId="40" fillId="18" borderId="52" xfId="1" applyNumberFormat="1" applyFont="1" applyFill="1" applyBorder="1" applyAlignment="1">
      <alignment horizontal="center" vertical="center"/>
    </xf>
    <xf numFmtId="178" fontId="40" fillId="18" borderId="53" xfId="1" applyNumberFormat="1" applyFont="1" applyFill="1" applyBorder="1" applyAlignment="1">
      <alignment horizontal="center" vertical="center"/>
    </xf>
    <xf numFmtId="0" fontId="25" fillId="30" borderId="18" xfId="1" applyFont="1" applyFill="1" applyBorder="1" applyAlignment="1">
      <alignment horizontal="center" vertical="center"/>
    </xf>
    <xf numFmtId="0" fontId="25" fillId="30" borderId="19" xfId="1" applyFont="1" applyFill="1" applyBorder="1" applyAlignment="1">
      <alignment horizontal="center" vertical="center"/>
    </xf>
    <xf numFmtId="0" fontId="25" fillId="30" borderId="20" xfId="1" applyFont="1" applyFill="1" applyBorder="1" applyAlignment="1">
      <alignment horizontal="center" vertical="center"/>
    </xf>
    <xf numFmtId="0" fontId="25" fillId="30" borderId="28" xfId="1" applyFont="1" applyFill="1" applyBorder="1" applyAlignment="1">
      <alignment horizontal="center" vertical="center"/>
    </xf>
    <xf numFmtId="0" fontId="25" fillId="30" borderId="29" xfId="1" applyFont="1" applyFill="1" applyBorder="1" applyAlignment="1">
      <alignment horizontal="center" vertical="center"/>
    </xf>
    <xf numFmtId="0" fontId="25" fillId="30" borderId="30" xfId="1" applyFont="1" applyFill="1" applyBorder="1" applyAlignment="1">
      <alignment horizontal="center" vertical="center"/>
    </xf>
    <xf numFmtId="178" fontId="43" fillId="18" borderId="18" xfId="1" applyNumberFormat="1" applyFont="1" applyFill="1" applyBorder="1" applyAlignment="1">
      <alignment horizontal="center"/>
    </xf>
    <xf numFmtId="178" fontId="43" fillId="18" borderId="20" xfId="1" applyNumberFormat="1" applyFont="1" applyFill="1" applyBorder="1" applyAlignment="1">
      <alignment horizontal="center"/>
    </xf>
    <xf numFmtId="178" fontId="43" fillId="18" borderId="24" xfId="1" applyNumberFormat="1" applyFont="1" applyFill="1" applyBorder="1" applyAlignment="1">
      <alignment horizontal="center"/>
    </xf>
    <xf numFmtId="178" fontId="43" fillId="18" borderId="25" xfId="1" applyNumberFormat="1" applyFont="1" applyFill="1" applyBorder="1" applyAlignment="1">
      <alignment horizontal="center"/>
    </xf>
    <xf numFmtId="0" fontId="17" fillId="24" borderId="14" xfId="1" applyFont="1" applyFill="1" applyBorder="1" applyAlignment="1">
      <alignment horizontal="center" vertical="center" shrinkToFit="1"/>
    </xf>
    <xf numFmtId="0" fontId="17" fillId="24" borderId="55" xfId="1" applyFont="1" applyFill="1" applyBorder="1" applyAlignment="1">
      <alignment horizontal="center" vertical="center" shrinkToFit="1"/>
    </xf>
    <xf numFmtId="0" fontId="17" fillId="24" borderId="11" xfId="1" applyFont="1" applyFill="1" applyBorder="1" applyAlignment="1">
      <alignment horizontal="center" vertical="center" shrinkToFit="1"/>
    </xf>
    <xf numFmtId="0" fontId="17" fillId="20" borderId="14" xfId="1" applyFont="1" applyFill="1" applyBorder="1" applyAlignment="1">
      <alignment horizontal="center" vertical="center" shrinkToFit="1"/>
    </xf>
    <xf numFmtId="0" fontId="17" fillId="20" borderId="55" xfId="1" applyFont="1" applyFill="1" applyBorder="1" applyAlignment="1">
      <alignment horizontal="center" vertical="center" shrinkToFit="1"/>
    </xf>
    <xf numFmtId="0" fontId="17" fillId="20" borderId="11" xfId="1" applyFont="1" applyFill="1" applyBorder="1" applyAlignment="1">
      <alignment horizontal="center" vertical="center" shrinkToFit="1"/>
    </xf>
    <xf numFmtId="0" fontId="17" fillId="41" borderId="14" xfId="1" applyFont="1" applyFill="1" applyBorder="1" applyAlignment="1">
      <alignment horizontal="center" vertical="center" shrinkToFit="1"/>
    </xf>
    <xf numFmtId="0" fontId="17" fillId="41" borderId="55" xfId="1" applyFont="1" applyFill="1" applyBorder="1" applyAlignment="1">
      <alignment horizontal="center" vertical="center" shrinkToFit="1"/>
    </xf>
    <xf numFmtId="0" fontId="17" fillId="41" borderId="11" xfId="1" applyFont="1" applyFill="1" applyBorder="1" applyAlignment="1">
      <alignment horizontal="center" vertical="center" shrinkToFit="1"/>
    </xf>
    <xf numFmtId="0" fontId="17" fillId="40" borderId="14" xfId="1" applyFont="1" applyFill="1" applyBorder="1" applyAlignment="1">
      <alignment horizontal="center" vertical="center" shrinkToFit="1"/>
    </xf>
    <xf numFmtId="0" fontId="17" fillId="40" borderId="55" xfId="1" applyFont="1" applyFill="1" applyBorder="1" applyAlignment="1">
      <alignment horizontal="center" vertical="center" shrinkToFit="1"/>
    </xf>
    <xf numFmtId="0" fontId="17" fillId="40" borderId="11" xfId="1" applyFont="1" applyFill="1" applyBorder="1" applyAlignment="1">
      <alignment horizontal="center" vertical="center" shrinkToFit="1"/>
    </xf>
    <xf numFmtId="0" fontId="51" fillId="0" borderId="0" xfId="0" applyFont="1" applyAlignment="1">
      <alignment horizontal="left" vertical="top" wrapText="1"/>
    </xf>
    <xf numFmtId="0" fontId="52" fillId="0" borderId="0" xfId="0" applyFont="1" applyAlignment="1">
      <alignment horizontal="left" vertical="center"/>
    </xf>
  </cellXfs>
  <cellStyles count="6">
    <cellStyle name="ハイパーリンク 2" xfId="2" xr:uid="{E39C1A97-7D5A-4219-99E7-76C29A85ABBD}"/>
    <cellStyle name="通貨 2" xfId="5" xr:uid="{00E33613-FCCC-4163-AE66-09F2C105E6CB}"/>
    <cellStyle name="標準" xfId="0" builtinId="0"/>
    <cellStyle name="標準 2" xfId="1" xr:uid="{D57A3703-D93D-48D9-AA66-3AFAFC47800C}"/>
    <cellStyle name="標準 2 2" xfId="3" xr:uid="{6693A497-7FBA-4EE2-9796-51D673C8CFFE}"/>
    <cellStyle name="標準 2 3" xfId="4" xr:uid="{3E692B21-15E8-4771-A852-FEB751AD1779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BIZ UDPゴシック"/>
        <family val="3"/>
        <charset val="128"/>
        <scheme val="none"/>
      </font>
      <fill>
        <patternFill patternType="solid">
          <fgColor indexed="64"/>
          <bgColor rgb="FFEBF5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5.xml"/><Relationship Id="rId53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4.xml"/><Relationship Id="rId52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openxmlformats.org/officeDocument/2006/relationships/styles" Target="styles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microsoft.com/office/2022/10/relationships/richValueRel" Target="richData/richValueRel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6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4.png"/><Relationship Id="rId7" Type="http://schemas.openxmlformats.org/officeDocument/2006/relationships/hyperlink" Target="https://www.mavieselect.com/" TargetMode="External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3790949</xdr:colOff>
      <xdr:row>13</xdr:row>
      <xdr:rowOff>95251</xdr:rowOff>
    </xdr:from>
    <xdr:to>
      <xdr:col>2</xdr:col>
      <xdr:colOff>4886324</xdr:colOff>
      <xdr:row>14</xdr:row>
      <xdr:rowOff>209551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74AEA272-D4CB-74BE-3043-1409ED46C730}"/>
            </a:ext>
          </a:extLst>
        </xdr:cNvPr>
        <xdr:cNvGrpSpPr/>
      </xdr:nvGrpSpPr>
      <xdr:grpSpPr>
        <a:xfrm>
          <a:off x="6398418" y="4786314"/>
          <a:ext cx="1095375" cy="471487"/>
          <a:chOff x="6753224" y="4838701"/>
          <a:chExt cx="1095375" cy="476250"/>
        </a:xfrm>
      </xdr:grpSpPr>
      <xdr:sp macro="[0]!発注書作成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947C9971-B04A-B636-9A07-4BD9E1E54458}"/>
              </a:ext>
            </a:extLst>
          </xdr:cNvPr>
          <xdr:cNvSpPr/>
        </xdr:nvSpPr>
        <xdr:spPr>
          <a:xfrm>
            <a:off x="6753224" y="4838701"/>
            <a:ext cx="1095375" cy="476250"/>
          </a:xfrm>
          <a:prstGeom prst="roundRect">
            <a:avLst/>
          </a:prstGeom>
          <a:scene3d>
            <a:camera prst="orthographicFront"/>
            <a:lightRig rig="threePt" dir="t"/>
          </a:scene3d>
          <a:sp3d prstMaterial="plastic">
            <a:bevelT/>
          </a:sp3d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kumimoji="1" lang="ja-JP" altLang="en-US" sz="1800">
                <a:solidFill>
                  <a:schemeClr val="tx1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作成</a:t>
            </a:r>
          </a:p>
        </xdr:txBody>
      </xdr:sp>
      <xdr:pic macro="[0]!発注書作成">
        <xdr:nvPicPr>
          <xdr:cNvPr id="7" name="グラフィックス 6" descr="開いたフォルダー">
            <a:extLst>
              <a:ext uri="{FF2B5EF4-FFF2-40B4-BE49-F238E27FC236}">
                <a16:creationId xmlns:a16="http://schemas.microsoft.com/office/drawing/2014/main" id="{DF86C25E-C5DF-7F36-A5E3-7D87B47A97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58000" y="4895850"/>
            <a:ext cx="409575" cy="409575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600075</xdr:colOff>
      <xdr:row>19</xdr:row>
      <xdr:rowOff>285750</xdr:rowOff>
    </xdr:from>
    <xdr:to>
      <xdr:col>4</xdr:col>
      <xdr:colOff>1514475</xdr:colOff>
      <xdr:row>22</xdr:row>
      <xdr:rowOff>114300</xdr:rowOff>
    </xdr:to>
    <xdr:pic>
      <xdr:nvPicPr>
        <xdr:cNvPr id="11" name="グラフィックス 10" descr="教授">
          <a:extLst>
            <a:ext uri="{FF2B5EF4-FFF2-40B4-BE49-F238E27FC236}">
              <a16:creationId xmlns:a16="http://schemas.microsoft.com/office/drawing/2014/main" id="{DA5D6696-FEC0-0469-F327-073FC0BB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153525" y="7200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2476500</xdr:colOff>
      <xdr:row>0</xdr:row>
      <xdr:rowOff>0</xdr:rowOff>
    </xdr:from>
    <xdr:to>
      <xdr:col>2</xdr:col>
      <xdr:colOff>2924175</xdr:colOff>
      <xdr:row>1</xdr:row>
      <xdr:rowOff>38100</xdr:rowOff>
    </xdr:to>
    <xdr:pic>
      <xdr:nvPicPr>
        <xdr:cNvPr id="13" name="グラフィックス 12" descr="ブリーフケース">
          <a:extLst>
            <a:ext uri="{FF2B5EF4-FFF2-40B4-BE49-F238E27FC236}">
              <a16:creationId xmlns:a16="http://schemas.microsoft.com/office/drawing/2014/main" id="{1BC7E1A5-A892-0CA4-8C42-EA0D2C437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38775" y="0"/>
          <a:ext cx="447675" cy="447675"/>
        </a:xfrm>
        <a:prstGeom prst="rect">
          <a:avLst/>
        </a:prstGeom>
      </xdr:spPr>
    </xdr:pic>
    <xdr:clientData/>
  </xdr:twoCellAnchor>
  <xdr:twoCellAnchor>
    <xdr:from>
      <xdr:col>5</xdr:col>
      <xdr:colOff>26194</xdr:colOff>
      <xdr:row>9</xdr:row>
      <xdr:rowOff>228600</xdr:rowOff>
    </xdr:from>
    <xdr:to>
      <xdr:col>5</xdr:col>
      <xdr:colOff>1883569</xdr:colOff>
      <xdr:row>11</xdr:row>
      <xdr:rowOff>85725</xdr:rowOff>
    </xdr:to>
    <xdr:sp macro="[0]!ClearSelectedField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01FE785-90E9-8858-0112-241F1391B48C}"/>
            </a:ext>
          </a:extLst>
        </xdr:cNvPr>
        <xdr:cNvSpPr/>
      </xdr:nvSpPr>
      <xdr:spPr>
        <a:xfrm>
          <a:off x="10277475" y="3490913"/>
          <a:ext cx="1857375" cy="571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40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リセット</a:t>
          </a:r>
        </a:p>
      </xdr:txBody>
    </xdr:sp>
    <xdr:clientData/>
  </xdr:twoCellAnchor>
  <xdr:twoCellAnchor editAs="oneCell">
    <xdr:from>
      <xdr:col>5</xdr:col>
      <xdr:colOff>1428752</xdr:colOff>
      <xdr:row>17</xdr:row>
      <xdr:rowOff>142874</xdr:rowOff>
    </xdr:from>
    <xdr:to>
      <xdr:col>5</xdr:col>
      <xdr:colOff>5286376</xdr:colOff>
      <xdr:row>18</xdr:row>
      <xdr:rowOff>211030</xdr:rowOff>
    </xdr:to>
    <xdr:pic>
      <xdr:nvPicPr>
        <xdr:cNvPr id="4" name="図 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212B8C-EA72-5B6E-5CA0-B0788E0BE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0033" y="6262687"/>
          <a:ext cx="3857624" cy="425343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1019176</xdr:colOff>
      <xdr:row>13</xdr:row>
      <xdr:rowOff>66675</xdr:rowOff>
    </xdr:from>
    <xdr:to>
      <xdr:col>1</xdr:col>
      <xdr:colOff>1971676</xdr:colOff>
      <xdr:row>15</xdr:row>
      <xdr:rowOff>47625</xdr:rowOff>
    </xdr:to>
    <xdr:sp macro="[0]!管理会社入力クリア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3B3A8B0-79D4-B451-F79D-4FA9A30F6A30}"/>
            </a:ext>
          </a:extLst>
        </xdr:cNvPr>
        <xdr:cNvSpPr/>
      </xdr:nvSpPr>
      <xdr:spPr>
        <a:xfrm>
          <a:off x="1704976" y="3143250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クリア</a:t>
          </a:r>
        </a:p>
      </xdr:txBody>
    </xdr:sp>
    <xdr:clientData/>
  </xdr:twoCellAnchor>
  <xdr:twoCellAnchor>
    <xdr:from>
      <xdr:col>1</xdr:col>
      <xdr:colOff>1</xdr:colOff>
      <xdr:row>25</xdr:row>
      <xdr:rowOff>104775</xdr:rowOff>
    </xdr:from>
    <xdr:to>
      <xdr:col>1</xdr:col>
      <xdr:colOff>952501</xdr:colOff>
      <xdr:row>27</xdr:row>
      <xdr:rowOff>85725</xdr:rowOff>
    </xdr:to>
    <xdr:sp macro="[0]!協力業者登録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21089D1-8413-2DB9-189D-E27CACA9F3A0}"/>
            </a:ext>
          </a:extLst>
        </xdr:cNvPr>
        <xdr:cNvSpPr/>
      </xdr:nvSpPr>
      <xdr:spPr>
        <a:xfrm>
          <a:off x="685801" y="5991225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登録</a:t>
          </a:r>
        </a:p>
      </xdr:txBody>
    </xdr:sp>
    <xdr:clientData/>
  </xdr:twoCellAnchor>
  <xdr:twoCellAnchor>
    <xdr:from>
      <xdr:col>1</xdr:col>
      <xdr:colOff>19051</xdr:colOff>
      <xdr:row>13</xdr:row>
      <xdr:rowOff>66675</xdr:rowOff>
    </xdr:from>
    <xdr:to>
      <xdr:col>1</xdr:col>
      <xdr:colOff>971551</xdr:colOff>
      <xdr:row>15</xdr:row>
      <xdr:rowOff>47625</xdr:rowOff>
    </xdr:to>
    <xdr:sp macro="[0]!管理会社別_地区転記_完全版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7FACB4DD-D4E7-21BC-BB8E-7A1442D3B301}"/>
            </a:ext>
          </a:extLst>
        </xdr:cNvPr>
        <xdr:cNvSpPr/>
      </xdr:nvSpPr>
      <xdr:spPr>
        <a:xfrm>
          <a:off x="704851" y="3143250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登録</a:t>
          </a:r>
        </a:p>
      </xdr:txBody>
    </xdr:sp>
    <xdr:clientData/>
  </xdr:twoCellAnchor>
  <xdr:twoCellAnchor>
    <xdr:from>
      <xdr:col>1</xdr:col>
      <xdr:colOff>1009651</xdr:colOff>
      <xdr:row>25</xdr:row>
      <xdr:rowOff>104775</xdr:rowOff>
    </xdr:from>
    <xdr:to>
      <xdr:col>1</xdr:col>
      <xdr:colOff>1962151</xdr:colOff>
      <xdr:row>27</xdr:row>
      <xdr:rowOff>85725</xdr:rowOff>
    </xdr:to>
    <xdr:sp macro="[0]!業者入力クリア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7CD5F499-14A0-8375-A0BA-4571D24C5944}"/>
            </a:ext>
          </a:extLst>
        </xdr:cNvPr>
        <xdr:cNvSpPr/>
      </xdr:nvSpPr>
      <xdr:spPr>
        <a:xfrm>
          <a:off x="1695451" y="5991225"/>
          <a:ext cx="95250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latin typeface="BIZ UDPゴシック" panose="020B0400000000000000" pitchFamily="50" charset="-128"/>
              <a:ea typeface="BIZ UDPゴシック" panose="020B0400000000000000" pitchFamily="50" charset="-128"/>
            </a:rPr>
            <a:t>  クリア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323850</xdr:colOff>
      <xdr:row>5</xdr:row>
      <xdr:rowOff>177634</xdr:rowOff>
    </xdr:from>
    <xdr:to>
      <xdr:col>7</xdr:col>
      <xdr:colOff>240700</xdr:colOff>
      <xdr:row>6</xdr:row>
      <xdr:rowOff>304800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FCCC546-8356-4EDD-A8F8-71F0EF4B5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5419725" y="1263484"/>
          <a:ext cx="469300" cy="45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342900</xdr:colOff>
      <xdr:row>4</xdr:row>
      <xdr:rowOff>12699</xdr:rowOff>
    </xdr:from>
    <xdr:to>
      <xdr:col>13</xdr:col>
      <xdr:colOff>551100</xdr:colOff>
      <xdr:row>5</xdr:row>
      <xdr:rowOff>77424</xdr:rowOff>
    </xdr:to>
    <xdr:sp macro="[0]!現在のシートを新規ブックにコピー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D5FE6AB9-6D0F-6F54-9F3B-5ADC2F0991FE}"/>
            </a:ext>
          </a:extLst>
        </xdr:cNvPr>
        <xdr:cNvSpPr/>
      </xdr:nvSpPr>
      <xdr:spPr>
        <a:xfrm>
          <a:off x="8991600" y="803274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新しいシートにを作成</a:t>
          </a:r>
        </a:p>
      </xdr:txBody>
    </xdr:sp>
    <xdr:clientData/>
  </xdr:twoCellAnchor>
  <xdr:twoCellAnchor>
    <xdr:from>
      <xdr:col>11</xdr:col>
      <xdr:colOff>342900</xdr:colOff>
      <xdr:row>2</xdr:row>
      <xdr:rowOff>28575</xdr:rowOff>
    </xdr:from>
    <xdr:to>
      <xdr:col>13</xdr:col>
      <xdr:colOff>551100</xdr:colOff>
      <xdr:row>3</xdr:row>
      <xdr:rowOff>102825</xdr:rowOff>
    </xdr:to>
    <xdr:sp macro="[0]!ファイルごと名前を付けて保存_ExcelかPDF選択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F55E89B8-9917-682C-859C-6B4BDE9C1F7D}"/>
            </a:ext>
          </a:extLst>
        </xdr:cNvPr>
        <xdr:cNvSpPr/>
      </xdr:nvSpPr>
      <xdr:spPr>
        <a:xfrm>
          <a:off x="8991600" y="361950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工事カードを保存</a:t>
          </a:r>
        </a:p>
      </xdr:txBody>
    </xdr:sp>
    <xdr:clientData/>
  </xdr:twoCellAnchor>
  <xdr:twoCellAnchor>
    <xdr:from>
      <xdr:col>11</xdr:col>
      <xdr:colOff>342900</xdr:colOff>
      <xdr:row>5</xdr:row>
      <xdr:rowOff>149224</xdr:rowOff>
    </xdr:from>
    <xdr:to>
      <xdr:col>13</xdr:col>
      <xdr:colOff>551100</xdr:colOff>
      <xdr:row>6</xdr:row>
      <xdr:rowOff>185374</xdr:rowOff>
    </xdr:to>
    <xdr:sp macro="[0]!除去して保存ダイアログ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1ED02FCD-046B-5A13-F38C-E847B3C7C087}"/>
            </a:ext>
          </a:extLst>
        </xdr:cNvPr>
        <xdr:cNvSpPr/>
      </xdr:nvSpPr>
      <xdr:spPr>
        <a:xfrm>
          <a:off x="8991600" y="1235074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見積範囲以外除去</a:t>
          </a:r>
        </a:p>
      </xdr:txBody>
    </xdr:sp>
    <xdr:clientData/>
  </xdr:twoCellAnchor>
  <xdr:twoCellAnchor>
    <xdr:from>
      <xdr:col>11</xdr:col>
      <xdr:colOff>342900</xdr:colOff>
      <xdr:row>6</xdr:row>
      <xdr:rowOff>285750</xdr:rowOff>
    </xdr:from>
    <xdr:to>
      <xdr:col>13</xdr:col>
      <xdr:colOff>551100</xdr:colOff>
      <xdr:row>8</xdr:row>
      <xdr:rowOff>121875</xdr:rowOff>
    </xdr:to>
    <xdr:sp macro="[0]!ExportInteriorDataWithCove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16FF614-11CC-CF38-7FF0-D0517052A0D1}"/>
            </a:ext>
          </a:extLst>
        </xdr:cNvPr>
        <xdr:cNvSpPr/>
      </xdr:nvSpPr>
      <xdr:spPr>
        <a:xfrm>
          <a:off x="8991600" y="1695450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</a:t>
          </a:r>
          <a:r>
            <a:rPr kumimoji="1" lang="en-US" altLang="ja-JP" sz="1100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</a:t>
          </a:r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張替データ転送</a:t>
          </a:r>
        </a:p>
      </xdr:txBody>
    </xdr:sp>
    <xdr:clientData/>
  </xdr:twoCellAnchor>
  <xdr:twoCellAnchor>
    <xdr:from>
      <xdr:col>11</xdr:col>
      <xdr:colOff>342900</xdr:colOff>
      <xdr:row>9</xdr:row>
      <xdr:rowOff>47625</xdr:rowOff>
    </xdr:from>
    <xdr:to>
      <xdr:col>13</xdr:col>
      <xdr:colOff>551100</xdr:colOff>
      <xdr:row>11</xdr:row>
      <xdr:rowOff>150450</xdr:rowOff>
    </xdr:to>
    <xdr:sp macro="[0]!単価一覧ポップアップ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CE94E2B8-37F6-E014-00B4-41406EB09395}"/>
            </a:ext>
          </a:extLst>
        </xdr:cNvPr>
        <xdr:cNvSpPr/>
      </xdr:nvSpPr>
      <xdr:spPr>
        <a:xfrm>
          <a:off x="9248775" y="2152650"/>
          <a:ext cx="16560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</a:t>
          </a:r>
          <a:r>
            <a:rPr kumimoji="1" lang="en-US" altLang="ja-JP" sz="1100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</a:t>
          </a:r>
          <a:r>
            <a:rPr kumimoji="1" lang="ja-JP" altLang="en-US" sz="1100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　 単価一覧</a:t>
          </a:r>
          <a:endParaRPr kumimoji="1" lang="ja-JP" altLang="en-US" sz="1100">
            <a:solidFill>
              <a:schemeClr val="tx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1</xdr:row>
      <xdr:rowOff>200025</xdr:rowOff>
    </xdr:from>
    <xdr:to>
      <xdr:col>13</xdr:col>
      <xdr:colOff>180975</xdr:colOff>
      <xdr:row>2</xdr:row>
      <xdr:rowOff>57150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E4F09C22-1531-4024-8D23-8EF6D22CD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7425" y="371475"/>
          <a:ext cx="66675" cy="66675"/>
        </a:xfrm>
        <a:prstGeom prst="rect">
          <a:avLst/>
        </a:prstGeom>
      </xdr:spPr>
    </xdr:pic>
    <xdr:clientData/>
  </xdr:twoCellAnchor>
  <xdr:twoCellAnchor editAs="oneCell">
    <xdr:from>
      <xdr:col>6</xdr:col>
      <xdr:colOff>104775</xdr:colOff>
      <xdr:row>4</xdr:row>
      <xdr:rowOff>333375</xdr:rowOff>
    </xdr:from>
    <xdr:to>
      <xdr:col>6</xdr:col>
      <xdr:colOff>574075</xdr:colOff>
      <xdr:row>7</xdr:row>
      <xdr:rowOff>70016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434AA9FE-9169-40BC-8966-455E4E827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5257800" y="1162050"/>
          <a:ext cx="469300" cy="45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0</xdr:col>
      <xdr:colOff>1276350</xdr:colOff>
      <xdr:row>0</xdr:row>
      <xdr:rowOff>342900</xdr:rowOff>
    </xdr:to>
    <xdr:sp macro="[0]!ガント全クリア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EF4DC7F-9659-CFD8-96A7-BFDAC2158FA1}"/>
            </a:ext>
          </a:extLst>
        </xdr:cNvPr>
        <xdr:cNvSpPr/>
      </xdr:nvSpPr>
      <xdr:spPr>
        <a:xfrm>
          <a:off x="161925" y="47625"/>
          <a:ext cx="1114425" cy="2952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  <a:bevelB w="38100" h="38100"/>
          </a:sp3d>
        </a:bodyPr>
        <a:lstStyle/>
        <a:p>
          <a:pPr algn="l"/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 クリア</a:t>
          </a:r>
        </a:p>
      </xdr:txBody>
    </xdr:sp>
    <xdr:clientData/>
  </xdr:twoCellAnchor>
  <xdr:twoCellAnchor>
    <xdr:from>
      <xdr:col>0</xdr:col>
      <xdr:colOff>161925</xdr:colOff>
      <xdr:row>0</xdr:row>
      <xdr:rowOff>409575</xdr:rowOff>
    </xdr:from>
    <xdr:to>
      <xdr:col>0</xdr:col>
      <xdr:colOff>1276350</xdr:colOff>
      <xdr:row>1</xdr:row>
      <xdr:rowOff>257175</xdr:rowOff>
    </xdr:to>
    <xdr:sp macro="[0]!工程表を更新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DD4473D3-EFF8-B76F-C7C3-461C60E91548}"/>
            </a:ext>
          </a:extLst>
        </xdr:cNvPr>
        <xdr:cNvSpPr/>
      </xdr:nvSpPr>
      <xdr:spPr>
        <a:xfrm>
          <a:off x="161925" y="409575"/>
          <a:ext cx="1114425" cy="2952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  <a:bevelB w="38100" h="38100"/>
          </a:sp3d>
        </a:bodyPr>
        <a:lstStyle/>
        <a:p>
          <a:pPr algn="l"/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     更新</a:t>
          </a:r>
        </a:p>
      </xdr:txBody>
    </xdr:sp>
    <xdr:clientData/>
  </xdr:twoCellAnchor>
  <xdr:twoCellAnchor editAs="oneCell">
    <xdr:from>
      <xdr:col>37</xdr:col>
      <xdr:colOff>1295399</xdr:colOff>
      <xdr:row>2</xdr:row>
      <xdr:rowOff>76200</xdr:rowOff>
    </xdr:from>
    <xdr:to>
      <xdr:col>37</xdr:col>
      <xdr:colOff>1933574</xdr:colOff>
      <xdr:row>2</xdr:row>
      <xdr:rowOff>689512</xdr:rowOff>
    </xdr:to>
    <xdr:pic>
      <xdr:nvPicPr>
        <xdr:cNvPr id="74" name="図 73">
          <a:extLst>
            <a:ext uri="{FF2B5EF4-FFF2-40B4-BE49-F238E27FC236}">
              <a16:creationId xmlns:a16="http://schemas.microsoft.com/office/drawing/2014/main" id="{B8B3CFD5-08C8-4805-BDD4-1757AF024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16087724" y="800100"/>
          <a:ext cx="638175" cy="6133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1343025</xdr:colOff>
      <xdr:row>0</xdr:row>
      <xdr:rowOff>47625</xdr:rowOff>
    </xdr:from>
    <xdr:to>
      <xdr:col>1</xdr:col>
      <xdr:colOff>923925</xdr:colOff>
      <xdr:row>1</xdr:row>
      <xdr:rowOff>247650</xdr:rowOff>
    </xdr:to>
    <xdr:sp macro="[6]!工事一覧へ書き出す_物件名_開始_完了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62C1E1B-8AF5-BE9A-B332-0587C12909B7}"/>
            </a:ext>
          </a:extLst>
        </xdr:cNvPr>
        <xdr:cNvSpPr/>
      </xdr:nvSpPr>
      <xdr:spPr>
        <a:xfrm>
          <a:off x="1343025" y="47625"/>
          <a:ext cx="1200150" cy="6477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/>
            <a:bevelB w="38100" h="38100"/>
          </a:sp3d>
        </a:bodyPr>
        <a:lstStyle/>
        <a:p>
          <a:pPr algn="l"/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　</a:t>
          </a:r>
          <a:r>
            <a:rPr kumimoji="1" lang="ja-JP" altLang="en-US" sz="1200" b="1" baseline="0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 </a:t>
          </a:r>
          <a:r>
            <a:rPr kumimoji="1" lang="ja-JP" altLang="en-US" sz="1200" b="1">
              <a:solidFill>
                <a:schemeClr val="tx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工事一覧　　工程表へ書出</a:t>
          </a:r>
        </a:p>
      </xdr:txBody>
    </xdr:sp>
    <xdr:clientData/>
  </xdr:twoCellAnchor>
  <xdr:twoCellAnchor>
    <xdr:from>
      <xdr:col>6</xdr:col>
      <xdr:colOff>152400</xdr:colOff>
      <xdr:row>7</xdr:row>
      <xdr:rowOff>497681</xdr:rowOff>
    </xdr:from>
    <xdr:to>
      <xdr:col>6</xdr:col>
      <xdr:colOff>152400</xdr:colOff>
      <xdr:row>27</xdr:row>
      <xdr:rowOff>88106</xdr:rowOff>
    </xdr:to>
    <xdr:cxnSp macro="">
      <xdr:nvCxnSpPr>
        <xdr:cNvPr id="5" name="TodayLine">
          <a:extLst>
            <a:ext uri="{FF2B5EF4-FFF2-40B4-BE49-F238E27FC236}">
              <a16:creationId xmlns:a16="http://schemas.microsoft.com/office/drawing/2014/main" id="{8132D7CB-B9EC-6328-123A-24F83E659C11}"/>
            </a:ext>
          </a:extLst>
        </xdr:cNvPr>
        <xdr:cNvCxnSpPr/>
      </xdr:nvCxnSpPr>
      <xdr:spPr>
        <a:xfrm>
          <a:off x="6105525" y="3295650"/>
          <a:ext cx="0" cy="9591675"/>
        </a:xfrm>
        <a:prstGeom prst="line">
          <a:avLst/>
        </a:prstGeom>
        <a:ln w="25400">
          <a:solidFill>
            <a:srgbClr val="008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2</xdr:row>
      <xdr:rowOff>9526</xdr:rowOff>
    </xdr:from>
    <xdr:to>
      <xdr:col>10</xdr:col>
      <xdr:colOff>342900</xdr:colOff>
      <xdr:row>4</xdr:row>
      <xdr:rowOff>19050</xdr:rowOff>
    </xdr:to>
    <xdr:sp macro="[0]!StopTogg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9E8B60A-B432-3BE6-F43A-59A684734D4D}"/>
            </a:ext>
          </a:extLst>
        </xdr:cNvPr>
        <xdr:cNvSpPr/>
      </xdr:nvSpPr>
      <xdr:spPr>
        <a:xfrm>
          <a:off x="15030450" y="428626"/>
          <a:ext cx="1276350" cy="3524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BIZ UDPゴシック" panose="020B0400000000000000" pitchFamily="50" charset="-128"/>
              <a:ea typeface="BIZ UDPゴシック" panose="020B0400000000000000" pitchFamily="50" charset="-128"/>
            </a:rPr>
            <a:t>      編集</a:t>
          </a:r>
        </a:p>
      </xdr:txBody>
    </xdr:sp>
    <xdr:clientData/>
  </xdr:twoCellAnchor>
  <xdr:twoCellAnchor>
    <xdr:from>
      <xdr:col>8</xdr:col>
      <xdr:colOff>438150</xdr:colOff>
      <xdr:row>7</xdr:row>
      <xdr:rowOff>76201</xdr:rowOff>
    </xdr:from>
    <xdr:to>
      <xdr:col>10</xdr:col>
      <xdr:colOff>342900</xdr:colOff>
      <xdr:row>9</xdr:row>
      <xdr:rowOff>76200</xdr:rowOff>
    </xdr:to>
    <xdr:sp macro="[0]!ResetColor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AAD57549-A174-9C11-B6A7-B47CD81421EE}"/>
            </a:ext>
          </a:extLst>
        </xdr:cNvPr>
        <xdr:cNvSpPr/>
      </xdr:nvSpPr>
      <xdr:spPr>
        <a:xfrm>
          <a:off x="15030450" y="1352551"/>
          <a:ext cx="1276350" cy="3524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BIZ UDPゴシック" panose="020B0400000000000000" pitchFamily="50" charset="-128"/>
              <a:ea typeface="BIZ UDPゴシック" panose="020B0400000000000000" pitchFamily="50" charset="-128"/>
            </a:rPr>
            <a:t>     クリア</a:t>
          </a:r>
        </a:p>
      </xdr:txBody>
    </xdr:sp>
    <xdr:clientData/>
  </xdr:twoCellAnchor>
  <xdr:twoCellAnchor>
    <xdr:from>
      <xdr:col>8</xdr:col>
      <xdr:colOff>438150</xdr:colOff>
      <xdr:row>4</xdr:row>
      <xdr:rowOff>128589</xdr:rowOff>
    </xdr:from>
    <xdr:to>
      <xdr:col>10</xdr:col>
      <xdr:colOff>342900</xdr:colOff>
      <xdr:row>6</xdr:row>
      <xdr:rowOff>138113</xdr:rowOff>
    </xdr:to>
    <xdr:sp macro="[0]!StartToggle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C465C0EE-57F5-5FF2-63AB-647D874F8216}"/>
            </a:ext>
          </a:extLst>
        </xdr:cNvPr>
        <xdr:cNvSpPr/>
      </xdr:nvSpPr>
      <xdr:spPr>
        <a:xfrm>
          <a:off x="15030450" y="890589"/>
          <a:ext cx="1276350" cy="3524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baseline="0">
              <a:latin typeface="BIZ UDPゴシック" panose="020B0400000000000000" pitchFamily="50" charset="-128"/>
              <a:ea typeface="BIZ UDPゴシック" panose="020B0400000000000000" pitchFamily="50" charset="-128"/>
            </a:rPr>
            <a:t>   </a:t>
          </a:r>
          <a:r>
            <a:rPr kumimoji="1" lang="ja-JP" altLang="en-US" sz="1400">
              <a:latin typeface="BIZ UDPゴシック" panose="020B0400000000000000" pitchFamily="50" charset="-128"/>
              <a:ea typeface="BIZ UDPゴシック" panose="020B0400000000000000" pitchFamily="50" charset="-128"/>
            </a:rPr>
            <a:t>編集終了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4</xdr:row>
      <xdr:rowOff>301460</xdr:rowOff>
    </xdr:from>
    <xdr:to>
      <xdr:col>7</xdr:col>
      <xdr:colOff>200025</xdr:colOff>
      <xdr:row>7</xdr:row>
      <xdr:rowOff>20906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E66E70A-EF2B-4F1D-9328-A727C9EFF4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304" t="20715" r="27663" b="19109"/>
        <a:stretch>
          <a:fillRect/>
        </a:stretch>
      </xdr:blipFill>
      <xdr:spPr bwMode="auto">
        <a:xfrm>
          <a:off x="5505450" y="1101560"/>
          <a:ext cx="600075" cy="576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152401</xdr:colOff>
      <xdr:row>13</xdr:row>
      <xdr:rowOff>133350</xdr:rowOff>
    </xdr:from>
    <xdr:to>
      <xdr:col>10</xdr:col>
      <xdr:colOff>533401</xdr:colOff>
      <xdr:row>15</xdr:row>
      <xdr:rowOff>123825</xdr:rowOff>
    </xdr:to>
    <xdr:sp macro="[6]!工事情報を月別ファイルに転記_完全版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EA58FAE-7C55-6264-1F26-E9C790AC609E}"/>
            </a:ext>
          </a:extLst>
        </xdr:cNvPr>
        <xdr:cNvSpPr/>
      </xdr:nvSpPr>
      <xdr:spPr>
        <a:xfrm>
          <a:off x="8286751" y="2752725"/>
          <a:ext cx="1466850" cy="352425"/>
        </a:xfrm>
        <a:prstGeom prst="roundRect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 b="1">
              <a:latin typeface="BIZ UDPゴシック" panose="020B0400000000000000" pitchFamily="50" charset="-128"/>
              <a:ea typeface="BIZ UDPゴシック" panose="020B0400000000000000" pitchFamily="50" charset="-128"/>
            </a:rPr>
            <a:t>工事一覧へ書出し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0</xdr:row>
      <xdr:rowOff>133350</xdr:rowOff>
    </xdr:from>
    <xdr:to>
      <xdr:col>12</xdr:col>
      <xdr:colOff>28575</xdr:colOff>
      <xdr:row>3</xdr:row>
      <xdr:rowOff>47625</xdr:rowOff>
    </xdr:to>
    <xdr:sp macro="[0]!フォント16_黒背景白文字_AtoD全範囲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DFE6F21-D426-FEC6-9B20-E5F313666B22}"/>
            </a:ext>
          </a:extLst>
        </xdr:cNvPr>
        <xdr:cNvSpPr/>
      </xdr:nvSpPr>
      <xdr:spPr>
        <a:xfrm>
          <a:off x="17173575" y="133350"/>
          <a:ext cx="1514475" cy="504825"/>
        </a:xfrm>
        <a:prstGeom prst="roundRect">
          <a:avLst/>
        </a:prstGeom>
        <a:scene3d>
          <a:camera prst="orthographicFront"/>
          <a:lightRig rig="chilly" dir="t"/>
        </a:scene3d>
        <a:sp3d>
          <a:bevelT/>
          <a:bevelB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      </a:t>
          </a:r>
          <a:r>
            <a:rPr kumimoji="1" lang="ja-JP" altLang="en-US" sz="1100" baseline="0"/>
            <a:t>  </a:t>
          </a:r>
          <a:r>
            <a:rPr kumimoji="1" lang="ja-JP" altLang="en-US" sz="160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文字強調</a:t>
          </a:r>
          <a:endParaRPr kumimoji="1" lang="ja-JP" altLang="en-US" sz="110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vieselect\&#20181;&#20107;\&#28310;&#24179;\Desktop\&#20849;&#26377;\&#24037;&#20107;&#12459;&#12540;&#12489;\&#24037;&#20107;&#12459;&#12540;&#12489;&#12288;access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chi\&#24037;&#20107;&#12459;&#12540;&#12489;\&#24037;&#20107;&#12459;&#12540;&#12489;&#65288;&#26032;&#65289;\&#26666;&#24335;&#20250;&#31038;&#12469;&#12463;&#12471;&#12540;&#12489;&#27096;&#29992;.xls" TargetMode="External"/><Relationship Id="rId1" Type="http://schemas.openxmlformats.org/officeDocument/2006/relationships/externalLinkPath" Target="https://mavieselect-my.sharepoint.com/Users/machi/&#24037;&#20107;&#12459;&#12540;&#12489;/&#24037;&#20107;&#12459;&#12540;&#12489;&#65288;&#26032;&#65289;/&#26666;&#24335;&#20250;&#31038;&#12469;&#12463;&#12471;&#12540;&#12489;&#27096;&#29992;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chi\Desktop\&#12510;&#12532;&#12451;&#12475;&#12524;&#12463;&#12488;&#24037;&#20107;&#12501;&#12457;&#12523;&#12480;\7&#24180;&#24037;&#20107;&#12459;&#12540;&#12489;\2&#26376;\&#12495;&#12454;&#12473;&#12513;&#12452;&#12488;&#12510;&#12493;&#12472;&#12513;&#12531;&#12488;\&#12464;&#12522;&#12540;&#12531;&#12495;&#12452;&#12512;102&#21495;&#23460;.xls" TargetMode="External"/><Relationship Id="rId1" Type="http://schemas.openxmlformats.org/officeDocument/2006/relationships/externalLinkPath" Target="https://mavieselect-my.sharepoint.com/personal/machida_mavieselect_onmicrosoft_com/Documents/&#12487;&#12473;&#12463;&#12488;&#12483;&#12503;/&#12510;&#12532;&#12451;&#12475;&#12524;&#12463;&#12488;&#24037;&#20107;&#12501;&#12457;&#12523;&#12480;/7&#24180;&#24037;&#20107;&#12459;&#12540;&#12489;/2&#26376;/&#12495;&#12454;&#12473;&#12513;&#12452;&#12488;&#12510;&#12493;&#12472;&#12513;&#12531;&#12488;/&#12464;&#12522;&#12540;&#12531;&#12495;&#12452;&#12512;102&#21495;&#23460;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avieselect-my.sharepoint.com/personal/machida_mavieselect_onmicrosoft_com/Documents/&#12487;&#12473;&#12463;&#12488;&#12483;&#12503;/&#24037;&#20107;&#12459;&#12540;&#12489;/&#24037;&#20107;&#12459;&#12540;&#12489;&#65288;&#26032;&#65289;/&#26666;&#24335;&#20250;&#31038;&#12495;&#12454;&#12473;&#12513;&#12452;&#12488;&#12510;&#12493;&#12472;&#12513;&#12531;&#12488;&#27096;&#29992;.xls" TargetMode="External"/><Relationship Id="rId1" Type="http://schemas.openxmlformats.org/officeDocument/2006/relationships/externalLinkPath" Target="https://mavieselect-my.sharepoint.com/personal/machida_mavieselect_onmicrosoft_com/Documents/&#12487;&#12473;&#12463;&#12488;&#12483;&#12503;/&#24037;&#20107;&#12459;&#12540;&#12489;/&#24037;&#20107;&#12459;&#12540;&#12489;&#65288;&#26032;&#65289;/&#26666;&#24335;&#20250;&#31038;&#12495;&#12454;&#12473;&#12513;&#12452;&#12488;&#12510;&#12493;&#12472;&#12513;&#12531;&#12488;&#27096;&#29992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chi\Desktop\&#24037;&#20107;&#12459;&#12540;&#12489;\&#24037;&#20107;&#20381;&#38972;&#12501;&#12457;&#12540;&#12512;.xlsm" TargetMode="External"/><Relationship Id="rId1" Type="http://schemas.openxmlformats.org/officeDocument/2006/relationships/externalLinkPath" Target="https://mavieselect-my.sharepoint.com/personal/machida_mavieselect_onmicrosoft_com/Documents/&#12487;&#12473;&#12463;&#12488;&#12483;&#12503;/&#24037;&#20107;&#12459;&#12540;&#12489;/&#24037;&#20107;&#20381;&#38972;&#12501;&#12457;&#12540;&#12512;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AppData/Roaming/Microsoft/AddIns/&#21407;&#20385;&#35336;&#31639;&#26360;&#12408;&#36578;&#35352;&#12450;&#12489;&#12452;&#12531;.xlam" TargetMode="External"/><Relationship Id="rId2" Type="http://schemas.openxmlformats.org/officeDocument/2006/relationships/externalLinkPath" Target="file:///C:\Users\machi\AppData\Roaming\Microsoft\AddIns\&#21407;&#20385;&#35336;&#31639;&#26360;&#12408;&#36578;&#35352;&#12450;&#12489;&#12452;&#12531;.xlam" TargetMode="External"/><Relationship Id="rId1" Type="http://schemas.openxmlformats.org/officeDocument/2006/relationships/externalLinkPath" Target="/Users/machi/AppData/Roaming/Microsoft/AddIns/&#21407;&#20385;&#35336;&#31639;&#26360;&#12408;&#36578;&#35352;&#12450;&#12489;&#12452;&#12531;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工事カード"/>
      <sheetName val="見積書"/>
      <sheetName val="原価計算"/>
      <sheetName val="取引先住所録"/>
      <sheetName val="業者住所録 "/>
      <sheetName val="物件名一覧"/>
      <sheetName val="物件データ"/>
      <sheetName val="請求書"/>
      <sheetName val="クロス計算 (１)"/>
      <sheetName val="クロス計算 (２)"/>
      <sheetName val="床計算  (2)"/>
      <sheetName val="新規発注書"/>
      <sheetName val="新規発注書 (2)"/>
      <sheetName val="新規発注書 (3)"/>
      <sheetName val="新規発注書 (4)"/>
      <sheetName val="新規発注書 (5)"/>
      <sheetName val="新規発注書 (6)"/>
      <sheetName val="箇所マスタ"/>
      <sheetName val="項目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A3" t="str">
            <v>クロス</v>
          </cell>
        </row>
        <row r="4">
          <cell r="A4" t="str">
            <v>床工事</v>
          </cell>
        </row>
        <row r="5">
          <cell r="A5" t="str">
            <v>設備</v>
          </cell>
        </row>
        <row r="6">
          <cell r="A6" t="str">
            <v>塗装</v>
          </cell>
        </row>
        <row r="7">
          <cell r="A7" t="str">
            <v>清掃</v>
          </cell>
        </row>
        <row r="8">
          <cell r="A8" t="str">
            <v>補修</v>
          </cell>
        </row>
        <row r="9">
          <cell r="A9" t="str">
            <v>雑工事</v>
          </cell>
        </row>
        <row r="10">
          <cell r="A10" t="str">
            <v>電気</v>
          </cell>
        </row>
        <row r="11">
          <cell r="A11" t="str">
            <v>大工</v>
          </cell>
        </row>
        <row r="12">
          <cell r="A12" t="str">
            <v>外構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物件データ"/>
      <sheetName val="工事単価"/>
      <sheetName val="項目"/>
      <sheetName val="価格表"/>
      <sheetName val="項目（原価）"/>
      <sheetName val="原価"/>
      <sheetName val="工事カード"/>
      <sheetName val="見積書"/>
      <sheetName val="自社作業書"/>
      <sheetName val="仕様書CF裁断"/>
      <sheetName val="工事項目"/>
      <sheetName val="完了報告書"/>
      <sheetName val="原価計算書"/>
      <sheetName val="クロス計算"/>
      <sheetName val="床計算 "/>
      <sheetName val="新規発注書"/>
      <sheetName val="小倉クロス"/>
      <sheetName val="シンコール"/>
      <sheetName val="シンコール (材料)"/>
      <sheetName val="上坂紙店"/>
      <sheetName val="上坂紙店(材料)"/>
      <sheetName val="イデア"/>
      <sheetName val="ﾄﾗｽﾄｸﾙｰ"/>
      <sheetName val="おそうじ本舗"/>
      <sheetName val="久末"/>
      <sheetName val="山本"/>
      <sheetName val="浜江内装"/>
      <sheetName val="衛生洗浄"/>
      <sheetName val="Ito Biken"/>
      <sheetName val="香川"/>
      <sheetName val="ガラスフリーク"/>
      <sheetName val="成田ガラス"/>
      <sheetName val="札ベニ"/>
      <sheetName val="泰平建材"/>
      <sheetName val="工藤畳"/>
      <sheetName val="塗装北彩"/>
      <sheetName val="K’s Works"/>
      <sheetName val="eガス"/>
      <sheetName val="浅野興業"/>
      <sheetName val="小成"/>
      <sheetName val="ﾄﾞｸﾀｰﾎﾟｯﾄ"/>
      <sheetName val="鍵の救急車"/>
      <sheetName val="仕様書クロス・床"/>
      <sheetName val="FAX送付状"/>
    </sheetNames>
    <sheetDataSet>
      <sheetData sheetId="0">
        <row r="2">
          <cell r="I2" t="str">
            <v>中央区</v>
          </cell>
        </row>
        <row r="3">
          <cell r="I3" t="str">
            <v>北区</v>
          </cell>
        </row>
        <row r="4">
          <cell r="I4" t="str">
            <v>東区</v>
          </cell>
        </row>
        <row r="5">
          <cell r="I5" t="str">
            <v>西区</v>
          </cell>
        </row>
        <row r="6">
          <cell r="I6" t="str">
            <v>南区</v>
          </cell>
        </row>
        <row r="7">
          <cell r="I7" t="str">
            <v>白石区</v>
          </cell>
        </row>
        <row r="8">
          <cell r="I8" t="str">
            <v>豊平区</v>
          </cell>
        </row>
        <row r="9">
          <cell r="I9" t="str">
            <v>厚別区</v>
          </cell>
        </row>
        <row r="10">
          <cell r="I10" t="str">
            <v>手稲区</v>
          </cell>
        </row>
        <row r="11">
          <cell r="I11" t="str">
            <v>清田区</v>
          </cell>
        </row>
        <row r="12">
          <cell r="I12" t="str">
            <v>市外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物件データ"/>
      <sheetName val="工事カード"/>
      <sheetName val="見積書"/>
      <sheetName val="工事項目"/>
      <sheetName val="自社作業書"/>
      <sheetName val="完了報告書 (2)"/>
      <sheetName val="仕様書CF裁断"/>
      <sheetName val="原価計算書"/>
      <sheetName val="クロス計算"/>
      <sheetName val="床計算 "/>
      <sheetName val="新規発注書"/>
      <sheetName val="小倉クロス"/>
      <sheetName val="シンコール"/>
      <sheetName val="シンコール (材料)"/>
      <sheetName val="上坂紙店"/>
      <sheetName val="上坂紙店(材料)"/>
      <sheetName val="イデア"/>
      <sheetName val="ﾄﾗｽﾄｸﾙｰ"/>
      <sheetName val="ブラッシュアップ"/>
      <sheetName val="久末"/>
      <sheetName val="山本"/>
      <sheetName val="浜江内装"/>
      <sheetName val="衛生洗浄"/>
      <sheetName val="Ito Biken"/>
      <sheetName val="香川"/>
      <sheetName val="ガラスフリーク"/>
      <sheetName val="成田ガラス"/>
      <sheetName val="札ベニ"/>
      <sheetName val="泰平建材"/>
      <sheetName val="工藤畳"/>
      <sheetName val="塗装北彩"/>
      <sheetName val="K’s Works"/>
      <sheetName val="eガス"/>
      <sheetName val="浅野興業"/>
      <sheetName val="小成"/>
      <sheetName val="ﾄﾞｸﾀｰﾎﾟｯﾄ"/>
      <sheetName val="鍵の救急車"/>
      <sheetName val="仕様書クロス・床"/>
      <sheetName val="FAX送付状"/>
    </sheetNames>
    <sheetDataSet>
      <sheetData sheetId="0">
        <row r="2">
          <cell r="I2" t="str">
            <v>中央区</v>
          </cell>
        </row>
        <row r="3">
          <cell r="I3" t="str">
            <v>北区</v>
          </cell>
        </row>
        <row r="4">
          <cell r="I4" t="str">
            <v>東区</v>
          </cell>
        </row>
        <row r="5">
          <cell r="I5" t="str">
            <v>西区</v>
          </cell>
        </row>
        <row r="6">
          <cell r="I6" t="str">
            <v>南区</v>
          </cell>
        </row>
        <row r="7">
          <cell r="I7" t="str">
            <v>白石区</v>
          </cell>
        </row>
        <row r="8">
          <cell r="I8" t="str">
            <v>豊平区</v>
          </cell>
        </row>
        <row r="9">
          <cell r="I9" t="str">
            <v>厚別区</v>
          </cell>
        </row>
        <row r="10">
          <cell r="I10" t="str">
            <v>手稲区</v>
          </cell>
        </row>
        <row r="11">
          <cell r="I11" t="str">
            <v>清田区</v>
          </cell>
        </row>
        <row r="12">
          <cell r="I12" t="str">
            <v>市外</v>
          </cell>
        </row>
      </sheetData>
      <sheetData sheetId="1">
        <row r="6">
          <cell r="C6" t="str">
            <v>グリーンハイム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物件ハウスメイト"/>
      <sheetName val="工事単価"/>
      <sheetName val="項目"/>
      <sheetName val="価格表"/>
      <sheetName val="項目（原価）"/>
      <sheetName val="原価"/>
      <sheetName val="工事カード"/>
      <sheetName val="見積書"/>
      <sheetName val="工事項目"/>
      <sheetName val="自社作業書"/>
      <sheetName val="完了報告書 (2)"/>
      <sheetName val="仕様書CF裁断"/>
      <sheetName val="原価計算書"/>
      <sheetName val="クロス計算"/>
      <sheetName val="床計算 "/>
      <sheetName val="新規発注書"/>
      <sheetName val="小倉クロス"/>
      <sheetName val="シンコール"/>
      <sheetName val="シンコール (材料)"/>
      <sheetName val="上坂紙店"/>
      <sheetName val="上坂紙店(材料)"/>
      <sheetName val="イデア"/>
      <sheetName val="ﾄﾗｽﾄｸﾙｰ"/>
      <sheetName val="ブラッシュアップ"/>
      <sheetName val="久末"/>
      <sheetName val="山本"/>
      <sheetName val="浜江内装"/>
      <sheetName val="衛生洗浄"/>
      <sheetName val="Ito Biken"/>
      <sheetName val="香川"/>
      <sheetName val="ガラスフリーク"/>
      <sheetName val="成田ガラス"/>
      <sheetName val="札ベニ"/>
      <sheetName val="泰平建材"/>
      <sheetName val="工藤畳"/>
      <sheetName val="塗装北彩"/>
      <sheetName val="K’s Works"/>
      <sheetName val="eガス"/>
      <sheetName val="浅野興業"/>
      <sheetName val="小成"/>
      <sheetName val="ﾄﾞｸﾀｰﾎﾟｯﾄ"/>
      <sheetName val="鍵の救急車"/>
      <sheetName val="仕様書クロス・床"/>
      <sheetName val="FAX送付状"/>
      <sheetName val="株式会社ハウスメイトマネジメント様用"/>
    </sheetNames>
    <sheetDataSet>
      <sheetData sheetId="0">
        <row r="2">
          <cell r="I2" t="str">
            <v>中央区</v>
          </cell>
        </row>
        <row r="3">
          <cell r="I3" t="str">
            <v>北区</v>
          </cell>
        </row>
        <row r="4">
          <cell r="I4" t="str">
            <v>東区</v>
          </cell>
        </row>
        <row r="5">
          <cell r="I5" t="str">
            <v>西区</v>
          </cell>
        </row>
        <row r="6">
          <cell r="I6" t="str">
            <v>南区</v>
          </cell>
        </row>
        <row r="7">
          <cell r="I7" t="str">
            <v>白石区</v>
          </cell>
        </row>
        <row r="8">
          <cell r="I8" t="str">
            <v>豊平区</v>
          </cell>
        </row>
        <row r="9">
          <cell r="I9" t="str">
            <v>厚別区</v>
          </cell>
        </row>
        <row r="10">
          <cell r="I10" t="str">
            <v>手稲区</v>
          </cell>
        </row>
        <row r="11">
          <cell r="I11" t="str">
            <v>清田区</v>
          </cell>
        </row>
        <row r="12">
          <cell r="I12" t="str">
            <v>市外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J6" t="str">
            <v>号室</v>
          </cell>
        </row>
        <row r="10">
          <cell r="H10" t="e">
            <v>#N/A</v>
          </cell>
        </row>
        <row r="11">
          <cell r="H11" t="e">
            <v>#N/A</v>
          </cell>
        </row>
        <row r="12">
          <cell r="H12" t="e">
            <v>#N/A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依頼入力フォーム"/>
      <sheetName val="修繕データベース"/>
      <sheetName val="管理会社一覧"/>
      <sheetName val="株式会社ハウスメイトマネジメント_マスター"/>
      <sheetName val="株式会社第一住建_マスター"/>
      <sheetName val="株式会社LINE_マスター"/>
    </sheetNames>
    <sheetDataSet>
      <sheetData sheetId="0">
        <row r="13">
          <cell r="E13" t="str">
            <v>　</v>
          </cell>
        </row>
        <row r="15">
          <cell r="B15" t="str">
            <v>住所が見つかりません</v>
          </cell>
        </row>
        <row r="17">
          <cell r="B17" t="str">
            <v>オートロック情報なし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  <sheetName val="原価計算書へ転記アドイン"/>
    </sheetNames>
    <definedNames>
      <definedName name="工事一覧へ書き出す_物件名_開始_完了"/>
      <definedName name="工事情報を月別ファイルに転記_完全版"/>
    </definedNames>
    <sheetDataSet>
      <sheetData sheetId="0"/>
      <sheetData sheetId="1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F1E355-1033-4586-AAC3-B87A6C2556BB}" name="テーブル1" displayName="テーブル1" ref="A1:E51" totalsRowShown="0" headerRowDxfId="17" dataDxfId="15" headerRowBorderDxfId="16" tableBorderDxfId="14" totalsRowBorderDxfId="13">
  <autoFilter ref="A1:E51" xr:uid="{73F1E355-1033-4586-AAC3-B87A6C2556BB}"/>
  <tableColumns count="5">
    <tableColumn id="1" xr3:uid="{1B9CC087-8B13-4185-99EB-1048C2602ACD}" name="列1" dataDxfId="12"/>
    <tableColumn id="2" xr3:uid="{883F72CC-63D2-4D81-A7C3-A1BEAF3BDC11}" name="列2" dataDxfId="11"/>
    <tableColumn id="3" xr3:uid="{C3A9C155-5C69-455E-AD01-CA8202CA97ED}" name="住所" dataDxfId="10"/>
    <tableColumn id="4" xr3:uid="{BE5DD613-8722-44FF-9346-CF561A2D665F}" name="建物名" dataDxfId="9"/>
    <tableColumn id="5" xr3:uid="{67007BBB-BCEC-43F4-831D-EE25422DEB6D}" name="鍵情報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BF509F-A76B-4C3E-90BA-AB54BE037088}" name="テーブル3" displayName="テーブル3" ref="A2:D118" totalsRowShown="0" headerRowDxfId="7" dataDxfId="5" headerRowBorderDxfId="6" tableBorderDxfId="4">
  <autoFilter ref="A2:D118" xr:uid="{2BBF509F-A76B-4C3E-90BA-AB54BE037088}"/>
  <tableColumns count="4">
    <tableColumn id="1" xr3:uid="{711D8B0D-8F44-4D92-836D-1B96C94B16CA}" name="小倉クロス" dataDxfId="3"/>
    <tableColumn id="2" xr3:uid="{76149276-DD71-4E9F-B8AB-4323DB9DA5D0}" name="列1" dataDxfId="2"/>
    <tableColumn id="3" xr3:uid="{28B06FFE-9678-4F86-B0E7-D359CBFC6B21}" name="列2" dataDxfId="1"/>
    <tableColumn id="4" xr3:uid="{3505246D-CD7E-4548-A1B8-C165E1A9731A}" name="列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91782B1-08F1-4E30-9B7E-D801B6014882}">
  <we:reference id="wa200005271" version="2.5.5.0" store="ja-JP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8A55-0D74-4203-B16C-7E54D99582A0}">
  <sheetPr codeName="Sheet1">
    <tabColor theme="4" tint="-0.249977111117893"/>
  </sheetPr>
  <dimension ref="B1:G27"/>
  <sheetViews>
    <sheetView showGridLines="0" tabSelected="1" zoomScale="80" zoomScaleNormal="80" workbookViewId="0">
      <selection activeCell="C7" sqref="C7"/>
    </sheetView>
  </sheetViews>
  <sheetFormatPr defaultColWidth="9" defaultRowHeight="13.5" x14ac:dyDescent="0.4"/>
  <cols>
    <col min="1" max="1" width="4.5" style="496" customWidth="1"/>
    <col min="2" max="2" width="29.75" style="497" bestFit="1" customWidth="1"/>
    <col min="3" max="3" width="64.375" style="496" bestFit="1" customWidth="1"/>
    <col min="4" max="4" width="9" style="496"/>
    <col min="5" max="5" width="26.5" style="496" bestFit="1" customWidth="1"/>
    <col min="6" max="6" width="70" style="496" customWidth="1"/>
    <col min="7" max="7" width="3.75" style="496" customWidth="1"/>
    <col min="8" max="16384" width="9" style="496"/>
  </cols>
  <sheetData>
    <row r="1" spans="2:7" ht="32.25" thickBot="1" x14ac:dyDescent="0.45">
      <c r="B1" s="529" t="s">
        <v>0</v>
      </c>
      <c r="C1" s="530"/>
      <c r="D1" s="498"/>
      <c r="E1" s="499" t="s">
        <v>11</v>
      </c>
      <c r="F1" s="500" t="s">
        <v>378</v>
      </c>
      <c r="G1" s="501"/>
    </row>
    <row r="2" spans="2:7" ht="28.5" customHeight="1" thickBot="1" x14ac:dyDescent="0.45">
      <c r="B2" s="525" t="s">
        <v>422</v>
      </c>
      <c r="C2" s="521"/>
      <c r="D2" s="90"/>
      <c r="E2" s="503"/>
      <c r="F2" s="90" t="s">
        <v>378</v>
      </c>
      <c r="G2" s="504"/>
    </row>
    <row r="3" spans="2:7" ht="28.5" customHeight="1" thickBot="1" x14ac:dyDescent="0.45">
      <c r="B3" s="525" t="s">
        <v>1</v>
      </c>
      <c r="C3" s="91"/>
      <c r="D3" s="505"/>
      <c r="E3" s="525" t="s">
        <v>6</v>
      </c>
      <c r="F3" s="524" t="e">
        <f ca="1">IF(INDEX(INDIRECT("'" &amp; C3 &amp; "_マスター'!D3:D400"), MATCH(C7, INDIRECT("'" &amp; C3 &amp; "_マスター'!A3:A400"), 0))="", "", INDEX(INDIRECT("'" &amp; C3 &amp; "_マスター'!D3:D400"), MATCH(C7, INDIRECT("'" &amp; C3 &amp; "_マスター'!A3:A400"), 0)))</f>
        <v>#REF!</v>
      </c>
      <c r="G3" s="504"/>
    </row>
    <row r="4" spans="2:7" ht="28.5" customHeight="1" thickBot="1" x14ac:dyDescent="0.45">
      <c r="B4" s="502"/>
      <c r="C4" s="505"/>
      <c r="D4" s="505"/>
      <c r="E4" s="506"/>
      <c r="F4" s="507"/>
      <c r="G4" s="504"/>
    </row>
    <row r="5" spans="2:7" ht="28.5" customHeight="1" thickBot="1" x14ac:dyDescent="0.45">
      <c r="B5" s="525" t="s">
        <v>2</v>
      </c>
      <c r="C5" s="522"/>
      <c r="D5" s="505"/>
      <c r="E5" s="525" t="s">
        <v>7</v>
      </c>
      <c r="F5" s="524" t="e">
        <f ca="1">IF(INDEX(INDIRECT("'" &amp; C3 &amp; "_マスター'!E3:E400"), MATCH(C7, INDIRECT("'" &amp; C3 &amp; "_マスター'!A3:A400"), 0))="", "", INDEX(INDIRECT("'" &amp; C3 &amp; "_マスター'!E3:E400"), MATCH(C7, INDIRECT("'" &amp; C3 &amp; "_マスター'!A3:A400"), 0)))</f>
        <v>#REF!</v>
      </c>
      <c r="G5" s="504"/>
    </row>
    <row r="6" spans="2:7" ht="28.5" customHeight="1" thickBot="1" x14ac:dyDescent="0.45">
      <c r="B6" s="502"/>
      <c r="C6" s="505"/>
      <c r="D6" s="505"/>
      <c r="E6" s="506"/>
      <c r="F6" s="507"/>
      <c r="G6" s="504"/>
    </row>
    <row r="7" spans="2:7" ht="28.5" customHeight="1" thickBot="1" x14ac:dyDescent="0.45">
      <c r="B7" s="525" t="s">
        <v>3</v>
      </c>
      <c r="C7" s="91"/>
      <c r="D7" s="505"/>
      <c r="E7" s="525" t="s">
        <v>8</v>
      </c>
      <c r="F7" s="524" t="e">
        <f ca="1">IF(INDEX(INDIRECT("'" &amp; C3 &amp; "_マスター'!F3:F400"), MATCH(C7, INDIRECT("'" &amp; C3 &amp; "_マスター'!A3:A400"), 0))="", "", INDEX(INDIRECT("'" &amp; C3 &amp; "_マスター'!F3:F400"), MATCH(C7, INDIRECT("'" &amp; C3 &amp; "_マスター'!A3:A400"), 0)))</f>
        <v>#REF!</v>
      </c>
      <c r="G7" s="504"/>
    </row>
    <row r="8" spans="2:7" ht="28.5" customHeight="1" thickBot="1" x14ac:dyDescent="0.45">
      <c r="B8" s="502"/>
      <c r="C8" s="508" t="s">
        <v>2786</v>
      </c>
      <c r="D8" s="505"/>
      <c r="E8" s="506"/>
      <c r="F8" s="507"/>
      <c r="G8" s="504"/>
    </row>
    <row r="9" spans="2:7" ht="28.5" customHeight="1" thickBot="1" x14ac:dyDescent="0.45">
      <c r="B9" s="525" t="s">
        <v>4</v>
      </c>
      <c r="C9" s="91"/>
      <c r="D9" s="505"/>
      <c r="E9" s="525" t="s">
        <v>9</v>
      </c>
      <c r="F9" s="524" t="e">
        <f ca="1">IF(INDEX(INDIRECT("'" &amp; C3 &amp; "_マスター'!G3:G400"), MATCH(C7, INDIRECT("'" &amp; C3 &amp; "_マスター'!A3:A400"), 0))="", "", INDEX(INDIRECT("'" &amp; C3 &amp; "_マスター'!G3:G400"), MATCH(C7, INDIRECT("'" &amp; C3 &amp; "_マスター'!A3:A400"), 0)))</f>
        <v>#REF!</v>
      </c>
      <c r="G9" s="504"/>
    </row>
    <row r="10" spans="2:7" ht="28.5" customHeight="1" thickBot="1" x14ac:dyDescent="0.45">
      <c r="B10" s="502"/>
      <c r="C10" s="505"/>
      <c r="D10" s="505"/>
      <c r="E10" s="506"/>
      <c r="F10" s="505"/>
      <c r="G10" s="504"/>
    </row>
    <row r="11" spans="2:7" ht="28.5" customHeight="1" thickBot="1" x14ac:dyDescent="0.45">
      <c r="B11" s="525" t="s">
        <v>5</v>
      </c>
      <c r="C11" s="523"/>
      <c r="D11" s="505"/>
      <c r="E11" s="506" t="s">
        <v>378</v>
      </c>
      <c r="F11" s="505"/>
      <c r="G11" s="504"/>
    </row>
    <row r="12" spans="2:7" ht="28.5" customHeight="1" thickBot="1" x14ac:dyDescent="0.45">
      <c r="B12" s="502"/>
      <c r="C12" s="505"/>
      <c r="D12" s="505"/>
      <c r="E12" s="509"/>
      <c r="F12" s="90"/>
      <c r="G12" s="504"/>
    </row>
    <row r="13" spans="2:7" ht="28.5" customHeight="1" thickBot="1" x14ac:dyDescent="0.45">
      <c r="B13" s="526" t="s">
        <v>379</v>
      </c>
      <c r="C13" s="91"/>
      <c r="D13" s="90"/>
      <c r="E13" s="503"/>
      <c r="F13" s="90" t="s">
        <v>11</v>
      </c>
      <c r="G13" s="504"/>
    </row>
    <row r="14" spans="2:7" ht="28.5" customHeight="1" x14ac:dyDescent="0.4">
      <c r="B14" s="511" t="s">
        <v>11</v>
      </c>
      <c r="C14" s="505"/>
      <c r="D14" s="90"/>
      <c r="E14" s="503"/>
      <c r="F14" s="90"/>
      <c r="G14" s="504"/>
    </row>
    <row r="15" spans="2:7" ht="28.5" customHeight="1" x14ac:dyDescent="0.4">
      <c r="B15" s="510" t="s">
        <v>11</v>
      </c>
      <c r="C15" s="512"/>
      <c r="D15" s="90"/>
      <c r="E15" s="503"/>
      <c r="F15" s="90"/>
      <c r="G15" s="504"/>
    </row>
    <row r="16" spans="2:7" ht="28.5" customHeight="1" x14ac:dyDescent="0.4">
      <c r="B16" s="511" t="s">
        <v>11</v>
      </c>
      <c r="C16" s="513" t="e" vm="1">
        <v>#VALUE!</v>
      </c>
      <c r="D16" s="90"/>
      <c r="E16" s="503"/>
      <c r="F16" s="90"/>
      <c r="G16" s="504"/>
    </row>
    <row r="17" spans="2:7" ht="28.5" customHeight="1" thickBot="1" x14ac:dyDescent="0.45">
      <c r="B17" s="502" t="s">
        <v>11</v>
      </c>
      <c r="C17" s="505" t="s">
        <v>1056</v>
      </c>
      <c r="D17" s="90"/>
      <c r="E17" s="503"/>
      <c r="F17" s="90"/>
      <c r="G17" s="504"/>
    </row>
    <row r="18" spans="2:7" ht="28.5" customHeight="1" thickBot="1" x14ac:dyDescent="0.45">
      <c r="B18" s="527" t="s">
        <v>1</v>
      </c>
      <c r="C18" s="91"/>
      <c r="D18" s="90"/>
      <c r="E18" s="506" t="s">
        <v>378</v>
      </c>
      <c r="F18" s="505"/>
      <c r="G18" s="504"/>
    </row>
    <row r="19" spans="2:7" ht="28.5" customHeight="1" thickBot="1" x14ac:dyDescent="0.45">
      <c r="B19" s="514"/>
      <c r="C19" s="505"/>
      <c r="D19" s="90"/>
      <c r="E19" s="503"/>
      <c r="F19" s="90"/>
      <c r="G19" s="504"/>
    </row>
    <row r="20" spans="2:7" ht="28.5" customHeight="1" thickBot="1" x14ac:dyDescent="0.45">
      <c r="B20" s="527" t="s">
        <v>3</v>
      </c>
      <c r="C20" s="91"/>
      <c r="D20" s="90"/>
      <c r="E20" s="506" t="s">
        <v>10</v>
      </c>
      <c r="F20" s="92"/>
      <c r="G20" s="504"/>
    </row>
    <row r="21" spans="2:7" ht="28.5" customHeight="1" thickBot="1" x14ac:dyDescent="0.45">
      <c r="B21" s="514"/>
      <c r="C21" s="505"/>
      <c r="D21" s="90"/>
      <c r="E21" s="515"/>
      <c r="F21" s="93"/>
      <c r="G21" s="504"/>
    </row>
    <row r="22" spans="2:7" ht="28.5" customHeight="1" thickBot="1" x14ac:dyDescent="0.45">
      <c r="B22" s="527" t="s">
        <v>1053</v>
      </c>
      <c r="C22" s="91"/>
      <c r="D22" s="90"/>
      <c r="E22" s="515"/>
      <c r="F22" s="93"/>
      <c r="G22" s="504"/>
    </row>
    <row r="23" spans="2:7" ht="28.5" customHeight="1" thickBot="1" x14ac:dyDescent="0.45">
      <c r="B23" s="514"/>
      <c r="C23" s="505"/>
      <c r="D23" s="90"/>
      <c r="E23" s="90"/>
      <c r="F23" s="93"/>
      <c r="G23" s="504"/>
    </row>
    <row r="24" spans="2:7" ht="28.5" customHeight="1" thickBot="1" x14ac:dyDescent="0.45">
      <c r="B24" s="527" t="s">
        <v>1054</v>
      </c>
      <c r="C24" s="91"/>
      <c r="D24" s="90"/>
      <c r="E24" s="90"/>
      <c r="F24" s="93"/>
      <c r="G24" s="504"/>
    </row>
    <row r="25" spans="2:7" ht="28.5" customHeight="1" x14ac:dyDescent="0.4">
      <c r="B25" s="516"/>
      <c r="C25" s="505"/>
      <c r="D25" s="90"/>
      <c r="E25" s="90"/>
      <c r="F25" s="93"/>
      <c r="G25" s="504"/>
    </row>
    <row r="26" spans="2:7" ht="28.5" customHeight="1" thickBot="1" x14ac:dyDescent="0.45">
      <c r="B26" s="516"/>
      <c r="C26" s="505"/>
      <c r="D26" s="90"/>
      <c r="E26" s="90"/>
      <c r="F26" s="366"/>
      <c r="G26" s="504"/>
    </row>
    <row r="27" spans="2:7" ht="28.5" customHeight="1" thickBot="1" x14ac:dyDescent="0.45">
      <c r="B27" s="517"/>
      <c r="C27" s="518"/>
      <c r="D27" s="519"/>
      <c r="E27" s="519"/>
      <c r="F27" s="519"/>
      <c r="G27" s="520"/>
    </row>
  </sheetData>
  <mergeCells count="1">
    <mergeCell ref="B1:C1"/>
  </mergeCells>
  <phoneticPr fontId="3"/>
  <dataValidations count="1">
    <dataValidation type="list" allowBlank="1" showInputMessage="1" showErrorMessage="1" sqref="C7" xr:uid="{7C8CF580-9D33-41D6-AD52-9D434656586E}">
      <formula1>INDIRECT(C3 &amp; "_" &amp; C5)</formula1>
    </dataValidation>
  </dataValidations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99DF2FC-2992-4708-B193-D5B4BDC4C785}">
          <x14:formula1>
            <xm:f>株式会社ハウスメイトマネジメント_マスター!$H$2:$H$14</xm:f>
          </x14:formula1>
          <xm:sqref>C5</xm:sqref>
        </x14:dataValidation>
        <x14:dataValidation type="list" allowBlank="1" showInputMessage="1" showErrorMessage="1" xr:uid="{B0A83EB2-2251-401A-8F1F-CAAEF7492F76}">
          <x14:formula1>
            <xm:f>協力業者!$A$3:$A$303</xm:f>
          </x14:formula1>
          <xm:sqref>C13</xm:sqref>
        </x14:dataValidation>
        <x14:dataValidation type="list" allowBlank="1" showInputMessage="1" showErrorMessage="1" xr:uid="{70B91D89-BF05-4747-944E-99F421662FA0}">
          <x14:formula1>
            <xm:f>管理会社一覧!$A$2:$A$45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5A84-24DC-432C-B684-7C839FC5BB18}">
  <sheetPr codeName="Sheet29">
    <tabColor rgb="FF002060"/>
  </sheetPr>
  <dimension ref="A1:F25"/>
  <sheetViews>
    <sheetView showGridLines="0" topLeftCell="B1" workbookViewId="0">
      <selection activeCell="C16" sqref="C16"/>
    </sheetView>
  </sheetViews>
  <sheetFormatPr defaultColWidth="9" defaultRowHeight="16.5" x14ac:dyDescent="0.4"/>
  <cols>
    <col min="1" max="1" width="9" style="365"/>
    <col min="2" max="2" width="30.375" style="365" customWidth="1"/>
    <col min="3" max="3" width="51.25" style="365" customWidth="1"/>
    <col min="4" max="16384" width="9" style="365"/>
  </cols>
  <sheetData>
    <row r="1" spans="1:6" ht="28.5" thickBot="1" x14ac:dyDescent="0.45">
      <c r="A1" s="365" t="s">
        <v>11</v>
      </c>
      <c r="B1" s="531" t="s">
        <v>2310</v>
      </c>
      <c r="C1" s="532"/>
    </row>
    <row r="2" spans="1:6" ht="31.7" customHeight="1" thickBot="1" x14ac:dyDescent="0.45">
      <c r="B2" s="373" t="s">
        <v>2331</v>
      </c>
    </row>
    <row r="3" spans="1:6" x14ac:dyDescent="0.4">
      <c r="B3" s="401" t="s">
        <v>340</v>
      </c>
      <c r="C3" s="370" t="s">
        <v>2812</v>
      </c>
    </row>
    <row r="4" spans="1:6" x14ac:dyDescent="0.4">
      <c r="B4" s="402" t="s">
        <v>2</v>
      </c>
      <c r="C4" s="371" t="s">
        <v>73</v>
      </c>
      <c r="E4" s="365" t="s">
        <v>11</v>
      </c>
      <c r="F4" s="448"/>
    </row>
    <row r="5" spans="1:6" x14ac:dyDescent="0.4">
      <c r="B5" s="402" t="s">
        <v>3</v>
      </c>
      <c r="C5" s="371" t="s">
        <v>2814</v>
      </c>
    </row>
    <row r="6" spans="1:6" x14ac:dyDescent="0.4">
      <c r="B6" s="402" t="s">
        <v>5</v>
      </c>
      <c r="C6" s="371" t="s">
        <v>2816</v>
      </c>
      <c r="F6" s="365" t="s">
        <v>11</v>
      </c>
    </row>
    <row r="7" spans="1:6" ht="18.75" x14ac:dyDescent="0.4">
      <c r="B7" s="402" t="s">
        <v>6</v>
      </c>
      <c r="C7" s="371" t="s">
        <v>11</v>
      </c>
      <c r="E7" s="459" t="s">
        <v>11</v>
      </c>
    </row>
    <row r="8" spans="1:6" x14ac:dyDescent="0.4">
      <c r="B8" s="402" t="s">
        <v>7</v>
      </c>
      <c r="C8" s="528"/>
    </row>
    <row r="9" spans="1:6" x14ac:dyDescent="0.4">
      <c r="B9" s="402" t="s">
        <v>8</v>
      </c>
      <c r="C9" s="457"/>
    </row>
    <row r="10" spans="1:6" x14ac:dyDescent="0.4">
      <c r="B10" s="402" t="s">
        <v>9</v>
      </c>
      <c r="C10" s="371"/>
    </row>
    <row r="11" spans="1:6" x14ac:dyDescent="0.4">
      <c r="B11" s="402" t="s">
        <v>473</v>
      </c>
      <c r="C11" s="371"/>
    </row>
    <row r="12" spans="1:6" x14ac:dyDescent="0.4">
      <c r="B12" s="402" t="s">
        <v>5</v>
      </c>
      <c r="C12" s="371"/>
    </row>
    <row r="13" spans="1:6" ht="17.25" thickBot="1" x14ac:dyDescent="0.45">
      <c r="B13" s="403" t="s">
        <v>2327</v>
      </c>
      <c r="C13" s="372"/>
    </row>
    <row r="18" spans="2:6" ht="39.200000000000003" customHeight="1" thickBot="1" x14ac:dyDescent="0.45">
      <c r="B18" s="373" t="s">
        <v>2347</v>
      </c>
    </row>
    <row r="19" spans="2:6" x14ac:dyDescent="0.4">
      <c r="B19" s="401" t="s">
        <v>2334</v>
      </c>
      <c r="C19" s="370"/>
    </row>
    <row r="20" spans="2:6" x14ac:dyDescent="0.15">
      <c r="B20" s="402" t="s">
        <v>473</v>
      </c>
      <c r="C20" s="371"/>
      <c r="F20" s="53"/>
    </row>
    <row r="21" spans="2:6" x14ac:dyDescent="0.15">
      <c r="B21" s="402" t="s">
        <v>5</v>
      </c>
      <c r="C21" s="371"/>
      <c r="F21" s="53"/>
    </row>
    <row r="22" spans="2:6" x14ac:dyDescent="0.15">
      <c r="B22" s="402" t="s">
        <v>2336</v>
      </c>
      <c r="C22" s="371"/>
      <c r="F22" s="53"/>
    </row>
    <row r="23" spans="2:6" x14ac:dyDescent="0.15">
      <c r="B23" s="402" t="s">
        <v>2333</v>
      </c>
      <c r="C23" s="371"/>
      <c r="F23" s="53"/>
    </row>
    <row r="24" spans="2:6" ht="17.100000000000001" x14ac:dyDescent="0.15">
      <c r="B24" s="402"/>
      <c r="C24" s="371"/>
      <c r="F24" s="53"/>
    </row>
    <row r="25" spans="2:6" ht="17.649999999999999" thickBot="1" x14ac:dyDescent="0.45">
      <c r="B25" s="402"/>
      <c r="C25" s="372"/>
    </row>
  </sheetData>
  <mergeCells count="1">
    <mergeCell ref="B1:C1"/>
  </mergeCells>
  <phoneticPr fontId="3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93B27-7779-42CC-9007-FFC11F85F253}">
  <sheetPr codeName="Sheet10">
    <tabColor rgb="FFFF0000"/>
    <pageSetUpPr fitToPage="1"/>
  </sheetPr>
  <dimension ref="B1:K71"/>
  <sheetViews>
    <sheetView showGridLines="0" showZeros="0" zoomScale="115" zoomScaleNormal="115" workbookViewId="0">
      <selection activeCell="B8" sqref="B8:C8"/>
    </sheetView>
  </sheetViews>
  <sheetFormatPr defaultRowHeight="13.5" x14ac:dyDescent="0.15"/>
  <cols>
    <col min="1" max="1" width="1.25" style="1" customWidth="1"/>
    <col min="2" max="2" width="10.5" style="1" customWidth="1"/>
    <col min="3" max="3" width="8.125" style="1" customWidth="1"/>
    <col min="4" max="4" width="11.125" style="1" customWidth="1"/>
    <col min="5" max="5" width="29.25" style="1" customWidth="1"/>
    <col min="6" max="6" width="9.75" style="1" customWidth="1"/>
    <col min="7" max="7" width="7.25" style="1" customWidth="1"/>
    <col min="8" max="8" width="7.25" style="2" customWidth="1"/>
    <col min="9" max="9" width="7" style="2" bestFit="1" customWidth="1"/>
    <col min="10" max="10" width="10" style="1" customWidth="1"/>
    <col min="11" max="11" width="15.125" style="1" customWidth="1"/>
    <col min="12" max="12" width="9" style="1"/>
    <col min="13" max="14" width="10" style="1" bestFit="1" customWidth="1"/>
    <col min="15" max="256" width="9" style="1"/>
    <col min="257" max="257" width="1.25" style="1" customWidth="1"/>
    <col min="258" max="258" width="7.25" style="1" customWidth="1"/>
    <col min="259" max="259" width="11.5" style="1" customWidth="1"/>
    <col min="260" max="260" width="11.125" style="1" customWidth="1"/>
    <col min="261" max="261" width="29.25" style="1" customWidth="1"/>
    <col min="262" max="262" width="9.75" style="1" customWidth="1"/>
    <col min="263" max="264" width="7.25" style="1" customWidth="1"/>
    <col min="265" max="265" width="6.5" style="1" customWidth="1"/>
    <col min="266" max="266" width="10" style="1" customWidth="1"/>
    <col min="267" max="267" width="15.125" style="1" customWidth="1"/>
    <col min="268" max="512" width="9" style="1"/>
    <col min="513" max="513" width="1.25" style="1" customWidth="1"/>
    <col min="514" max="514" width="7.25" style="1" customWidth="1"/>
    <col min="515" max="515" width="11.5" style="1" customWidth="1"/>
    <col min="516" max="516" width="11.125" style="1" customWidth="1"/>
    <col min="517" max="517" width="29.25" style="1" customWidth="1"/>
    <col min="518" max="518" width="9.75" style="1" customWidth="1"/>
    <col min="519" max="520" width="7.25" style="1" customWidth="1"/>
    <col min="521" max="521" width="6.5" style="1" customWidth="1"/>
    <col min="522" max="522" width="10" style="1" customWidth="1"/>
    <col min="523" max="523" width="15.125" style="1" customWidth="1"/>
    <col min="524" max="768" width="9" style="1"/>
    <col min="769" max="769" width="1.25" style="1" customWidth="1"/>
    <col min="770" max="770" width="7.25" style="1" customWidth="1"/>
    <col min="771" max="771" width="11.5" style="1" customWidth="1"/>
    <col min="772" max="772" width="11.125" style="1" customWidth="1"/>
    <col min="773" max="773" width="29.25" style="1" customWidth="1"/>
    <col min="774" max="774" width="9.75" style="1" customWidth="1"/>
    <col min="775" max="776" width="7.25" style="1" customWidth="1"/>
    <col min="777" max="777" width="6.5" style="1" customWidth="1"/>
    <col min="778" max="778" width="10" style="1" customWidth="1"/>
    <col min="779" max="779" width="15.125" style="1" customWidth="1"/>
    <col min="780" max="1024" width="9" style="1"/>
    <col min="1025" max="1025" width="1.25" style="1" customWidth="1"/>
    <col min="1026" max="1026" width="7.25" style="1" customWidth="1"/>
    <col min="1027" max="1027" width="11.5" style="1" customWidth="1"/>
    <col min="1028" max="1028" width="11.125" style="1" customWidth="1"/>
    <col min="1029" max="1029" width="29.25" style="1" customWidth="1"/>
    <col min="1030" max="1030" width="9.75" style="1" customWidth="1"/>
    <col min="1031" max="1032" width="7.25" style="1" customWidth="1"/>
    <col min="1033" max="1033" width="6.5" style="1" customWidth="1"/>
    <col min="1034" max="1034" width="10" style="1" customWidth="1"/>
    <col min="1035" max="1035" width="15.125" style="1" customWidth="1"/>
    <col min="1036" max="1280" width="9" style="1"/>
    <col min="1281" max="1281" width="1.25" style="1" customWidth="1"/>
    <col min="1282" max="1282" width="7.25" style="1" customWidth="1"/>
    <col min="1283" max="1283" width="11.5" style="1" customWidth="1"/>
    <col min="1284" max="1284" width="11.125" style="1" customWidth="1"/>
    <col min="1285" max="1285" width="29.25" style="1" customWidth="1"/>
    <col min="1286" max="1286" width="9.75" style="1" customWidth="1"/>
    <col min="1287" max="1288" width="7.25" style="1" customWidth="1"/>
    <col min="1289" max="1289" width="6.5" style="1" customWidth="1"/>
    <col min="1290" max="1290" width="10" style="1" customWidth="1"/>
    <col min="1291" max="1291" width="15.125" style="1" customWidth="1"/>
    <col min="1292" max="1536" width="9" style="1"/>
    <col min="1537" max="1537" width="1.25" style="1" customWidth="1"/>
    <col min="1538" max="1538" width="7.25" style="1" customWidth="1"/>
    <col min="1539" max="1539" width="11.5" style="1" customWidth="1"/>
    <col min="1540" max="1540" width="11.125" style="1" customWidth="1"/>
    <col min="1541" max="1541" width="29.25" style="1" customWidth="1"/>
    <col min="1542" max="1542" width="9.75" style="1" customWidth="1"/>
    <col min="1543" max="1544" width="7.25" style="1" customWidth="1"/>
    <col min="1545" max="1545" width="6.5" style="1" customWidth="1"/>
    <col min="1546" max="1546" width="10" style="1" customWidth="1"/>
    <col min="1547" max="1547" width="15.125" style="1" customWidth="1"/>
    <col min="1548" max="1792" width="9" style="1"/>
    <col min="1793" max="1793" width="1.25" style="1" customWidth="1"/>
    <col min="1794" max="1794" width="7.25" style="1" customWidth="1"/>
    <col min="1795" max="1795" width="11.5" style="1" customWidth="1"/>
    <col min="1796" max="1796" width="11.125" style="1" customWidth="1"/>
    <col min="1797" max="1797" width="29.25" style="1" customWidth="1"/>
    <col min="1798" max="1798" width="9.75" style="1" customWidth="1"/>
    <col min="1799" max="1800" width="7.25" style="1" customWidth="1"/>
    <col min="1801" max="1801" width="6.5" style="1" customWidth="1"/>
    <col min="1802" max="1802" width="10" style="1" customWidth="1"/>
    <col min="1803" max="1803" width="15.125" style="1" customWidth="1"/>
    <col min="1804" max="2048" width="9" style="1"/>
    <col min="2049" max="2049" width="1.25" style="1" customWidth="1"/>
    <col min="2050" max="2050" width="7.25" style="1" customWidth="1"/>
    <col min="2051" max="2051" width="11.5" style="1" customWidth="1"/>
    <col min="2052" max="2052" width="11.125" style="1" customWidth="1"/>
    <col min="2053" max="2053" width="29.25" style="1" customWidth="1"/>
    <col min="2054" max="2054" width="9.75" style="1" customWidth="1"/>
    <col min="2055" max="2056" width="7.25" style="1" customWidth="1"/>
    <col min="2057" max="2057" width="6.5" style="1" customWidth="1"/>
    <col min="2058" max="2058" width="10" style="1" customWidth="1"/>
    <col min="2059" max="2059" width="15.125" style="1" customWidth="1"/>
    <col min="2060" max="2304" width="9" style="1"/>
    <col min="2305" max="2305" width="1.25" style="1" customWidth="1"/>
    <col min="2306" max="2306" width="7.25" style="1" customWidth="1"/>
    <col min="2307" max="2307" width="11.5" style="1" customWidth="1"/>
    <col min="2308" max="2308" width="11.125" style="1" customWidth="1"/>
    <col min="2309" max="2309" width="29.25" style="1" customWidth="1"/>
    <col min="2310" max="2310" width="9.75" style="1" customWidth="1"/>
    <col min="2311" max="2312" width="7.25" style="1" customWidth="1"/>
    <col min="2313" max="2313" width="6.5" style="1" customWidth="1"/>
    <col min="2314" max="2314" width="10" style="1" customWidth="1"/>
    <col min="2315" max="2315" width="15.125" style="1" customWidth="1"/>
    <col min="2316" max="2560" width="9" style="1"/>
    <col min="2561" max="2561" width="1.25" style="1" customWidth="1"/>
    <col min="2562" max="2562" width="7.25" style="1" customWidth="1"/>
    <col min="2563" max="2563" width="11.5" style="1" customWidth="1"/>
    <col min="2564" max="2564" width="11.125" style="1" customWidth="1"/>
    <col min="2565" max="2565" width="29.25" style="1" customWidth="1"/>
    <col min="2566" max="2566" width="9.75" style="1" customWidth="1"/>
    <col min="2567" max="2568" width="7.25" style="1" customWidth="1"/>
    <col min="2569" max="2569" width="6.5" style="1" customWidth="1"/>
    <col min="2570" max="2570" width="10" style="1" customWidth="1"/>
    <col min="2571" max="2571" width="15.125" style="1" customWidth="1"/>
    <col min="2572" max="2816" width="9" style="1"/>
    <col min="2817" max="2817" width="1.25" style="1" customWidth="1"/>
    <col min="2818" max="2818" width="7.25" style="1" customWidth="1"/>
    <col min="2819" max="2819" width="11.5" style="1" customWidth="1"/>
    <col min="2820" max="2820" width="11.125" style="1" customWidth="1"/>
    <col min="2821" max="2821" width="29.25" style="1" customWidth="1"/>
    <col min="2822" max="2822" width="9.75" style="1" customWidth="1"/>
    <col min="2823" max="2824" width="7.25" style="1" customWidth="1"/>
    <col min="2825" max="2825" width="6.5" style="1" customWidth="1"/>
    <col min="2826" max="2826" width="10" style="1" customWidth="1"/>
    <col min="2827" max="2827" width="15.125" style="1" customWidth="1"/>
    <col min="2828" max="3072" width="9" style="1"/>
    <col min="3073" max="3073" width="1.25" style="1" customWidth="1"/>
    <col min="3074" max="3074" width="7.25" style="1" customWidth="1"/>
    <col min="3075" max="3075" width="11.5" style="1" customWidth="1"/>
    <col min="3076" max="3076" width="11.125" style="1" customWidth="1"/>
    <col min="3077" max="3077" width="29.25" style="1" customWidth="1"/>
    <col min="3078" max="3078" width="9.75" style="1" customWidth="1"/>
    <col min="3079" max="3080" width="7.25" style="1" customWidth="1"/>
    <col min="3081" max="3081" width="6.5" style="1" customWidth="1"/>
    <col min="3082" max="3082" width="10" style="1" customWidth="1"/>
    <col min="3083" max="3083" width="15.125" style="1" customWidth="1"/>
    <col min="3084" max="3328" width="9" style="1"/>
    <col min="3329" max="3329" width="1.25" style="1" customWidth="1"/>
    <col min="3330" max="3330" width="7.25" style="1" customWidth="1"/>
    <col min="3331" max="3331" width="11.5" style="1" customWidth="1"/>
    <col min="3332" max="3332" width="11.125" style="1" customWidth="1"/>
    <col min="3333" max="3333" width="29.25" style="1" customWidth="1"/>
    <col min="3334" max="3334" width="9.75" style="1" customWidth="1"/>
    <col min="3335" max="3336" width="7.25" style="1" customWidth="1"/>
    <col min="3337" max="3337" width="6.5" style="1" customWidth="1"/>
    <col min="3338" max="3338" width="10" style="1" customWidth="1"/>
    <col min="3339" max="3339" width="15.125" style="1" customWidth="1"/>
    <col min="3340" max="3584" width="9" style="1"/>
    <col min="3585" max="3585" width="1.25" style="1" customWidth="1"/>
    <col min="3586" max="3586" width="7.25" style="1" customWidth="1"/>
    <col min="3587" max="3587" width="11.5" style="1" customWidth="1"/>
    <col min="3588" max="3588" width="11.125" style="1" customWidth="1"/>
    <col min="3589" max="3589" width="29.25" style="1" customWidth="1"/>
    <col min="3590" max="3590" width="9.75" style="1" customWidth="1"/>
    <col min="3591" max="3592" width="7.25" style="1" customWidth="1"/>
    <col min="3593" max="3593" width="6.5" style="1" customWidth="1"/>
    <col min="3594" max="3594" width="10" style="1" customWidth="1"/>
    <col min="3595" max="3595" width="15.125" style="1" customWidth="1"/>
    <col min="3596" max="3840" width="9" style="1"/>
    <col min="3841" max="3841" width="1.25" style="1" customWidth="1"/>
    <col min="3842" max="3842" width="7.25" style="1" customWidth="1"/>
    <col min="3843" max="3843" width="11.5" style="1" customWidth="1"/>
    <col min="3844" max="3844" width="11.125" style="1" customWidth="1"/>
    <col min="3845" max="3845" width="29.25" style="1" customWidth="1"/>
    <col min="3846" max="3846" width="9.75" style="1" customWidth="1"/>
    <col min="3847" max="3848" width="7.25" style="1" customWidth="1"/>
    <col min="3849" max="3849" width="6.5" style="1" customWidth="1"/>
    <col min="3850" max="3850" width="10" style="1" customWidth="1"/>
    <col min="3851" max="3851" width="15.125" style="1" customWidth="1"/>
    <col min="3852" max="4096" width="9" style="1"/>
    <col min="4097" max="4097" width="1.25" style="1" customWidth="1"/>
    <col min="4098" max="4098" width="7.25" style="1" customWidth="1"/>
    <col min="4099" max="4099" width="11.5" style="1" customWidth="1"/>
    <col min="4100" max="4100" width="11.125" style="1" customWidth="1"/>
    <col min="4101" max="4101" width="29.25" style="1" customWidth="1"/>
    <col min="4102" max="4102" width="9.75" style="1" customWidth="1"/>
    <col min="4103" max="4104" width="7.25" style="1" customWidth="1"/>
    <col min="4105" max="4105" width="6.5" style="1" customWidth="1"/>
    <col min="4106" max="4106" width="10" style="1" customWidth="1"/>
    <col min="4107" max="4107" width="15.125" style="1" customWidth="1"/>
    <col min="4108" max="4352" width="9" style="1"/>
    <col min="4353" max="4353" width="1.25" style="1" customWidth="1"/>
    <col min="4354" max="4354" width="7.25" style="1" customWidth="1"/>
    <col min="4355" max="4355" width="11.5" style="1" customWidth="1"/>
    <col min="4356" max="4356" width="11.125" style="1" customWidth="1"/>
    <col min="4357" max="4357" width="29.25" style="1" customWidth="1"/>
    <col min="4358" max="4358" width="9.75" style="1" customWidth="1"/>
    <col min="4359" max="4360" width="7.25" style="1" customWidth="1"/>
    <col min="4361" max="4361" width="6.5" style="1" customWidth="1"/>
    <col min="4362" max="4362" width="10" style="1" customWidth="1"/>
    <col min="4363" max="4363" width="15.125" style="1" customWidth="1"/>
    <col min="4364" max="4608" width="9" style="1"/>
    <col min="4609" max="4609" width="1.25" style="1" customWidth="1"/>
    <col min="4610" max="4610" width="7.25" style="1" customWidth="1"/>
    <col min="4611" max="4611" width="11.5" style="1" customWidth="1"/>
    <col min="4612" max="4612" width="11.125" style="1" customWidth="1"/>
    <col min="4613" max="4613" width="29.25" style="1" customWidth="1"/>
    <col min="4614" max="4614" width="9.75" style="1" customWidth="1"/>
    <col min="4615" max="4616" width="7.25" style="1" customWidth="1"/>
    <col min="4617" max="4617" width="6.5" style="1" customWidth="1"/>
    <col min="4618" max="4618" width="10" style="1" customWidth="1"/>
    <col min="4619" max="4619" width="15.125" style="1" customWidth="1"/>
    <col min="4620" max="4864" width="9" style="1"/>
    <col min="4865" max="4865" width="1.25" style="1" customWidth="1"/>
    <col min="4866" max="4866" width="7.25" style="1" customWidth="1"/>
    <col min="4867" max="4867" width="11.5" style="1" customWidth="1"/>
    <col min="4868" max="4868" width="11.125" style="1" customWidth="1"/>
    <col min="4869" max="4869" width="29.25" style="1" customWidth="1"/>
    <col min="4870" max="4870" width="9.75" style="1" customWidth="1"/>
    <col min="4871" max="4872" width="7.25" style="1" customWidth="1"/>
    <col min="4873" max="4873" width="6.5" style="1" customWidth="1"/>
    <col min="4874" max="4874" width="10" style="1" customWidth="1"/>
    <col min="4875" max="4875" width="15.125" style="1" customWidth="1"/>
    <col min="4876" max="5120" width="9" style="1"/>
    <col min="5121" max="5121" width="1.25" style="1" customWidth="1"/>
    <col min="5122" max="5122" width="7.25" style="1" customWidth="1"/>
    <col min="5123" max="5123" width="11.5" style="1" customWidth="1"/>
    <col min="5124" max="5124" width="11.125" style="1" customWidth="1"/>
    <col min="5125" max="5125" width="29.25" style="1" customWidth="1"/>
    <col min="5126" max="5126" width="9.75" style="1" customWidth="1"/>
    <col min="5127" max="5128" width="7.25" style="1" customWidth="1"/>
    <col min="5129" max="5129" width="6.5" style="1" customWidth="1"/>
    <col min="5130" max="5130" width="10" style="1" customWidth="1"/>
    <col min="5131" max="5131" width="15.125" style="1" customWidth="1"/>
    <col min="5132" max="5376" width="9" style="1"/>
    <col min="5377" max="5377" width="1.25" style="1" customWidth="1"/>
    <col min="5378" max="5378" width="7.25" style="1" customWidth="1"/>
    <col min="5379" max="5379" width="11.5" style="1" customWidth="1"/>
    <col min="5380" max="5380" width="11.125" style="1" customWidth="1"/>
    <col min="5381" max="5381" width="29.25" style="1" customWidth="1"/>
    <col min="5382" max="5382" width="9.75" style="1" customWidth="1"/>
    <col min="5383" max="5384" width="7.25" style="1" customWidth="1"/>
    <col min="5385" max="5385" width="6.5" style="1" customWidth="1"/>
    <col min="5386" max="5386" width="10" style="1" customWidth="1"/>
    <col min="5387" max="5387" width="15.125" style="1" customWidth="1"/>
    <col min="5388" max="5632" width="9" style="1"/>
    <col min="5633" max="5633" width="1.25" style="1" customWidth="1"/>
    <col min="5634" max="5634" width="7.25" style="1" customWidth="1"/>
    <col min="5635" max="5635" width="11.5" style="1" customWidth="1"/>
    <col min="5636" max="5636" width="11.125" style="1" customWidth="1"/>
    <col min="5637" max="5637" width="29.25" style="1" customWidth="1"/>
    <col min="5638" max="5638" width="9.75" style="1" customWidth="1"/>
    <col min="5639" max="5640" width="7.25" style="1" customWidth="1"/>
    <col min="5641" max="5641" width="6.5" style="1" customWidth="1"/>
    <col min="5642" max="5642" width="10" style="1" customWidth="1"/>
    <col min="5643" max="5643" width="15.125" style="1" customWidth="1"/>
    <col min="5644" max="5888" width="9" style="1"/>
    <col min="5889" max="5889" width="1.25" style="1" customWidth="1"/>
    <col min="5890" max="5890" width="7.25" style="1" customWidth="1"/>
    <col min="5891" max="5891" width="11.5" style="1" customWidth="1"/>
    <col min="5892" max="5892" width="11.125" style="1" customWidth="1"/>
    <col min="5893" max="5893" width="29.25" style="1" customWidth="1"/>
    <col min="5894" max="5894" width="9.75" style="1" customWidth="1"/>
    <col min="5895" max="5896" width="7.25" style="1" customWidth="1"/>
    <col min="5897" max="5897" width="6.5" style="1" customWidth="1"/>
    <col min="5898" max="5898" width="10" style="1" customWidth="1"/>
    <col min="5899" max="5899" width="15.125" style="1" customWidth="1"/>
    <col min="5900" max="6144" width="9" style="1"/>
    <col min="6145" max="6145" width="1.25" style="1" customWidth="1"/>
    <col min="6146" max="6146" width="7.25" style="1" customWidth="1"/>
    <col min="6147" max="6147" width="11.5" style="1" customWidth="1"/>
    <col min="6148" max="6148" width="11.125" style="1" customWidth="1"/>
    <col min="6149" max="6149" width="29.25" style="1" customWidth="1"/>
    <col min="6150" max="6150" width="9.75" style="1" customWidth="1"/>
    <col min="6151" max="6152" width="7.25" style="1" customWidth="1"/>
    <col min="6153" max="6153" width="6.5" style="1" customWidth="1"/>
    <col min="6154" max="6154" width="10" style="1" customWidth="1"/>
    <col min="6155" max="6155" width="15.125" style="1" customWidth="1"/>
    <col min="6156" max="6400" width="9" style="1"/>
    <col min="6401" max="6401" width="1.25" style="1" customWidth="1"/>
    <col min="6402" max="6402" width="7.25" style="1" customWidth="1"/>
    <col min="6403" max="6403" width="11.5" style="1" customWidth="1"/>
    <col min="6404" max="6404" width="11.125" style="1" customWidth="1"/>
    <col min="6405" max="6405" width="29.25" style="1" customWidth="1"/>
    <col min="6406" max="6406" width="9.75" style="1" customWidth="1"/>
    <col min="6407" max="6408" width="7.25" style="1" customWidth="1"/>
    <col min="6409" max="6409" width="6.5" style="1" customWidth="1"/>
    <col min="6410" max="6410" width="10" style="1" customWidth="1"/>
    <col min="6411" max="6411" width="15.125" style="1" customWidth="1"/>
    <col min="6412" max="6656" width="9" style="1"/>
    <col min="6657" max="6657" width="1.25" style="1" customWidth="1"/>
    <col min="6658" max="6658" width="7.25" style="1" customWidth="1"/>
    <col min="6659" max="6659" width="11.5" style="1" customWidth="1"/>
    <col min="6660" max="6660" width="11.125" style="1" customWidth="1"/>
    <col min="6661" max="6661" width="29.25" style="1" customWidth="1"/>
    <col min="6662" max="6662" width="9.75" style="1" customWidth="1"/>
    <col min="6663" max="6664" width="7.25" style="1" customWidth="1"/>
    <col min="6665" max="6665" width="6.5" style="1" customWidth="1"/>
    <col min="6666" max="6666" width="10" style="1" customWidth="1"/>
    <col min="6667" max="6667" width="15.125" style="1" customWidth="1"/>
    <col min="6668" max="6912" width="9" style="1"/>
    <col min="6913" max="6913" width="1.25" style="1" customWidth="1"/>
    <col min="6914" max="6914" width="7.25" style="1" customWidth="1"/>
    <col min="6915" max="6915" width="11.5" style="1" customWidth="1"/>
    <col min="6916" max="6916" width="11.125" style="1" customWidth="1"/>
    <col min="6917" max="6917" width="29.25" style="1" customWidth="1"/>
    <col min="6918" max="6918" width="9.75" style="1" customWidth="1"/>
    <col min="6919" max="6920" width="7.25" style="1" customWidth="1"/>
    <col min="6921" max="6921" width="6.5" style="1" customWidth="1"/>
    <col min="6922" max="6922" width="10" style="1" customWidth="1"/>
    <col min="6923" max="6923" width="15.125" style="1" customWidth="1"/>
    <col min="6924" max="7168" width="9" style="1"/>
    <col min="7169" max="7169" width="1.25" style="1" customWidth="1"/>
    <col min="7170" max="7170" width="7.25" style="1" customWidth="1"/>
    <col min="7171" max="7171" width="11.5" style="1" customWidth="1"/>
    <col min="7172" max="7172" width="11.125" style="1" customWidth="1"/>
    <col min="7173" max="7173" width="29.25" style="1" customWidth="1"/>
    <col min="7174" max="7174" width="9.75" style="1" customWidth="1"/>
    <col min="7175" max="7176" width="7.25" style="1" customWidth="1"/>
    <col min="7177" max="7177" width="6.5" style="1" customWidth="1"/>
    <col min="7178" max="7178" width="10" style="1" customWidth="1"/>
    <col min="7179" max="7179" width="15.125" style="1" customWidth="1"/>
    <col min="7180" max="7424" width="9" style="1"/>
    <col min="7425" max="7425" width="1.25" style="1" customWidth="1"/>
    <col min="7426" max="7426" width="7.25" style="1" customWidth="1"/>
    <col min="7427" max="7427" width="11.5" style="1" customWidth="1"/>
    <col min="7428" max="7428" width="11.125" style="1" customWidth="1"/>
    <col min="7429" max="7429" width="29.25" style="1" customWidth="1"/>
    <col min="7430" max="7430" width="9.75" style="1" customWidth="1"/>
    <col min="7431" max="7432" width="7.25" style="1" customWidth="1"/>
    <col min="7433" max="7433" width="6.5" style="1" customWidth="1"/>
    <col min="7434" max="7434" width="10" style="1" customWidth="1"/>
    <col min="7435" max="7435" width="15.125" style="1" customWidth="1"/>
    <col min="7436" max="7680" width="9" style="1"/>
    <col min="7681" max="7681" width="1.25" style="1" customWidth="1"/>
    <col min="7682" max="7682" width="7.25" style="1" customWidth="1"/>
    <col min="7683" max="7683" width="11.5" style="1" customWidth="1"/>
    <col min="7684" max="7684" width="11.125" style="1" customWidth="1"/>
    <col min="7685" max="7685" width="29.25" style="1" customWidth="1"/>
    <col min="7686" max="7686" width="9.75" style="1" customWidth="1"/>
    <col min="7687" max="7688" width="7.25" style="1" customWidth="1"/>
    <col min="7689" max="7689" width="6.5" style="1" customWidth="1"/>
    <col min="7690" max="7690" width="10" style="1" customWidth="1"/>
    <col min="7691" max="7691" width="15.125" style="1" customWidth="1"/>
    <col min="7692" max="7936" width="9" style="1"/>
    <col min="7937" max="7937" width="1.25" style="1" customWidth="1"/>
    <col min="7938" max="7938" width="7.25" style="1" customWidth="1"/>
    <col min="7939" max="7939" width="11.5" style="1" customWidth="1"/>
    <col min="7940" max="7940" width="11.125" style="1" customWidth="1"/>
    <col min="7941" max="7941" width="29.25" style="1" customWidth="1"/>
    <col min="7942" max="7942" width="9.75" style="1" customWidth="1"/>
    <col min="7943" max="7944" width="7.25" style="1" customWidth="1"/>
    <col min="7945" max="7945" width="6.5" style="1" customWidth="1"/>
    <col min="7946" max="7946" width="10" style="1" customWidth="1"/>
    <col min="7947" max="7947" width="15.125" style="1" customWidth="1"/>
    <col min="7948" max="8192" width="9" style="1"/>
    <col min="8193" max="8193" width="1.25" style="1" customWidth="1"/>
    <col min="8194" max="8194" width="7.25" style="1" customWidth="1"/>
    <col min="8195" max="8195" width="11.5" style="1" customWidth="1"/>
    <col min="8196" max="8196" width="11.125" style="1" customWidth="1"/>
    <col min="8197" max="8197" width="29.25" style="1" customWidth="1"/>
    <col min="8198" max="8198" width="9.75" style="1" customWidth="1"/>
    <col min="8199" max="8200" width="7.25" style="1" customWidth="1"/>
    <col min="8201" max="8201" width="6.5" style="1" customWidth="1"/>
    <col min="8202" max="8202" width="10" style="1" customWidth="1"/>
    <col min="8203" max="8203" width="15.125" style="1" customWidth="1"/>
    <col min="8204" max="8448" width="9" style="1"/>
    <col min="8449" max="8449" width="1.25" style="1" customWidth="1"/>
    <col min="8450" max="8450" width="7.25" style="1" customWidth="1"/>
    <col min="8451" max="8451" width="11.5" style="1" customWidth="1"/>
    <col min="8452" max="8452" width="11.125" style="1" customWidth="1"/>
    <col min="8453" max="8453" width="29.25" style="1" customWidth="1"/>
    <col min="8454" max="8454" width="9.75" style="1" customWidth="1"/>
    <col min="8455" max="8456" width="7.25" style="1" customWidth="1"/>
    <col min="8457" max="8457" width="6.5" style="1" customWidth="1"/>
    <col min="8458" max="8458" width="10" style="1" customWidth="1"/>
    <col min="8459" max="8459" width="15.125" style="1" customWidth="1"/>
    <col min="8460" max="8704" width="9" style="1"/>
    <col min="8705" max="8705" width="1.25" style="1" customWidth="1"/>
    <col min="8706" max="8706" width="7.25" style="1" customWidth="1"/>
    <col min="8707" max="8707" width="11.5" style="1" customWidth="1"/>
    <col min="8708" max="8708" width="11.125" style="1" customWidth="1"/>
    <col min="8709" max="8709" width="29.25" style="1" customWidth="1"/>
    <col min="8710" max="8710" width="9.75" style="1" customWidth="1"/>
    <col min="8711" max="8712" width="7.25" style="1" customWidth="1"/>
    <col min="8713" max="8713" width="6.5" style="1" customWidth="1"/>
    <col min="8714" max="8714" width="10" style="1" customWidth="1"/>
    <col min="8715" max="8715" width="15.125" style="1" customWidth="1"/>
    <col min="8716" max="8960" width="9" style="1"/>
    <col min="8961" max="8961" width="1.25" style="1" customWidth="1"/>
    <col min="8962" max="8962" width="7.25" style="1" customWidth="1"/>
    <col min="8963" max="8963" width="11.5" style="1" customWidth="1"/>
    <col min="8964" max="8964" width="11.125" style="1" customWidth="1"/>
    <col min="8965" max="8965" width="29.25" style="1" customWidth="1"/>
    <col min="8966" max="8966" width="9.75" style="1" customWidth="1"/>
    <col min="8967" max="8968" width="7.25" style="1" customWidth="1"/>
    <col min="8969" max="8969" width="6.5" style="1" customWidth="1"/>
    <col min="8970" max="8970" width="10" style="1" customWidth="1"/>
    <col min="8971" max="8971" width="15.125" style="1" customWidth="1"/>
    <col min="8972" max="9216" width="9" style="1"/>
    <col min="9217" max="9217" width="1.25" style="1" customWidth="1"/>
    <col min="9218" max="9218" width="7.25" style="1" customWidth="1"/>
    <col min="9219" max="9219" width="11.5" style="1" customWidth="1"/>
    <col min="9220" max="9220" width="11.125" style="1" customWidth="1"/>
    <col min="9221" max="9221" width="29.25" style="1" customWidth="1"/>
    <col min="9222" max="9222" width="9.75" style="1" customWidth="1"/>
    <col min="9223" max="9224" width="7.25" style="1" customWidth="1"/>
    <col min="9225" max="9225" width="6.5" style="1" customWidth="1"/>
    <col min="9226" max="9226" width="10" style="1" customWidth="1"/>
    <col min="9227" max="9227" width="15.125" style="1" customWidth="1"/>
    <col min="9228" max="9472" width="9" style="1"/>
    <col min="9473" max="9473" width="1.25" style="1" customWidth="1"/>
    <col min="9474" max="9474" width="7.25" style="1" customWidth="1"/>
    <col min="9475" max="9475" width="11.5" style="1" customWidth="1"/>
    <col min="9476" max="9476" width="11.125" style="1" customWidth="1"/>
    <col min="9477" max="9477" width="29.25" style="1" customWidth="1"/>
    <col min="9478" max="9478" width="9.75" style="1" customWidth="1"/>
    <col min="9479" max="9480" width="7.25" style="1" customWidth="1"/>
    <col min="9481" max="9481" width="6.5" style="1" customWidth="1"/>
    <col min="9482" max="9482" width="10" style="1" customWidth="1"/>
    <col min="9483" max="9483" width="15.125" style="1" customWidth="1"/>
    <col min="9484" max="9728" width="9" style="1"/>
    <col min="9729" max="9729" width="1.25" style="1" customWidth="1"/>
    <col min="9730" max="9730" width="7.25" style="1" customWidth="1"/>
    <col min="9731" max="9731" width="11.5" style="1" customWidth="1"/>
    <col min="9732" max="9732" width="11.125" style="1" customWidth="1"/>
    <col min="9733" max="9733" width="29.25" style="1" customWidth="1"/>
    <col min="9734" max="9734" width="9.75" style="1" customWidth="1"/>
    <col min="9735" max="9736" width="7.25" style="1" customWidth="1"/>
    <col min="9737" max="9737" width="6.5" style="1" customWidth="1"/>
    <col min="9738" max="9738" width="10" style="1" customWidth="1"/>
    <col min="9739" max="9739" width="15.125" style="1" customWidth="1"/>
    <col min="9740" max="9984" width="9" style="1"/>
    <col min="9985" max="9985" width="1.25" style="1" customWidth="1"/>
    <col min="9986" max="9986" width="7.25" style="1" customWidth="1"/>
    <col min="9987" max="9987" width="11.5" style="1" customWidth="1"/>
    <col min="9988" max="9988" width="11.125" style="1" customWidth="1"/>
    <col min="9989" max="9989" width="29.25" style="1" customWidth="1"/>
    <col min="9990" max="9990" width="9.75" style="1" customWidth="1"/>
    <col min="9991" max="9992" width="7.25" style="1" customWidth="1"/>
    <col min="9993" max="9993" width="6.5" style="1" customWidth="1"/>
    <col min="9994" max="9994" width="10" style="1" customWidth="1"/>
    <col min="9995" max="9995" width="15.125" style="1" customWidth="1"/>
    <col min="9996" max="10240" width="9" style="1"/>
    <col min="10241" max="10241" width="1.25" style="1" customWidth="1"/>
    <col min="10242" max="10242" width="7.25" style="1" customWidth="1"/>
    <col min="10243" max="10243" width="11.5" style="1" customWidth="1"/>
    <col min="10244" max="10244" width="11.125" style="1" customWidth="1"/>
    <col min="10245" max="10245" width="29.25" style="1" customWidth="1"/>
    <col min="10246" max="10246" width="9.75" style="1" customWidth="1"/>
    <col min="10247" max="10248" width="7.25" style="1" customWidth="1"/>
    <col min="10249" max="10249" width="6.5" style="1" customWidth="1"/>
    <col min="10250" max="10250" width="10" style="1" customWidth="1"/>
    <col min="10251" max="10251" width="15.125" style="1" customWidth="1"/>
    <col min="10252" max="10496" width="9" style="1"/>
    <col min="10497" max="10497" width="1.25" style="1" customWidth="1"/>
    <col min="10498" max="10498" width="7.25" style="1" customWidth="1"/>
    <col min="10499" max="10499" width="11.5" style="1" customWidth="1"/>
    <col min="10500" max="10500" width="11.125" style="1" customWidth="1"/>
    <col min="10501" max="10501" width="29.25" style="1" customWidth="1"/>
    <col min="10502" max="10502" width="9.75" style="1" customWidth="1"/>
    <col min="10503" max="10504" width="7.25" style="1" customWidth="1"/>
    <col min="10505" max="10505" width="6.5" style="1" customWidth="1"/>
    <col min="10506" max="10506" width="10" style="1" customWidth="1"/>
    <col min="10507" max="10507" width="15.125" style="1" customWidth="1"/>
    <col min="10508" max="10752" width="9" style="1"/>
    <col min="10753" max="10753" width="1.25" style="1" customWidth="1"/>
    <col min="10754" max="10754" width="7.25" style="1" customWidth="1"/>
    <col min="10755" max="10755" width="11.5" style="1" customWidth="1"/>
    <col min="10756" max="10756" width="11.125" style="1" customWidth="1"/>
    <col min="10757" max="10757" width="29.25" style="1" customWidth="1"/>
    <col min="10758" max="10758" width="9.75" style="1" customWidth="1"/>
    <col min="10759" max="10760" width="7.25" style="1" customWidth="1"/>
    <col min="10761" max="10761" width="6.5" style="1" customWidth="1"/>
    <col min="10762" max="10762" width="10" style="1" customWidth="1"/>
    <col min="10763" max="10763" width="15.125" style="1" customWidth="1"/>
    <col min="10764" max="11008" width="9" style="1"/>
    <col min="11009" max="11009" width="1.25" style="1" customWidth="1"/>
    <col min="11010" max="11010" width="7.25" style="1" customWidth="1"/>
    <col min="11011" max="11011" width="11.5" style="1" customWidth="1"/>
    <col min="11012" max="11012" width="11.125" style="1" customWidth="1"/>
    <col min="11013" max="11013" width="29.25" style="1" customWidth="1"/>
    <col min="11014" max="11014" width="9.75" style="1" customWidth="1"/>
    <col min="11015" max="11016" width="7.25" style="1" customWidth="1"/>
    <col min="11017" max="11017" width="6.5" style="1" customWidth="1"/>
    <col min="11018" max="11018" width="10" style="1" customWidth="1"/>
    <col min="11019" max="11019" width="15.125" style="1" customWidth="1"/>
    <col min="11020" max="11264" width="9" style="1"/>
    <col min="11265" max="11265" width="1.25" style="1" customWidth="1"/>
    <col min="11266" max="11266" width="7.25" style="1" customWidth="1"/>
    <col min="11267" max="11267" width="11.5" style="1" customWidth="1"/>
    <col min="11268" max="11268" width="11.125" style="1" customWidth="1"/>
    <col min="11269" max="11269" width="29.25" style="1" customWidth="1"/>
    <col min="11270" max="11270" width="9.75" style="1" customWidth="1"/>
    <col min="11271" max="11272" width="7.25" style="1" customWidth="1"/>
    <col min="11273" max="11273" width="6.5" style="1" customWidth="1"/>
    <col min="11274" max="11274" width="10" style="1" customWidth="1"/>
    <col min="11275" max="11275" width="15.125" style="1" customWidth="1"/>
    <col min="11276" max="11520" width="9" style="1"/>
    <col min="11521" max="11521" width="1.25" style="1" customWidth="1"/>
    <col min="11522" max="11522" width="7.25" style="1" customWidth="1"/>
    <col min="11523" max="11523" width="11.5" style="1" customWidth="1"/>
    <col min="11524" max="11524" width="11.125" style="1" customWidth="1"/>
    <col min="11525" max="11525" width="29.25" style="1" customWidth="1"/>
    <col min="11526" max="11526" width="9.75" style="1" customWidth="1"/>
    <col min="11527" max="11528" width="7.25" style="1" customWidth="1"/>
    <col min="11529" max="11529" width="6.5" style="1" customWidth="1"/>
    <col min="11530" max="11530" width="10" style="1" customWidth="1"/>
    <col min="11531" max="11531" width="15.125" style="1" customWidth="1"/>
    <col min="11532" max="11776" width="9" style="1"/>
    <col min="11777" max="11777" width="1.25" style="1" customWidth="1"/>
    <col min="11778" max="11778" width="7.25" style="1" customWidth="1"/>
    <col min="11779" max="11779" width="11.5" style="1" customWidth="1"/>
    <col min="11780" max="11780" width="11.125" style="1" customWidth="1"/>
    <col min="11781" max="11781" width="29.25" style="1" customWidth="1"/>
    <col min="11782" max="11782" width="9.75" style="1" customWidth="1"/>
    <col min="11783" max="11784" width="7.25" style="1" customWidth="1"/>
    <col min="11785" max="11785" width="6.5" style="1" customWidth="1"/>
    <col min="11786" max="11786" width="10" style="1" customWidth="1"/>
    <col min="11787" max="11787" width="15.125" style="1" customWidth="1"/>
    <col min="11788" max="12032" width="9" style="1"/>
    <col min="12033" max="12033" width="1.25" style="1" customWidth="1"/>
    <col min="12034" max="12034" width="7.25" style="1" customWidth="1"/>
    <col min="12035" max="12035" width="11.5" style="1" customWidth="1"/>
    <col min="12036" max="12036" width="11.125" style="1" customWidth="1"/>
    <col min="12037" max="12037" width="29.25" style="1" customWidth="1"/>
    <col min="12038" max="12038" width="9.75" style="1" customWidth="1"/>
    <col min="12039" max="12040" width="7.25" style="1" customWidth="1"/>
    <col min="12041" max="12041" width="6.5" style="1" customWidth="1"/>
    <col min="12042" max="12042" width="10" style="1" customWidth="1"/>
    <col min="12043" max="12043" width="15.125" style="1" customWidth="1"/>
    <col min="12044" max="12288" width="9" style="1"/>
    <col min="12289" max="12289" width="1.25" style="1" customWidth="1"/>
    <col min="12290" max="12290" width="7.25" style="1" customWidth="1"/>
    <col min="12291" max="12291" width="11.5" style="1" customWidth="1"/>
    <col min="12292" max="12292" width="11.125" style="1" customWidth="1"/>
    <col min="12293" max="12293" width="29.25" style="1" customWidth="1"/>
    <col min="12294" max="12294" width="9.75" style="1" customWidth="1"/>
    <col min="12295" max="12296" width="7.25" style="1" customWidth="1"/>
    <col min="12297" max="12297" width="6.5" style="1" customWidth="1"/>
    <col min="12298" max="12298" width="10" style="1" customWidth="1"/>
    <col min="12299" max="12299" width="15.125" style="1" customWidth="1"/>
    <col min="12300" max="12544" width="9" style="1"/>
    <col min="12545" max="12545" width="1.25" style="1" customWidth="1"/>
    <col min="12546" max="12546" width="7.25" style="1" customWidth="1"/>
    <col min="12547" max="12547" width="11.5" style="1" customWidth="1"/>
    <col min="12548" max="12548" width="11.125" style="1" customWidth="1"/>
    <col min="12549" max="12549" width="29.25" style="1" customWidth="1"/>
    <col min="12550" max="12550" width="9.75" style="1" customWidth="1"/>
    <col min="12551" max="12552" width="7.25" style="1" customWidth="1"/>
    <col min="12553" max="12553" width="6.5" style="1" customWidth="1"/>
    <col min="12554" max="12554" width="10" style="1" customWidth="1"/>
    <col min="12555" max="12555" width="15.125" style="1" customWidth="1"/>
    <col min="12556" max="12800" width="9" style="1"/>
    <col min="12801" max="12801" width="1.25" style="1" customWidth="1"/>
    <col min="12802" max="12802" width="7.25" style="1" customWidth="1"/>
    <col min="12803" max="12803" width="11.5" style="1" customWidth="1"/>
    <col min="12804" max="12804" width="11.125" style="1" customWidth="1"/>
    <col min="12805" max="12805" width="29.25" style="1" customWidth="1"/>
    <col min="12806" max="12806" width="9.75" style="1" customWidth="1"/>
    <col min="12807" max="12808" width="7.25" style="1" customWidth="1"/>
    <col min="12809" max="12809" width="6.5" style="1" customWidth="1"/>
    <col min="12810" max="12810" width="10" style="1" customWidth="1"/>
    <col min="12811" max="12811" width="15.125" style="1" customWidth="1"/>
    <col min="12812" max="13056" width="9" style="1"/>
    <col min="13057" max="13057" width="1.25" style="1" customWidth="1"/>
    <col min="13058" max="13058" width="7.25" style="1" customWidth="1"/>
    <col min="13059" max="13059" width="11.5" style="1" customWidth="1"/>
    <col min="13060" max="13060" width="11.125" style="1" customWidth="1"/>
    <col min="13061" max="13061" width="29.25" style="1" customWidth="1"/>
    <col min="13062" max="13062" width="9.75" style="1" customWidth="1"/>
    <col min="13063" max="13064" width="7.25" style="1" customWidth="1"/>
    <col min="13065" max="13065" width="6.5" style="1" customWidth="1"/>
    <col min="13066" max="13066" width="10" style="1" customWidth="1"/>
    <col min="13067" max="13067" width="15.125" style="1" customWidth="1"/>
    <col min="13068" max="13312" width="9" style="1"/>
    <col min="13313" max="13313" width="1.25" style="1" customWidth="1"/>
    <col min="13314" max="13314" width="7.25" style="1" customWidth="1"/>
    <col min="13315" max="13315" width="11.5" style="1" customWidth="1"/>
    <col min="13316" max="13316" width="11.125" style="1" customWidth="1"/>
    <col min="13317" max="13317" width="29.25" style="1" customWidth="1"/>
    <col min="13318" max="13318" width="9.75" style="1" customWidth="1"/>
    <col min="13319" max="13320" width="7.25" style="1" customWidth="1"/>
    <col min="13321" max="13321" width="6.5" style="1" customWidth="1"/>
    <col min="13322" max="13322" width="10" style="1" customWidth="1"/>
    <col min="13323" max="13323" width="15.125" style="1" customWidth="1"/>
    <col min="13324" max="13568" width="9" style="1"/>
    <col min="13569" max="13569" width="1.25" style="1" customWidth="1"/>
    <col min="13570" max="13570" width="7.25" style="1" customWidth="1"/>
    <col min="13571" max="13571" width="11.5" style="1" customWidth="1"/>
    <col min="13572" max="13572" width="11.125" style="1" customWidth="1"/>
    <col min="13573" max="13573" width="29.25" style="1" customWidth="1"/>
    <col min="13574" max="13574" width="9.75" style="1" customWidth="1"/>
    <col min="13575" max="13576" width="7.25" style="1" customWidth="1"/>
    <col min="13577" max="13577" width="6.5" style="1" customWidth="1"/>
    <col min="13578" max="13578" width="10" style="1" customWidth="1"/>
    <col min="13579" max="13579" width="15.125" style="1" customWidth="1"/>
    <col min="13580" max="13824" width="9" style="1"/>
    <col min="13825" max="13825" width="1.25" style="1" customWidth="1"/>
    <col min="13826" max="13826" width="7.25" style="1" customWidth="1"/>
    <col min="13827" max="13827" width="11.5" style="1" customWidth="1"/>
    <col min="13828" max="13828" width="11.125" style="1" customWidth="1"/>
    <col min="13829" max="13829" width="29.25" style="1" customWidth="1"/>
    <col min="13830" max="13830" width="9.75" style="1" customWidth="1"/>
    <col min="13831" max="13832" width="7.25" style="1" customWidth="1"/>
    <col min="13833" max="13833" width="6.5" style="1" customWidth="1"/>
    <col min="13834" max="13834" width="10" style="1" customWidth="1"/>
    <col min="13835" max="13835" width="15.125" style="1" customWidth="1"/>
    <col min="13836" max="14080" width="9" style="1"/>
    <col min="14081" max="14081" width="1.25" style="1" customWidth="1"/>
    <col min="14082" max="14082" width="7.25" style="1" customWidth="1"/>
    <col min="14083" max="14083" width="11.5" style="1" customWidth="1"/>
    <col min="14084" max="14084" width="11.125" style="1" customWidth="1"/>
    <col min="14085" max="14085" width="29.25" style="1" customWidth="1"/>
    <col min="14086" max="14086" width="9.75" style="1" customWidth="1"/>
    <col min="14087" max="14088" width="7.25" style="1" customWidth="1"/>
    <col min="14089" max="14089" width="6.5" style="1" customWidth="1"/>
    <col min="14090" max="14090" width="10" style="1" customWidth="1"/>
    <col min="14091" max="14091" width="15.125" style="1" customWidth="1"/>
    <col min="14092" max="14336" width="9" style="1"/>
    <col min="14337" max="14337" width="1.25" style="1" customWidth="1"/>
    <col min="14338" max="14338" width="7.25" style="1" customWidth="1"/>
    <col min="14339" max="14339" width="11.5" style="1" customWidth="1"/>
    <col min="14340" max="14340" width="11.125" style="1" customWidth="1"/>
    <col min="14341" max="14341" width="29.25" style="1" customWidth="1"/>
    <col min="14342" max="14342" width="9.75" style="1" customWidth="1"/>
    <col min="14343" max="14344" width="7.25" style="1" customWidth="1"/>
    <col min="14345" max="14345" width="6.5" style="1" customWidth="1"/>
    <col min="14346" max="14346" width="10" style="1" customWidth="1"/>
    <col min="14347" max="14347" width="15.125" style="1" customWidth="1"/>
    <col min="14348" max="14592" width="9" style="1"/>
    <col min="14593" max="14593" width="1.25" style="1" customWidth="1"/>
    <col min="14594" max="14594" width="7.25" style="1" customWidth="1"/>
    <col min="14595" max="14595" width="11.5" style="1" customWidth="1"/>
    <col min="14596" max="14596" width="11.125" style="1" customWidth="1"/>
    <col min="14597" max="14597" width="29.25" style="1" customWidth="1"/>
    <col min="14598" max="14598" width="9.75" style="1" customWidth="1"/>
    <col min="14599" max="14600" width="7.25" style="1" customWidth="1"/>
    <col min="14601" max="14601" width="6.5" style="1" customWidth="1"/>
    <col min="14602" max="14602" width="10" style="1" customWidth="1"/>
    <col min="14603" max="14603" width="15.125" style="1" customWidth="1"/>
    <col min="14604" max="14848" width="9" style="1"/>
    <col min="14849" max="14849" width="1.25" style="1" customWidth="1"/>
    <col min="14850" max="14850" width="7.25" style="1" customWidth="1"/>
    <col min="14851" max="14851" width="11.5" style="1" customWidth="1"/>
    <col min="14852" max="14852" width="11.125" style="1" customWidth="1"/>
    <col min="14853" max="14853" width="29.25" style="1" customWidth="1"/>
    <col min="14854" max="14854" width="9.75" style="1" customWidth="1"/>
    <col min="14855" max="14856" width="7.25" style="1" customWidth="1"/>
    <col min="14857" max="14857" width="6.5" style="1" customWidth="1"/>
    <col min="14858" max="14858" width="10" style="1" customWidth="1"/>
    <col min="14859" max="14859" width="15.125" style="1" customWidth="1"/>
    <col min="14860" max="15104" width="9" style="1"/>
    <col min="15105" max="15105" width="1.25" style="1" customWidth="1"/>
    <col min="15106" max="15106" width="7.25" style="1" customWidth="1"/>
    <col min="15107" max="15107" width="11.5" style="1" customWidth="1"/>
    <col min="15108" max="15108" width="11.125" style="1" customWidth="1"/>
    <col min="15109" max="15109" width="29.25" style="1" customWidth="1"/>
    <col min="15110" max="15110" width="9.75" style="1" customWidth="1"/>
    <col min="15111" max="15112" width="7.25" style="1" customWidth="1"/>
    <col min="15113" max="15113" width="6.5" style="1" customWidth="1"/>
    <col min="15114" max="15114" width="10" style="1" customWidth="1"/>
    <col min="15115" max="15115" width="15.125" style="1" customWidth="1"/>
    <col min="15116" max="15360" width="9" style="1"/>
    <col min="15361" max="15361" width="1.25" style="1" customWidth="1"/>
    <col min="15362" max="15362" width="7.25" style="1" customWidth="1"/>
    <col min="15363" max="15363" width="11.5" style="1" customWidth="1"/>
    <col min="15364" max="15364" width="11.125" style="1" customWidth="1"/>
    <col min="15365" max="15365" width="29.25" style="1" customWidth="1"/>
    <col min="15366" max="15366" width="9.75" style="1" customWidth="1"/>
    <col min="15367" max="15368" width="7.25" style="1" customWidth="1"/>
    <col min="15369" max="15369" width="6.5" style="1" customWidth="1"/>
    <col min="15370" max="15370" width="10" style="1" customWidth="1"/>
    <col min="15371" max="15371" width="15.125" style="1" customWidth="1"/>
    <col min="15372" max="15616" width="9" style="1"/>
    <col min="15617" max="15617" width="1.25" style="1" customWidth="1"/>
    <col min="15618" max="15618" width="7.25" style="1" customWidth="1"/>
    <col min="15619" max="15619" width="11.5" style="1" customWidth="1"/>
    <col min="15620" max="15620" width="11.125" style="1" customWidth="1"/>
    <col min="15621" max="15621" width="29.25" style="1" customWidth="1"/>
    <col min="15622" max="15622" width="9.75" style="1" customWidth="1"/>
    <col min="15623" max="15624" width="7.25" style="1" customWidth="1"/>
    <col min="15625" max="15625" width="6.5" style="1" customWidth="1"/>
    <col min="15626" max="15626" width="10" style="1" customWidth="1"/>
    <col min="15627" max="15627" width="15.125" style="1" customWidth="1"/>
    <col min="15628" max="15872" width="9" style="1"/>
    <col min="15873" max="15873" width="1.25" style="1" customWidth="1"/>
    <col min="15874" max="15874" width="7.25" style="1" customWidth="1"/>
    <col min="15875" max="15875" width="11.5" style="1" customWidth="1"/>
    <col min="15876" max="15876" width="11.125" style="1" customWidth="1"/>
    <col min="15877" max="15877" width="29.25" style="1" customWidth="1"/>
    <col min="15878" max="15878" width="9.75" style="1" customWidth="1"/>
    <col min="15879" max="15880" width="7.25" style="1" customWidth="1"/>
    <col min="15881" max="15881" width="6.5" style="1" customWidth="1"/>
    <col min="15882" max="15882" width="10" style="1" customWidth="1"/>
    <col min="15883" max="15883" width="15.125" style="1" customWidth="1"/>
    <col min="15884" max="16128" width="9" style="1"/>
    <col min="16129" max="16129" width="1.25" style="1" customWidth="1"/>
    <col min="16130" max="16130" width="7.25" style="1" customWidth="1"/>
    <col min="16131" max="16131" width="11.5" style="1" customWidth="1"/>
    <col min="16132" max="16132" width="11.125" style="1" customWidth="1"/>
    <col min="16133" max="16133" width="29.25" style="1" customWidth="1"/>
    <col min="16134" max="16134" width="9.75" style="1" customWidth="1"/>
    <col min="16135" max="16136" width="7.25" style="1" customWidth="1"/>
    <col min="16137" max="16137" width="6.5" style="1" customWidth="1"/>
    <col min="16138" max="16138" width="10" style="1" customWidth="1"/>
    <col min="16139" max="16139" width="15.125" style="1" customWidth="1"/>
    <col min="16140" max="16384" width="9" style="1"/>
  </cols>
  <sheetData>
    <row r="1" spans="2:11" ht="12.75" customHeight="1" x14ac:dyDescent="0.15"/>
    <row r="2" spans="2:11" ht="13.7" customHeight="1" thickBot="1" x14ac:dyDescent="0.2">
      <c r="J2" s="550" t="s">
        <v>12</v>
      </c>
      <c r="K2" s="551"/>
    </row>
    <row r="3" spans="2:11" ht="22.7" customHeight="1" thickBot="1" x14ac:dyDescent="0.2">
      <c r="B3" s="552" t="s">
        <v>13</v>
      </c>
      <c r="C3" s="553"/>
      <c r="D3" s="553"/>
      <c r="E3" s="553"/>
      <c r="F3" s="553"/>
      <c r="G3" s="553"/>
      <c r="H3" s="553"/>
      <c r="I3" s="553"/>
      <c r="J3" s="553"/>
      <c r="K3" s="554"/>
    </row>
    <row r="5" spans="2:11" ht="23.25" x14ac:dyDescent="0.2">
      <c r="B5" s="555" t="str">
        <f>IF(工事カード!C3="", "", 工事カード!C3 &amp; " 　御中")</f>
        <v/>
      </c>
      <c r="C5" s="555"/>
      <c r="D5" s="555"/>
      <c r="E5" s="555"/>
      <c r="F5" s="555"/>
      <c r="G5" s="3"/>
      <c r="I5" s="54" t="s">
        <v>14</v>
      </c>
      <c r="J5" s="556">
        <f>工事カード!C2</f>
        <v>0</v>
      </c>
      <c r="K5" s="556"/>
    </row>
    <row r="6" spans="2:11" ht="25.5" customHeight="1" x14ac:dyDescent="0.2">
      <c r="B6" s="559">
        <f>工事カード!C18</f>
        <v>0</v>
      </c>
      <c r="C6" s="559"/>
      <c r="D6" s="559"/>
      <c r="E6" s="559"/>
      <c r="F6" s="4"/>
      <c r="H6" s="5" t="s">
        <v>12</v>
      </c>
    </row>
    <row r="7" spans="2:11" ht="27.75" customHeight="1" x14ac:dyDescent="0.15">
      <c r="B7" s="560"/>
      <c r="C7" s="560"/>
      <c r="D7" s="560"/>
      <c r="E7" s="560"/>
      <c r="H7" s="557" t="s">
        <v>16</v>
      </c>
      <c r="I7" s="557"/>
      <c r="J7" s="558" t="s">
        <v>17</v>
      </c>
      <c r="K7" s="558"/>
    </row>
    <row r="8" spans="2:11" x14ac:dyDescent="0.15">
      <c r="B8" s="544" t="s">
        <v>378</v>
      </c>
      <c r="C8" s="544"/>
      <c r="D8" s="7" t="s">
        <v>18</v>
      </c>
      <c r="H8" s="537" t="s">
        <v>19</v>
      </c>
      <c r="I8" s="537"/>
    </row>
    <row r="9" spans="2:11" x14ac:dyDescent="0.15">
      <c r="B9" s="8"/>
      <c r="C9" s="8" t="s">
        <v>20</v>
      </c>
      <c r="E9" s="1" t="s">
        <v>12</v>
      </c>
      <c r="H9" s="538" t="s">
        <v>21</v>
      </c>
      <c r="I9" s="538"/>
      <c r="J9" s="538"/>
      <c r="K9" s="538"/>
    </row>
    <row r="10" spans="2:11" ht="6.75" customHeight="1" x14ac:dyDescent="0.15">
      <c r="B10" s="8"/>
      <c r="C10" s="8"/>
      <c r="E10" s="1" t="s">
        <v>12</v>
      </c>
      <c r="H10" s="538"/>
      <c r="I10" s="538"/>
      <c r="J10" s="538"/>
      <c r="K10" s="538"/>
    </row>
    <row r="11" spans="2:11" x14ac:dyDescent="0.15">
      <c r="I11" s="2" t="s">
        <v>22</v>
      </c>
      <c r="J11" s="2" t="s">
        <v>23</v>
      </c>
    </row>
    <row r="12" spans="2:11" x14ac:dyDescent="0.15">
      <c r="B12" s="1" t="s">
        <v>12</v>
      </c>
      <c r="I12" s="2" t="s">
        <v>24</v>
      </c>
      <c r="J12" s="2" t="s">
        <v>25</v>
      </c>
    </row>
    <row r="13" spans="2:11" ht="14.25" thickBot="1" x14ac:dyDescent="0.2">
      <c r="B13" s="539" t="s">
        <v>26</v>
      </c>
      <c r="C13" s="539"/>
      <c r="D13" s="540">
        <f>IF(工事カード!C20&lt;&gt;"", 工事カード!C20, 工事カード!C7)</f>
        <v>0</v>
      </c>
      <c r="E13" s="540"/>
      <c r="F13" s="9">
        <f>IF(工事カード!C22&lt;&gt;"", 工事カード!C22, 工事カード!C9)</f>
        <v>0</v>
      </c>
      <c r="G13" s="10" t="str">
        <f>IF(工事カード!C9="", "", "号室")</f>
        <v/>
      </c>
      <c r="H13" s="541" t="s">
        <v>12</v>
      </c>
      <c r="I13" s="541"/>
      <c r="J13" s="541"/>
      <c r="K13" s="541"/>
    </row>
    <row r="14" spans="2:11" ht="15" thickTop="1" thickBot="1" x14ac:dyDescent="0.2">
      <c r="B14" s="542" t="s">
        <v>28</v>
      </c>
      <c r="C14" s="542"/>
      <c r="D14" s="543">
        <f>IF(工事カード!C24&lt;&gt;"", 工事カード!C24, 工事カード!C11)</f>
        <v>0</v>
      </c>
      <c r="E14" s="543"/>
      <c r="F14" s="543"/>
      <c r="G14" s="543"/>
      <c r="H14" s="541"/>
      <c r="I14" s="541"/>
      <c r="J14" s="541"/>
      <c r="K14" s="541"/>
    </row>
    <row r="15" spans="2:11" ht="9.75" customHeight="1" thickTop="1" x14ac:dyDescent="0.15">
      <c r="B15" s="1" t="s">
        <v>12</v>
      </c>
      <c r="H15" s="2" t="s">
        <v>12</v>
      </c>
      <c r="I15" s="2" t="s">
        <v>12</v>
      </c>
    </row>
    <row r="16" spans="2:11" ht="9.75" customHeight="1" x14ac:dyDescent="0.15"/>
    <row r="17" spans="2:11" x14ac:dyDescent="0.15">
      <c r="B17" s="1" t="s">
        <v>29</v>
      </c>
      <c r="H17" s="2" t="s">
        <v>12</v>
      </c>
    </row>
    <row r="19" spans="2:11" ht="16.5" x14ac:dyDescent="0.15">
      <c r="B19" s="11" t="s">
        <v>30</v>
      </c>
      <c r="C19" s="6"/>
      <c r="D19" s="6"/>
      <c r="E19" s="12">
        <f>K57</f>
        <v>0</v>
      </c>
    </row>
    <row r="20" spans="2:11" ht="9.1999999999999993" customHeight="1" x14ac:dyDescent="0.15"/>
    <row r="21" spans="2:11" x14ac:dyDescent="0.15">
      <c r="K21" s="13" t="s">
        <v>31</v>
      </c>
    </row>
    <row r="22" spans="2:11" ht="13.15" customHeight="1" x14ac:dyDescent="0.15">
      <c r="B22" s="14"/>
      <c r="C22" s="545" t="s">
        <v>32</v>
      </c>
      <c r="D22" s="546"/>
      <c r="E22" s="546"/>
      <c r="F22" s="545" t="s">
        <v>33</v>
      </c>
      <c r="G22" s="547"/>
      <c r="H22" s="16" t="s">
        <v>34</v>
      </c>
      <c r="I22" s="16" t="s">
        <v>35</v>
      </c>
      <c r="J22" s="15" t="s">
        <v>36</v>
      </c>
      <c r="K22" s="17" t="s">
        <v>37</v>
      </c>
    </row>
    <row r="23" spans="2:11" ht="13.15" customHeight="1" x14ac:dyDescent="0.15">
      <c r="B23" s="460"/>
      <c r="C23" s="19"/>
      <c r="D23" s="20"/>
      <c r="E23" s="21"/>
      <c r="F23" s="20"/>
      <c r="G23" s="22"/>
      <c r="H23" s="23"/>
      <c r="I23" s="24"/>
      <c r="J23" s="25"/>
      <c r="K23" s="26">
        <f>SUM(H23*J23)</f>
        <v>0</v>
      </c>
    </row>
    <row r="24" spans="2:11" ht="13.15" customHeight="1" x14ac:dyDescent="0.15">
      <c r="B24" s="460"/>
      <c r="C24" s="19"/>
      <c r="D24" s="20"/>
      <c r="E24" s="21"/>
      <c r="F24" s="20"/>
      <c r="G24" s="22"/>
      <c r="H24" s="23"/>
      <c r="I24" s="24"/>
      <c r="J24" s="25"/>
      <c r="K24" s="25">
        <f>SUM(H24*J24)</f>
        <v>0</v>
      </c>
    </row>
    <row r="25" spans="2:11" ht="13.15" customHeight="1" x14ac:dyDescent="0.15">
      <c r="B25" s="460"/>
      <c r="C25" s="19"/>
      <c r="D25" s="20"/>
      <c r="E25" s="21"/>
      <c r="F25" s="20"/>
      <c r="G25" s="22"/>
      <c r="H25" s="23"/>
      <c r="I25" s="24"/>
      <c r="J25" s="25"/>
      <c r="K25" s="25">
        <f t="shared" ref="K25:K54" si="0">SUM(H25*J25)</f>
        <v>0</v>
      </c>
    </row>
    <row r="26" spans="2:11" ht="13.15" customHeight="1" x14ac:dyDescent="0.15">
      <c r="B26" s="460"/>
      <c r="C26" s="486"/>
      <c r="D26" s="20"/>
      <c r="E26" s="21"/>
      <c r="F26" s="20"/>
      <c r="G26" s="22"/>
      <c r="H26" s="23"/>
      <c r="I26" s="24"/>
      <c r="J26" s="25"/>
      <c r="K26" s="25">
        <f t="shared" si="0"/>
        <v>0</v>
      </c>
    </row>
    <row r="27" spans="2:11" ht="13.15" customHeight="1" x14ac:dyDescent="0.15">
      <c r="B27" s="460"/>
      <c r="C27" s="19"/>
      <c r="D27" s="20"/>
      <c r="E27" s="21"/>
      <c r="F27" s="20"/>
      <c r="G27" s="22"/>
      <c r="H27" s="23"/>
      <c r="I27" s="24"/>
      <c r="J27" s="25"/>
      <c r="K27" s="25">
        <f t="shared" si="0"/>
        <v>0</v>
      </c>
    </row>
    <row r="28" spans="2:11" ht="13.15" customHeight="1" x14ac:dyDescent="0.15">
      <c r="B28" s="460"/>
      <c r="C28" s="19"/>
      <c r="D28" s="20"/>
      <c r="E28" s="21"/>
      <c r="F28" s="20"/>
      <c r="G28" s="22"/>
      <c r="H28" s="23"/>
      <c r="I28" s="24"/>
      <c r="J28" s="25"/>
      <c r="K28" s="25">
        <f t="shared" si="0"/>
        <v>0</v>
      </c>
    </row>
    <row r="29" spans="2:11" ht="13.15" customHeight="1" x14ac:dyDescent="0.15">
      <c r="B29" s="460"/>
      <c r="C29" s="19"/>
      <c r="D29" s="20"/>
      <c r="E29" s="21"/>
      <c r="F29" s="20"/>
      <c r="G29" s="22"/>
      <c r="H29" s="23"/>
      <c r="I29" s="24"/>
      <c r="J29" s="25"/>
      <c r="K29" s="25">
        <f t="shared" si="0"/>
        <v>0</v>
      </c>
    </row>
    <row r="30" spans="2:11" ht="13.15" customHeight="1" x14ac:dyDescent="0.15">
      <c r="B30" s="460"/>
      <c r="C30" s="19"/>
      <c r="D30" s="20"/>
      <c r="E30" s="21"/>
      <c r="F30" s="20"/>
      <c r="G30" s="22"/>
      <c r="H30" s="23"/>
      <c r="I30" s="24"/>
      <c r="J30" s="25"/>
      <c r="K30" s="25">
        <f t="shared" si="0"/>
        <v>0</v>
      </c>
    </row>
    <row r="31" spans="2:11" ht="13.15" customHeight="1" x14ac:dyDescent="0.15">
      <c r="B31" s="460"/>
      <c r="C31" s="19"/>
      <c r="D31" s="20"/>
      <c r="E31" s="21"/>
      <c r="F31" s="20"/>
      <c r="G31" s="22"/>
      <c r="H31" s="23"/>
      <c r="I31" s="24"/>
      <c r="J31" s="25"/>
      <c r="K31" s="25">
        <f t="shared" si="0"/>
        <v>0</v>
      </c>
    </row>
    <row r="32" spans="2:11" ht="13.15" customHeight="1" x14ac:dyDescent="0.15">
      <c r="B32" s="460"/>
      <c r="C32" s="19"/>
      <c r="D32" s="20"/>
      <c r="E32" s="21"/>
      <c r="F32" s="20"/>
      <c r="G32" s="22"/>
      <c r="H32" s="23"/>
      <c r="I32" s="24"/>
      <c r="J32" s="25"/>
      <c r="K32" s="25">
        <f t="shared" si="0"/>
        <v>0</v>
      </c>
    </row>
    <row r="33" spans="2:11" ht="13.15" customHeight="1" x14ac:dyDescent="0.15">
      <c r="B33" s="27"/>
      <c r="C33" s="19"/>
      <c r="D33" s="20"/>
      <c r="E33" s="21"/>
      <c r="F33" s="20"/>
      <c r="G33" s="22"/>
      <c r="H33" s="23"/>
      <c r="I33" s="24"/>
      <c r="J33" s="25"/>
      <c r="K33" s="25">
        <f t="shared" si="0"/>
        <v>0</v>
      </c>
    </row>
    <row r="34" spans="2:11" ht="13.15" customHeight="1" x14ac:dyDescent="0.15">
      <c r="B34" s="27"/>
      <c r="C34" s="19"/>
      <c r="D34" s="20"/>
      <c r="E34" s="21"/>
      <c r="F34" s="20"/>
      <c r="G34" s="22"/>
      <c r="H34" s="23"/>
      <c r="I34" s="24"/>
      <c r="J34" s="25"/>
      <c r="K34" s="25">
        <f t="shared" si="0"/>
        <v>0</v>
      </c>
    </row>
    <row r="35" spans="2:11" ht="13.15" customHeight="1" x14ac:dyDescent="0.15">
      <c r="B35" s="27"/>
      <c r="C35" s="19"/>
      <c r="D35" s="21"/>
      <c r="E35" s="20"/>
      <c r="F35" s="21"/>
      <c r="G35" s="22"/>
      <c r="H35" s="23"/>
      <c r="I35" s="24"/>
      <c r="J35" s="26"/>
      <c r="K35" s="25">
        <f t="shared" si="0"/>
        <v>0</v>
      </c>
    </row>
    <row r="36" spans="2:11" ht="13.15" customHeight="1" x14ac:dyDescent="0.15">
      <c r="B36" s="27"/>
      <c r="C36" s="19"/>
      <c r="D36" s="20"/>
      <c r="E36" s="21"/>
      <c r="F36" s="20"/>
      <c r="G36" s="22"/>
      <c r="H36" s="23"/>
      <c r="I36" s="28"/>
      <c r="J36" s="25"/>
      <c r="K36" s="25">
        <f t="shared" si="0"/>
        <v>0</v>
      </c>
    </row>
    <row r="37" spans="2:11" ht="13.15" customHeight="1" x14ac:dyDescent="0.15">
      <c r="B37" s="27"/>
      <c r="C37" s="19"/>
      <c r="D37" s="20"/>
      <c r="E37" s="21"/>
      <c r="F37" s="20"/>
      <c r="G37" s="22"/>
      <c r="H37" s="23"/>
      <c r="I37" s="28"/>
      <c r="J37" s="25"/>
      <c r="K37" s="25">
        <f t="shared" si="0"/>
        <v>0</v>
      </c>
    </row>
    <row r="38" spans="2:11" ht="13.15" customHeight="1" x14ac:dyDescent="0.15">
      <c r="B38" s="27"/>
      <c r="C38" s="19"/>
      <c r="D38" s="20"/>
      <c r="E38" s="21"/>
      <c r="F38" s="20"/>
      <c r="G38" s="22"/>
      <c r="H38" s="23"/>
      <c r="I38" s="28"/>
      <c r="J38" s="25"/>
      <c r="K38" s="25">
        <f t="shared" si="0"/>
        <v>0</v>
      </c>
    </row>
    <row r="39" spans="2:11" ht="13.15" customHeight="1" x14ac:dyDescent="0.15">
      <c r="B39" s="27"/>
      <c r="C39" s="19"/>
      <c r="D39" s="20"/>
      <c r="E39" s="21"/>
      <c r="F39" s="20"/>
      <c r="G39" s="22"/>
      <c r="H39" s="23"/>
      <c r="I39" s="28"/>
      <c r="J39" s="25"/>
      <c r="K39" s="25">
        <f t="shared" si="0"/>
        <v>0</v>
      </c>
    </row>
    <row r="40" spans="2:11" ht="13.15" customHeight="1" x14ac:dyDescent="0.15">
      <c r="B40" s="27"/>
      <c r="C40" s="19"/>
      <c r="D40" s="20"/>
      <c r="E40" s="21"/>
      <c r="F40" s="20"/>
      <c r="G40" s="22"/>
      <c r="H40" s="23"/>
      <c r="I40" s="28"/>
      <c r="J40" s="25"/>
      <c r="K40" s="25">
        <f t="shared" si="0"/>
        <v>0</v>
      </c>
    </row>
    <row r="41" spans="2:11" ht="13.15" customHeight="1" x14ac:dyDescent="0.15">
      <c r="B41" s="27"/>
      <c r="C41" s="19"/>
      <c r="D41" s="20"/>
      <c r="E41" s="21"/>
      <c r="F41" s="20"/>
      <c r="G41" s="22"/>
      <c r="H41" s="23"/>
      <c r="I41" s="28"/>
      <c r="J41" s="25"/>
      <c r="K41" s="25">
        <f t="shared" si="0"/>
        <v>0</v>
      </c>
    </row>
    <row r="42" spans="2:11" ht="13.15" customHeight="1" x14ac:dyDescent="0.15">
      <c r="B42" s="27"/>
      <c r="C42" s="19"/>
      <c r="D42" s="20"/>
      <c r="E42" s="20"/>
      <c r="F42" s="20"/>
      <c r="G42" s="22"/>
      <c r="H42" s="23"/>
      <c r="I42" s="28"/>
      <c r="J42" s="25"/>
      <c r="K42" s="25">
        <f t="shared" si="0"/>
        <v>0</v>
      </c>
    </row>
    <row r="43" spans="2:11" ht="13.15" customHeight="1" x14ac:dyDescent="0.15">
      <c r="B43" s="27"/>
      <c r="C43" s="19"/>
      <c r="D43" s="20"/>
      <c r="E43" s="20"/>
      <c r="F43" s="20"/>
      <c r="G43" s="22"/>
      <c r="H43" s="29"/>
      <c r="I43" s="28"/>
      <c r="J43" s="25"/>
      <c r="K43" s="25">
        <f t="shared" si="0"/>
        <v>0</v>
      </c>
    </row>
    <row r="44" spans="2:11" ht="13.15" customHeight="1" x14ac:dyDescent="0.15">
      <c r="B44" s="27"/>
      <c r="C44" s="19"/>
      <c r="D44" s="20"/>
      <c r="E44" s="20"/>
      <c r="F44" s="20"/>
      <c r="G44" s="22"/>
      <c r="H44" s="29"/>
      <c r="I44" s="28"/>
      <c r="J44" s="25"/>
      <c r="K44" s="25">
        <f t="shared" si="0"/>
        <v>0</v>
      </c>
    </row>
    <row r="45" spans="2:11" ht="13.15" customHeight="1" x14ac:dyDescent="0.15">
      <c r="B45" s="27"/>
      <c r="C45" s="19"/>
      <c r="D45" s="20"/>
      <c r="E45" s="20"/>
      <c r="F45" s="20"/>
      <c r="G45" s="22"/>
      <c r="H45" s="29"/>
      <c r="I45" s="28"/>
      <c r="J45" s="25"/>
      <c r="K45" s="25">
        <f t="shared" si="0"/>
        <v>0</v>
      </c>
    </row>
    <row r="46" spans="2:11" ht="13.15" customHeight="1" x14ac:dyDescent="0.15">
      <c r="B46" s="27"/>
      <c r="C46" s="19"/>
      <c r="D46" s="20"/>
      <c r="E46" s="20"/>
      <c r="F46" s="20"/>
      <c r="G46" s="22"/>
      <c r="H46" s="29"/>
      <c r="I46" s="28"/>
      <c r="J46" s="25"/>
      <c r="K46" s="25">
        <f t="shared" si="0"/>
        <v>0</v>
      </c>
    </row>
    <row r="47" spans="2:11" ht="13.15" customHeight="1" x14ac:dyDescent="0.15">
      <c r="B47" s="27"/>
      <c r="C47" s="19"/>
      <c r="D47" s="20"/>
      <c r="E47" s="20"/>
      <c r="F47" s="20"/>
      <c r="G47" s="22"/>
      <c r="H47" s="29"/>
      <c r="I47" s="28"/>
      <c r="J47" s="25"/>
      <c r="K47" s="25">
        <f t="shared" si="0"/>
        <v>0</v>
      </c>
    </row>
    <row r="48" spans="2:11" ht="13.15" customHeight="1" x14ac:dyDescent="0.15">
      <c r="B48" s="27"/>
      <c r="C48" s="19"/>
      <c r="D48" s="20"/>
      <c r="E48" s="20"/>
      <c r="F48" s="20"/>
      <c r="G48" s="22"/>
      <c r="H48" s="29"/>
      <c r="I48" s="28"/>
      <c r="J48" s="25"/>
      <c r="K48" s="25">
        <f t="shared" si="0"/>
        <v>0</v>
      </c>
    </row>
    <row r="49" spans="2:11" ht="13.15" customHeight="1" x14ac:dyDescent="0.15">
      <c r="B49" s="27"/>
      <c r="C49" s="19"/>
      <c r="D49" s="20"/>
      <c r="E49" s="20"/>
      <c r="F49" s="20"/>
      <c r="G49" s="22"/>
      <c r="H49" s="29"/>
      <c r="I49" s="28"/>
      <c r="J49" s="25"/>
      <c r="K49" s="25">
        <f t="shared" si="0"/>
        <v>0</v>
      </c>
    </row>
    <row r="50" spans="2:11" ht="13.15" customHeight="1" x14ac:dyDescent="0.15">
      <c r="B50" s="27"/>
      <c r="C50" s="19"/>
      <c r="D50" s="20"/>
      <c r="E50" s="20"/>
      <c r="F50" s="20"/>
      <c r="G50" s="22"/>
      <c r="H50" s="29"/>
      <c r="I50" s="28"/>
      <c r="J50" s="25"/>
      <c r="K50" s="25">
        <f t="shared" si="0"/>
        <v>0</v>
      </c>
    </row>
    <row r="51" spans="2:11" ht="13.15" customHeight="1" x14ac:dyDescent="0.15">
      <c r="B51" s="27"/>
      <c r="C51" s="19"/>
      <c r="D51" s="20"/>
      <c r="E51" s="20"/>
      <c r="F51" s="20"/>
      <c r="G51" s="22"/>
      <c r="H51" s="29"/>
      <c r="I51" s="28"/>
      <c r="J51" s="25"/>
      <c r="K51" s="25">
        <f t="shared" si="0"/>
        <v>0</v>
      </c>
    </row>
    <row r="52" spans="2:11" ht="13.15" customHeight="1" x14ac:dyDescent="0.15">
      <c r="B52" s="27"/>
      <c r="C52" s="19"/>
      <c r="D52" s="20"/>
      <c r="E52" s="20"/>
      <c r="F52" s="20"/>
      <c r="G52" s="22"/>
      <c r="H52" s="29"/>
      <c r="I52" s="28"/>
      <c r="J52" s="25"/>
      <c r="K52" s="25">
        <f t="shared" si="0"/>
        <v>0</v>
      </c>
    </row>
    <row r="53" spans="2:11" ht="13.15" customHeight="1" x14ac:dyDescent="0.15">
      <c r="B53" s="27"/>
      <c r="C53" s="30"/>
      <c r="D53" s="21"/>
      <c r="E53" s="20"/>
      <c r="F53" s="21"/>
      <c r="G53" s="31"/>
      <c r="H53" s="29"/>
      <c r="I53" s="28"/>
      <c r="J53" s="25"/>
      <c r="K53" s="25">
        <f t="shared" si="0"/>
        <v>0</v>
      </c>
    </row>
    <row r="54" spans="2:11" ht="13.15" customHeight="1" thickBot="1" x14ac:dyDescent="0.2">
      <c r="B54" s="32"/>
      <c r="C54" s="33"/>
      <c r="D54" s="34"/>
      <c r="E54" s="35"/>
      <c r="F54" s="36"/>
      <c r="G54" s="37"/>
      <c r="H54" s="38"/>
      <c r="I54" s="39"/>
      <c r="J54" s="40"/>
      <c r="K54" s="25">
        <f t="shared" si="0"/>
        <v>0</v>
      </c>
    </row>
    <row r="55" spans="2:11" ht="13.15" customHeight="1" x14ac:dyDescent="0.15">
      <c r="B55" s="41" t="s">
        <v>38</v>
      </c>
      <c r="C55" s="42"/>
      <c r="D55" s="42"/>
      <c r="E55" s="42"/>
      <c r="F55" s="42"/>
      <c r="G55" s="42"/>
      <c r="H55" s="43"/>
      <c r="I55" s="548" t="s">
        <v>39</v>
      </c>
      <c r="J55" s="549"/>
      <c r="K55" s="44">
        <f>SUM(K23:K54)</f>
        <v>0</v>
      </c>
    </row>
    <row r="56" spans="2:11" ht="13.15" customHeight="1" x14ac:dyDescent="0.15">
      <c r="B56" s="45"/>
      <c r="C56" s="46"/>
      <c r="D56" s="46"/>
      <c r="E56" s="46"/>
      <c r="F56" s="46"/>
      <c r="G56" s="46"/>
      <c r="H56" s="47"/>
      <c r="I56" s="533" t="s">
        <v>40</v>
      </c>
      <c r="J56" s="534"/>
      <c r="K56" s="48">
        <f>ROUNDDOWN(K55*0.1,0)</f>
        <v>0</v>
      </c>
    </row>
    <row r="57" spans="2:11" ht="13.15" customHeight="1" thickBot="1" x14ac:dyDescent="0.2">
      <c r="B57" s="49"/>
      <c r="C57" s="50"/>
      <c r="D57" s="50"/>
      <c r="E57" s="50"/>
      <c r="F57" s="50"/>
      <c r="G57" s="50"/>
      <c r="H57" s="51"/>
      <c r="I57" s="535" t="s">
        <v>41</v>
      </c>
      <c r="J57" s="536"/>
      <c r="K57" s="52">
        <f>SUM(K55:K56)</f>
        <v>0</v>
      </c>
    </row>
    <row r="58" spans="2:11" ht="13.15" customHeight="1" x14ac:dyDescent="0.15"/>
    <row r="59" spans="2:11" ht="13.15" customHeight="1" x14ac:dyDescent="0.15"/>
    <row r="60" spans="2:11" ht="13.15" customHeight="1" x14ac:dyDescent="0.15"/>
    <row r="61" spans="2:11" ht="13.15" customHeight="1" x14ac:dyDescent="0.15"/>
    <row r="62" spans="2:11" ht="13.15" customHeight="1" x14ac:dyDescent="0.15"/>
    <row r="63" spans="2:11" ht="13.15" customHeight="1" x14ac:dyDescent="0.15"/>
    <row r="64" spans="2:11" ht="13.15" customHeight="1" x14ac:dyDescent="0.15"/>
    <row r="65" ht="13.15" customHeight="1" x14ac:dyDescent="0.15"/>
    <row r="66" ht="13.15" customHeight="1" x14ac:dyDescent="0.15"/>
    <row r="67" ht="13.1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</sheetData>
  <mergeCells count="21">
    <mergeCell ref="J2:K2"/>
    <mergeCell ref="B3:K3"/>
    <mergeCell ref="B5:F5"/>
    <mergeCell ref="J5:K5"/>
    <mergeCell ref="H7:I7"/>
    <mergeCell ref="J7:K7"/>
    <mergeCell ref="B6:E6"/>
    <mergeCell ref="B7:E7"/>
    <mergeCell ref="I56:J56"/>
    <mergeCell ref="I57:J57"/>
    <mergeCell ref="H8:I8"/>
    <mergeCell ref="H9:K10"/>
    <mergeCell ref="B13:C13"/>
    <mergeCell ref="D13:E13"/>
    <mergeCell ref="H13:K14"/>
    <mergeCell ref="B14:C14"/>
    <mergeCell ref="D14:G14"/>
    <mergeCell ref="B8:C8"/>
    <mergeCell ref="C22:E22"/>
    <mergeCell ref="F22:G22"/>
    <mergeCell ref="I55:J55"/>
  </mergeCells>
  <phoneticPr fontId="3"/>
  <printOptions horizontalCentered="1" verticalCentered="1"/>
  <pageMargins left="0.25" right="0.25" top="0.75" bottom="0.75" header="0.3" footer="0.3"/>
  <pageSetup paperSize="9" scale="77" orientation="portrait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7DF6F-D743-48A1-BA8D-0A80294008E1}">
  <sheetPr codeName="Sheet18">
    <tabColor rgb="FFBD07A7"/>
    <pageSetUpPr fitToPage="1"/>
  </sheetPr>
  <dimension ref="A1:Q52"/>
  <sheetViews>
    <sheetView showGridLines="0" showZeros="0" zoomScaleNormal="100" workbookViewId="0">
      <selection activeCell="L19" sqref="L19"/>
    </sheetView>
  </sheetViews>
  <sheetFormatPr defaultRowHeight="13.5" x14ac:dyDescent="0.15"/>
  <cols>
    <col min="1" max="1" width="10.5" style="55" customWidth="1"/>
    <col min="2" max="2" width="10.125" style="55" customWidth="1"/>
    <col min="3" max="3" width="8.5" style="55" customWidth="1"/>
    <col min="4" max="4" width="24.125" style="55" customWidth="1"/>
    <col min="5" max="5" width="8.5" style="55" customWidth="1"/>
    <col min="6" max="6" width="5.5" style="55" customWidth="1"/>
    <col min="7" max="7" width="9" style="55"/>
    <col min="8" max="8" width="13.125" style="55" customWidth="1"/>
    <col min="9" max="9" width="11.75" style="55" customWidth="1"/>
    <col min="10" max="10" width="13.75" style="55" customWidth="1"/>
    <col min="11" max="11" width="3.5" style="55" customWidth="1"/>
    <col min="12" max="12" width="39.75" style="218" customWidth="1"/>
    <col min="13" max="13" width="17.25" style="190" customWidth="1"/>
    <col min="14" max="14" width="17.25" style="465" customWidth="1"/>
    <col min="15" max="16" width="9" style="337"/>
    <col min="17" max="256" width="9" style="55"/>
    <col min="257" max="257" width="10.5" style="55" customWidth="1"/>
    <col min="258" max="258" width="10.125" style="55" customWidth="1"/>
    <col min="259" max="259" width="8.5" style="55" customWidth="1"/>
    <col min="260" max="260" width="24.125" style="55" customWidth="1"/>
    <col min="261" max="261" width="8.5" style="55" customWidth="1"/>
    <col min="262" max="262" width="5.5" style="55" customWidth="1"/>
    <col min="263" max="263" width="9" style="55"/>
    <col min="264" max="264" width="7.5" style="55" customWidth="1"/>
    <col min="265" max="265" width="7.75" style="55" customWidth="1"/>
    <col min="266" max="266" width="13.75" style="55" customWidth="1"/>
    <col min="267" max="267" width="9" style="55"/>
    <col min="268" max="268" width="0" style="55" hidden="1" customWidth="1"/>
    <col min="269" max="269" width="16.25" style="55" customWidth="1"/>
    <col min="270" max="512" width="9" style="55"/>
    <col min="513" max="513" width="10.5" style="55" customWidth="1"/>
    <col min="514" max="514" width="10.125" style="55" customWidth="1"/>
    <col min="515" max="515" width="8.5" style="55" customWidth="1"/>
    <col min="516" max="516" width="24.125" style="55" customWidth="1"/>
    <col min="517" max="517" width="8.5" style="55" customWidth="1"/>
    <col min="518" max="518" width="5.5" style="55" customWidth="1"/>
    <col min="519" max="519" width="9" style="55"/>
    <col min="520" max="520" width="7.5" style="55" customWidth="1"/>
    <col min="521" max="521" width="7.75" style="55" customWidth="1"/>
    <col min="522" max="522" width="13.75" style="55" customWidth="1"/>
    <col min="523" max="523" width="9" style="55"/>
    <col min="524" max="524" width="0" style="55" hidden="1" customWidth="1"/>
    <col min="525" max="525" width="16.25" style="55" customWidth="1"/>
    <col min="526" max="768" width="9" style="55"/>
    <col min="769" max="769" width="10.5" style="55" customWidth="1"/>
    <col min="770" max="770" width="10.125" style="55" customWidth="1"/>
    <col min="771" max="771" width="8.5" style="55" customWidth="1"/>
    <col min="772" max="772" width="24.125" style="55" customWidth="1"/>
    <col min="773" max="773" width="8.5" style="55" customWidth="1"/>
    <col min="774" max="774" width="5.5" style="55" customWidth="1"/>
    <col min="775" max="775" width="9" style="55"/>
    <col min="776" max="776" width="7.5" style="55" customWidth="1"/>
    <col min="777" max="777" width="7.75" style="55" customWidth="1"/>
    <col min="778" max="778" width="13.75" style="55" customWidth="1"/>
    <col min="779" max="779" width="9" style="55"/>
    <col min="780" max="780" width="0" style="55" hidden="1" customWidth="1"/>
    <col min="781" max="781" width="16.25" style="55" customWidth="1"/>
    <col min="782" max="1024" width="9" style="55"/>
    <col min="1025" max="1025" width="10.5" style="55" customWidth="1"/>
    <col min="1026" max="1026" width="10.125" style="55" customWidth="1"/>
    <col min="1027" max="1027" width="8.5" style="55" customWidth="1"/>
    <col min="1028" max="1028" width="24.125" style="55" customWidth="1"/>
    <col min="1029" max="1029" width="8.5" style="55" customWidth="1"/>
    <col min="1030" max="1030" width="5.5" style="55" customWidth="1"/>
    <col min="1031" max="1031" width="9" style="55"/>
    <col min="1032" max="1032" width="7.5" style="55" customWidth="1"/>
    <col min="1033" max="1033" width="7.75" style="55" customWidth="1"/>
    <col min="1034" max="1034" width="13.75" style="55" customWidth="1"/>
    <col min="1035" max="1035" width="9" style="55"/>
    <col min="1036" max="1036" width="0" style="55" hidden="1" customWidth="1"/>
    <col min="1037" max="1037" width="16.25" style="55" customWidth="1"/>
    <col min="1038" max="1280" width="9" style="55"/>
    <col min="1281" max="1281" width="10.5" style="55" customWidth="1"/>
    <col min="1282" max="1282" width="10.125" style="55" customWidth="1"/>
    <col min="1283" max="1283" width="8.5" style="55" customWidth="1"/>
    <col min="1284" max="1284" width="24.125" style="55" customWidth="1"/>
    <col min="1285" max="1285" width="8.5" style="55" customWidth="1"/>
    <col min="1286" max="1286" width="5.5" style="55" customWidth="1"/>
    <col min="1287" max="1287" width="9" style="55"/>
    <col min="1288" max="1288" width="7.5" style="55" customWidth="1"/>
    <col min="1289" max="1289" width="7.75" style="55" customWidth="1"/>
    <col min="1290" max="1290" width="13.75" style="55" customWidth="1"/>
    <col min="1291" max="1291" width="9" style="55"/>
    <col min="1292" max="1292" width="0" style="55" hidden="1" customWidth="1"/>
    <col min="1293" max="1293" width="16.25" style="55" customWidth="1"/>
    <col min="1294" max="1536" width="9" style="55"/>
    <col min="1537" max="1537" width="10.5" style="55" customWidth="1"/>
    <col min="1538" max="1538" width="10.125" style="55" customWidth="1"/>
    <col min="1539" max="1539" width="8.5" style="55" customWidth="1"/>
    <col min="1540" max="1540" width="24.125" style="55" customWidth="1"/>
    <col min="1541" max="1541" width="8.5" style="55" customWidth="1"/>
    <col min="1542" max="1542" width="5.5" style="55" customWidth="1"/>
    <col min="1543" max="1543" width="9" style="55"/>
    <col min="1544" max="1544" width="7.5" style="55" customWidth="1"/>
    <col min="1545" max="1545" width="7.75" style="55" customWidth="1"/>
    <col min="1546" max="1546" width="13.75" style="55" customWidth="1"/>
    <col min="1547" max="1547" width="9" style="55"/>
    <col min="1548" max="1548" width="0" style="55" hidden="1" customWidth="1"/>
    <col min="1549" max="1549" width="16.25" style="55" customWidth="1"/>
    <col min="1550" max="1792" width="9" style="55"/>
    <col min="1793" max="1793" width="10.5" style="55" customWidth="1"/>
    <col min="1794" max="1794" width="10.125" style="55" customWidth="1"/>
    <col min="1795" max="1795" width="8.5" style="55" customWidth="1"/>
    <col min="1796" max="1796" width="24.125" style="55" customWidth="1"/>
    <col min="1797" max="1797" width="8.5" style="55" customWidth="1"/>
    <col min="1798" max="1798" width="5.5" style="55" customWidth="1"/>
    <col min="1799" max="1799" width="9" style="55"/>
    <col min="1800" max="1800" width="7.5" style="55" customWidth="1"/>
    <col min="1801" max="1801" width="7.75" style="55" customWidth="1"/>
    <col min="1802" max="1802" width="13.75" style="55" customWidth="1"/>
    <col min="1803" max="1803" width="9" style="55"/>
    <col min="1804" max="1804" width="0" style="55" hidden="1" customWidth="1"/>
    <col min="1805" max="1805" width="16.25" style="55" customWidth="1"/>
    <col min="1806" max="2048" width="9" style="55"/>
    <col min="2049" max="2049" width="10.5" style="55" customWidth="1"/>
    <col min="2050" max="2050" width="10.125" style="55" customWidth="1"/>
    <col min="2051" max="2051" width="8.5" style="55" customWidth="1"/>
    <col min="2052" max="2052" width="24.125" style="55" customWidth="1"/>
    <col min="2053" max="2053" width="8.5" style="55" customWidth="1"/>
    <col min="2054" max="2054" width="5.5" style="55" customWidth="1"/>
    <col min="2055" max="2055" width="9" style="55"/>
    <col min="2056" max="2056" width="7.5" style="55" customWidth="1"/>
    <col min="2057" max="2057" width="7.75" style="55" customWidth="1"/>
    <col min="2058" max="2058" width="13.75" style="55" customWidth="1"/>
    <col min="2059" max="2059" width="9" style="55"/>
    <col min="2060" max="2060" width="0" style="55" hidden="1" customWidth="1"/>
    <col min="2061" max="2061" width="16.25" style="55" customWidth="1"/>
    <col min="2062" max="2304" width="9" style="55"/>
    <col min="2305" max="2305" width="10.5" style="55" customWidth="1"/>
    <col min="2306" max="2306" width="10.125" style="55" customWidth="1"/>
    <col min="2307" max="2307" width="8.5" style="55" customWidth="1"/>
    <col min="2308" max="2308" width="24.125" style="55" customWidth="1"/>
    <col min="2309" max="2309" width="8.5" style="55" customWidth="1"/>
    <col min="2310" max="2310" width="5.5" style="55" customWidth="1"/>
    <col min="2311" max="2311" width="9" style="55"/>
    <col min="2312" max="2312" width="7.5" style="55" customWidth="1"/>
    <col min="2313" max="2313" width="7.75" style="55" customWidth="1"/>
    <col min="2314" max="2314" width="13.75" style="55" customWidth="1"/>
    <col min="2315" max="2315" width="9" style="55"/>
    <col min="2316" max="2316" width="0" style="55" hidden="1" customWidth="1"/>
    <col min="2317" max="2317" width="16.25" style="55" customWidth="1"/>
    <col min="2318" max="2560" width="9" style="55"/>
    <col min="2561" max="2561" width="10.5" style="55" customWidth="1"/>
    <col min="2562" max="2562" width="10.125" style="55" customWidth="1"/>
    <col min="2563" max="2563" width="8.5" style="55" customWidth="1"/>
    <col min="2564" max="2564" width="24.125" style="55" customWidth="1"/>
    <col min="2565" max="2565" width="8.5" style="55" customWidth="1"/>
    <col min="2566" max="2566" width="5.5" style="55" customWidth="1"/>
    <col min="2567" max="2567" width="9" style="55"/>
    <col min="2568" max="2568" width="7.5" style="55" customWidth="1"/>
    <col min="2569" max="2569" width="7.75" style="55" customWidth="1"/>
    <col min="2570" max="2570" width="13.75" style="55" customWidth="1"/>
    <col min="2571" max="2571" width="9" style="55"/>
    <col min="2572" max="2572" width="0" style="55" hidden="1" customWidth="1"/>
    <col min="2573" max="2573" width="16.25" style="55" customWidth="1"/>
    <col min="2574" max="2816" width="9" style="55"/>
    <col min="2817" max="2817" width="10.5" style="55" customWidth="1"/>
    <col min="2818" max="2818" width="10.125" style="55" customWidth="1"/>
    <col min="2819" max="2819" width="8.5" style="55" customWidth="1"/>
    <col min="2820" max="2820" width="24.125" style="55" customWidth="1"/>
    <col min="2821" max="2821" width="8.5" style="55" customWidth="1"/>
    <col min="2822" max="2822" width="5.5" style="55" customWidth="1"/>
    <col min="2823" max="2823" width="9" style="55"/>
    <col min="2824" max="2824" width="7.5" style="55" customWidth="1"/>
    <col min="2825" max="2825" width="7.75" style="55" customWidth="1"/>
    <col min="2826" max="2826" width="13.75" style="55" customWidth="1"/>
    <col min="2827" max="2827" width="9" style="55"/>
    <col min="2828" max="2828" width="0" style="55" hidden="1" customWidth="1"/>
    <col min="2829" max="2829" width="16.25" style="55" customWidth="1"/>
    <col min="2830" max="3072" width="9" style="55"/>
    <col min="3073" max="3073" width="10.5" style="55" customWidth="1"/>
    <col min="3074" max="3074" width="10.125" style="55" customWidth="1"/>
    <col min="3075" max="3075" width="8.5" style="55" customWidth="1"/>
    <col min="3076" max="3076" width="24.125" style="55" customWidth="1"/>
    <col min="3077" max="3077" width="8.5" style="55" customWidth="1"/>
    <col min="3078" max="3078" width="5.5" style="55" customWidth="1"/>
    <col min="3079" max="3079" width="9" style="55"/>
    <col min="3080" max="3080" width="7.5" style="55" customWidth="1"/>
    <col min="3081" max="3081" width="7.75" style="55" customWidth="1"/>
    <col min="3082" max="3082" width="13.75" style="55" customWidth="1"/>
    <col min="3083" max="3083" width="9" style="55"/>
    <col min="3084" max="3084" width="0" style="55" hidden="1" customWidth="1"/>
    <col min="3085" max="3085" width="16.25" style="55" customWidth="1"/>
    <col min="3086" max="3328" width="9" style="55"/>
    <col min="3329" max="3329" width="10.5" style="55" customWidth="1"/>
    <col min="3330" max="3330" width="10.125" style="55" customWidth="1"/>
    <col min="3331" max="3331" width="8.5" style="55" customWidth="1"/>
    <col min="3332" max="3332" width="24.125" style="55" customWidth="1"/>
    <col min="3333" max="3333" width="8.5" style="55" customWidth="1"/>
    <col min="3334" max="3334" width="5.5" style="55" customWidth="1"/>
    <col min="3335" max="3335" width="9" style="55"/>
    <col min="3336" max="3336" width="7.5" style="55" customWidth="1"/>
    <col min="3337" max="3337" width="7.75" style="55" customWidth="1"/>
    <col min="3338" max="3338" width="13.75" style="55" customWidth="1"/>
    <col min="3339" max="3339" width="9" style="55"/>
    <col min="3340" max="3340" width="0" style="55" hidden="1" customWidth="1"/>
    <col min="3341" max="3341" width="16.25" style="55" customWidth="1"/>
    <col min="3342" max="3584" width="9" style="55"/>
    <col min="3585" max="3585" width="10.5" style="55" customWidth="1"/>
    <col min="3586" max="3586" width="10.125" style="55" customWidth="1"/>
    <col min="3587" max="3587" width="8.5" style="55" customWidth="1"/>
    <col min="3588" max="3588" width="24.125" style="55" customWidth="1"/>
    <col min="3589" max="3589" width="8.5" style="55" customWidth="1"/>
    <col min="3590" max="3590" width="5.5" style="55" customWidth="1"/>
    <col min="3591" max="3591" width="9" style="55"/>
    <col min="3592" max="3592" width="7.5" style="55" customWidth="1"/>
    <col min="3593" max="3593" width="7.75" style="55" customWidth="1"/>
    <col min="3594" max="3594" width="13.75" style="55" customWidth="1"/>
    <col min="3595" max="3595" width="9" style="55"/>
    <col min="3596" max="3596" width="0" style="55" hidden="1" customWidth="1"/>
    <col min="3597" max="3597" width="16.25" style="55" customWidth="1"/>
    <col min="3598" max="3840" width="9" style="55"/>
    <col min="3841" max="3841" width="10.5" style="55" customWidth="1"/>
    <col min="3842" max="3842" width="10.125" style="55" customWidth="1"/>
    <col min="3843" max="3843" width="8.5" style="55" customWidth="1"/>
    <col min="3844" max="3844" width="24.125" style="55" customWidth="1"/>
    <col min="3845" max="3845" width="8.5" style="55" customWidth="1"/>
    <col min="3846" max="3846" width="5.5" style="55" customWidth="1"/>
    <col min="3847" max="3847" width="9" style="55"/>
    <col min="3848" max="3848" width="7.5" style="55" customWidth="1"/>
    <col min="3849" max="3849" width="7.75" style="55" customWidth="1"/>
    <col min="3850" max="3850" width="13.75" style="55" customWidth="1"/>
    <col min="3851" max="3851" width="9" style="55"/>
    <col min="3852" max="3852" width="0" style="55" hidden="1" customWidth="1"/>
    <col min="3853" max="3853" width="16.25" style="55" customWidth="1"/>
    <col min="3854" max="4096" width="9" style="55"/>
    <col min="4097" max="4097" width="10.5" style="55" customWidth="1"/>
    <col min="4098" max="4098" width="10.125" style="55" customWidth="1"/>
    <col min="4099" max="4099" width="8.5" style="55" customWidth="1"/>
    <col min="4100" max="4100" width="24.125" style="55" customWidth="1"/>
    <col min="4101" max="4101" width="8.5" style="55" customWidth="1"/>
    <col min="4102" max="4102" width="5.5" style="55" customWidth="1"/>
    <col min="4103" max="4103" width="9" style="55"/>
    <col min="4104" max="4104" width="7.5" style="55" customWidth="1"/>
    <col min="4105" max="4105" width="7.75" style="55" customWidth="1"/>
    <col min="4106" max="4106" width="13.75" style="55" customWidth="1"/>
    <col min="4107" max="4107" width="9" style="55"/>
    <col min="4108" max="4108" width="0" style="55" hidden="1" customWidth="1"/>
    <col min="4109" max="4109" width="16.25" style="55" customWidth="1"/>
    <col min="4110" max="4352" width="9" style="55"/>
    <col min="4353" max="4353" width="10.5" style="55" customWidth="1"/>
    <col min="4354" max="4354" width="10.125" style="55" customWidth="1"/>
    <col min="4355" max="4355" width="8.5" style="55" customWidth="1"/>
    <col min="4356" max="4356" width="24.125" style="55" customWidth="1"/>
    <col min="4357" max="4357" width="8.5" style="55" customWidth="1"/>
    <col min="4358" max="4358" width="5.5" style="55" customWidth="1"/>
    <col min="4359" max="4359" width="9" style="55"/>
    <col min="4360" max="4360" width="7.5" style="55" customWidth="1"/>
    <col min="4361" max="4361" width="7.75" style="55" customWidth="1"/>
    <col min="4362" max="4362" width="13.75" style="55" customWidth="1"/>
    <col min="4363" max="4363" width="9" style="55"/>
    <col min="4364" max="4364" width="0" style="55" hidden="1" customWidth="1"/>
    <col min="4365" max="4365" width="16.25" style="55" customWidth="1"/>
    <col min="4366" max="4608" width="9" style="55"/>
    <col min="4609" max="4609" width="10.5" style="55" customWidth="1"/>
    <col min="4610" max="4610" width="10.125" style="55" customWidth="1"/>
    <col min="4611" max="4611" width="8.5" style="55" customWidth="1"/>
    <col min="4612" max="4612" width="24.125" style="55" customWidth="1"/>
    <col min="4613" max="4613" width="8.5" style="55" customWidth="1"/>
    <col min="4614" max="4614" width="5.5" style="55" customWidth="1"/>
    <col min="4615" max="4615" width="9" style="55"/>
    <col min="4616" max="4616" width="7.5" style="55" customWidth="1"/>
    <col min="4617" max="4617" width="7.75" style="55" customWidth="1"/>
    <col min="4618" max="4618" width="13.75" style="55" customWidth="1"/>
    <col min="4619" max="4619" width="9" style="55"/>
    <col min="4620" max="4620" width="0" style="55" hidden="1" customWidth="1"/>
    <col min="4621" max="4621" width="16.25" style="55" customWidth="1"/>
    <col min="4622" max="4864" width="9" style="55"/>
    <col min="4865" max="4865" width="10.5" style="55" customWidth="1"/>
    <col min="4866" max="4866" width="10.125" style="55" customWidth="1"/>
    <col min="4867" max="4867" width="8.5" style="55" customWidth="1"/>
    <col min="4868" max="4868" width="24.125" style="55" customWidth="1"/>
    <col min="4869" max="4869" width="8.5" style="55" customWidth="1"/>
    <col min="4870" max="4870" width="5.5" style="55" customWidth="1"/>
    <col min="4871" max="4871" width="9" style="55"/>
    <col min="4872" max="4872" width="7.5" style="55" customWidth="1"/>
    <col min="4873" max="4873" width="7.75" style="55" customWidth="1"/>
    <col min="4874" max="4874" width="13.75" style="55" customWidth="1"/>
    <col min="4875" max="4875" width="9" style="55"/>
    <col min="4876" max="4876" width="0" style="55" hidden="1" customWidth="1"/>
    <col min="4877" max="4877" width="16.25" style="55" customWidth="1"/>
    <col min="4878" max="5120" width="9" style="55"/>
    <col min="5121" max="5121" width="10.5" style="55" customWidth="1"/>
    <col min="5122" max="5122" width="10.125" style="55" customWidth="1"/>
    <col min="5123" max="5123" width="8.5" style="55" customWidth="1"/>
    <col min="5124" max="5124" width="24.125" style="55" customWidth="1"/>
    <col min="5125" max="5125" width="8.5" style="55" customWidth="1"/>
    <col min="5126" max="5126" width="5.5" style="55" customWidth="1"/>
    <col min="5127" max="5127" width="9" style="55"/>
    <col min="5128" max="5128" width="7.5" style="55" customWidth="1"/>
    <col min="5129" max="5129" width="7.75" style="55" customWidth="1"/>
    <col min="5130" max="5130" width="13.75" style="55" customWidth="1"/>
    <col min="5131" max="5131" width="9" style="55"/>
    <col min="5132" max="5132" width="0" style="55" hidden="1" customWidth="1"/>
    <col min="5133" max="5133" width="16.25" style="55" customWidth="1"/>
    <col min="5134" max="5376" width="9" style="55"/>
    <col min="5377" max="5377" width="10.5" style="55" customWidth="1"/>
    <col min="5378" max="5378" width="10.125" style="55" customWidth="1"/>
    <col min="5379" max="5379" width="8.5" style="55" customWidth="1"/>
    <col min="5380" max="5380" width="24.125" style="55" customWidth="1"/>
    <col min="5381" max="5381" width="8.5" style="55" customWidth="1"/>
    <col min="5382" max="5382" width="5.5" style="55" customWidth="1"/>
    <col min="5383" max="5383" width="9" style="55"/>
    <col min="5384" max="5384" width="7.5" style="55" customWidth="1"/>
    <col min="5385" max="5385" width="7.75" style="55" customWidth="1"/>
    <col min="5386" max="5386" width="13.75" style="55" customWidth="1"/>
    <col min="5387" max="5387" width="9" style="55"/>
    <col min="5388" max="5388" width="0" style="55" hidden="1" customWidth="1"/>
    <col min="5389" max="5389" width="16.25" style="55" customWidth="1"/>
    <col min="5390" max="5632" width="9" style="55"/>
    <col min="5633" max="5633" width="10.5" style="55" customWidth="1"/>
    <col min="5634" max="5634" width="10.125" style="55" customWidth="1"/>
    <col min="5635" max="5635" width="8.5" style="55" customWidth="1"/>
    <col min="5636" max="5636" width="24.125" style="55" customWidth="1"/>
    <col min="5637" max="5637" width="8.5" style="55" customWidth="1"/>
    <col min="5638" max="5638" width="5.5" style="55" customWidth="1"/>
    <col min="5639" max="5639" width="9" style="55"/>
    <col min="5640" max="5640" width="7.5" style="55" customWidth="1"/>
    <col min="5641" max="5641" width="7.75" style="55" customWidth="1"/>
    <col min="5642" max="5642" width="13.75" style="55" customWidth="1"/>
    <col min="5643" max="5643" width="9" style="55"/>
    <col min="5644" max="5644" width="0" style="55" hidden="1" customWidth="1"/>
    <col min="5645" max="5645" width="16.25" style="55" customWidth="1"/>
    <col min="5646" max="5888" width="9" style="55"/>
    <col min="5889" max="5889" width="10.5" style="55" customWidth="1"/>
    <col min="5890" max="5890" width="10.125" style="55" customWidth="1"/>
    <col min="5891" max="5891" width="8.5" style="55" customWidth="1"/>
    <col min="5892" max="5892" width="24.125" style="55" customWidth="1"/>
    <col min="5893" max="5893" width="8.5" style="55" customWidth="1"/>
    <col min="5894" max="5894" width="5.5" style="55" customWidth="1"/>
    <col min="5895" max="5895" width="9" style="55"/>
    <col min="5896" max="5896" width="7.5" style="55" customWidth="1"/>
    <col min="5897" max="5897" width="7.75" style="55" customWidth="1"/>
    <col min="5898" max="5898" width="13.75" style="55" customWidth="1"/>
    <col min="5899" max="5899" width="9" style="55"/>
    <col min="5900" max="5900" width="0" style="55" hidden="1" customWidth="1"/>
    <col min="5901" max="5901" width="16.25" style="55" customWidth="1"/>
    <col min="5902" max="6144" width="9" style="55"/>
    <col min="6145" max="6145" width="10.5" style="55" customWidth="1"/>
    <col min="6146" max="6146" width="10.125" style="55" customWidth="1"/>
    <col min="6147" max="6147" width="8.5" style="55" customWidth="1"/>
    <col min="6148" max="6148" width="24.125" style="55" customWidth="1"/>
    <col min="6149" max="6149" width="8.5" style="55" customWidth="1"/>
    <col min="6150" max="6150" width="5.5" style="55" customWidth="1"/>
    <col min="6151" max="6151" width="9" style="55"/>
    <col min="6152" max="6152" width="7.5" style="55" customWidth="1"/>
    <col min="6153" max="6153" width="7.75" style="55" customWidth="1"/>
    <col min="6154" max="6154" width="13.75" style="55" customWidth="1"/>
    <col min="6155" max="6155" width="9" style="55"/>
    <col min="6156" max="6156" width="0" style="55" hidden="1" customWidth="1"/>
    <col min="6157" max="6157" width="16.25" style="55" customWidth="1"/>
    <col min="6158" max="6400" width="9" style="55"/>
    <col min="6401" max="6401" width="10.5" style="55" customWidth="1"/>
    <col min="6402" max="6402" width="10.125" style="55" customWidth="1"/>
    <col min="6403" max="6403" width="8.5" style="55" customWidth="1"/>
    <col min="6404" max="6404" width="24.125" style="55" customWidth="1"/>
    <col min="6405" max="6405" width="8.5" style="55" customWidth="1"/>
    <col min="6406" max="6406" width="5.5" style="55" customWidth="1"/>
    <col min="6407" max="6407" width="9" style="55"/>
    <col min="6408" max="6408" width="7.5" style="55" customWidth="1"/>
    <col min="6409" max="6409" width="7.75" style="55" customWidth="1"/>
    <col min="6410" max="6410" width="13.75" style="55" customWidth="1"/>
    <col min="6411" max="6411" width="9" style="55"/>
    <col min="6412" max="6412" width="0" style="55" hidden="1" customWidth="1"/>
    <col min="6413" max="6413" width="16.25" style="55" customWidth="1"/>
    <col min="6414" max="6656" width="9" style="55"/>
    <col min="6657" max="6657" width="10.5" style="55" customWidth="1"/>
    <col min="6658" max="6658" width="10.125" style="55" customWidth="1"/>
    <col min="6659" max="6659" width="8.5" style="55" customWidth="1"/>
    <col min="6660" max="6660" width="24.125" style="55" customWidth="1"/>
    <col min="6661" max="6661" width="8.5" style="55" customWidth="1"/>
    <col min="6662" max="6662" width="5.5" style="55" customWidth="1"/>
    <col min="6663" max="6663" width="9" style="55"/>
    <col min="6664" max="6664" width="7.5" style="55" customWidth="1"/>
    <col min="6665" max="6665" width="7.75" style="55" customWidth="1"/>
    <col min="6666" max="6666" width="13.75" style="55" customWidth="1"/>
    <col min="6667" max="6667" width="9" style="55"/>
    <col min="6668" max="6668" width="0" style="55" hidden="1" customWidth="1"/>
    <col min="6669" max="6669" width="16.25" style="55" customWidth="1"/>
    <col min="6670" max="6912" width="9" style="55"/>
    <col min="6913" max="6913" width="10.5" style="55" customWidth="1"/>
    <col min="6914" max="6914" width="10.125" style="55" customWidth="1"/>
    <col min="6915" max="6915" width="8.5" style="55" customWidth="1"/>
    <col min="6916" max="6916" width="24.125" style="55" customWidth="1"/>
    <col min="6917" max="6917" width="8.5" style="55" customWidth="1"/>
    <col min="6918" max="6918" width="5.5" style="55" customWidth="1"/>
    <col min="6919" max="6919" width="9" style="55"/>
    <col min="6920" max="6920" width="7.5" style="55" customWidth="1"/>
    <col min="6921" max="6921" width="7.75" style="55" customWidth="1"/>
    <col min="6922" max="6922" width="13.75" style="55" customWidth="1"/>
    <col min="6923" max="6923" width="9" style="55"/>
    <col min="6924" max="6924" width="0" style="55" hidden="1" customWidth="1"/>
    <col min="6925" max="6925" width="16.25" style="55" customWidth="1"/>
    <col min="6926" max="7168" width="9" style="55"/>
    <col min="7169" max="7169" width="10.5" style="55" customWidth="1"/>
    <col min="7170" max="7170" width="10.125" style="55" customWidth="1"/>
    <col min="7171" max="7171" width="8.5" style="55" customWidth="1"/>
    <col min="7172" max="7172" width="24.125" style="55" customWidth="1"/>
    <col min="7173" max="7173" width="8.5" style="55" customWidth="1"/>
    <col min="7174" max="7174" width="5.5" style="55" customWidth="1"/>
    <col min="7175" max="7175" width="9" style="55"/>
    <col min="7176" max="7176" width="7.5" style="55" customWidth="1"/>
    <col min="7177" max="7177" width="7.75" style="55" customWidth="1"/>
    <col min="7178" max="7178" width="13.75" style="55" customWidth="1"/>
    <col min="7179" max="7179" width="9" style="55"/>
    <col min="7180" max="7180" width="0" style="55" hidden="1" customWidth="1"/>
    <col min="7181" max="7181" width="16.25" style="55" customWidth="1"/>
    <col min="7182" max="7424" width="9" style="55"/>
    <col min="7425" max="7425" width="10.5" style="55" customWidth="1"/>
    <col min="7426" max="7426" width="10.125" style="55" customWidth="1"/>
    <col min="7427" max="7427" width="8.5" style="55" customWidth="1"/>
    <col min="7428" max="7428" width="24.125" style="55" customWidth="1"/>
    <col min="7429" max="7429" width="8.5" style="55" customWidth="1"/>
    <col min="7430" max="7430" width="5.5" style="55" customWidth="1"/>
    <col min="7431" max="7431" width="9" style="55"/>
    <col min="7432" max="7432" width="7.5" style="55" customWidth="1"/>
    <col min="7433" max="7433" width="7.75" style="55" customWidth="1"/>
    <col min="7434" max="7434" width="13.75" style="55" customWidth="1"/>
    <col min="7435" max="7435" width="9" style="55"/>
    <col min="7436" max="7436" width="0" style="55" hidden="1" customWidth="1"/>
    <col min="7437" max="7437" width="16.25" style="55" customWidth="1"/>
    <col min="7438" max="7680" width="9" style="55"/>
    <col min="7681" max="7681" width="10.5" style="55" customWidth="1"/>
    <col min="7682" max="7682" width="10.125" style="55" customWidth="1"/>
    <col min="7683" max="7683" width="8.5" style="55" customWidth="1"/>
    <col min="7684" max="7684" width="24.125" style="55" customWidth="1"/>
    <col min="7685" max="7685" width="8.5" style="55" customWidth="1"/>
    <col min="7686" max="7686" width="5.5" style="55" customWidth="1"/>
    <col min="7687" max="7687" width="9" style="55"/>
    <col min="7688" max="7688" width="7.5" style="55" customWidth="1"/>
    <col min="7689" max="7689" width="7.75" style="55" customWidth="1"/>
    <col min="7690" max="7690" width="13.75" style="55" customWidth="1"/>
    <col min="7691" max="7691" width="9" style="55"/>
    <col min="7692" max="7692" width="0" style="55" hidden="1" customWidth="1"/>
    <col min="7693" max="7693" width="16.25" style="55" customWidth="1"/>
    <col min="7694" max="7936" width="9" style="55"/>
    <col min="7937" max="7937" width="10.5" style="55" customWidth="1"/>
    <col min="7938" max="7938" width="10.125" style="55" customWidth="1"/>
    <col min="7939" max="7939" width="8.5" style="55" customWidth="1"/>
    <col min="7940" max="7940" width="24.125" style="55" customWidth="1"/>
    <col min="7941" max="7941" width="8.5" style="55" customWidth="1"/>
    <col min="7942" max="7942" width="5.5" style="55" customWidth="1"/>
    <col min="7943" max="7943" width="9" style="55"/>
    <col min="7944" max="7944" width="7.5" style="55" customWidth="1"/>
    <col min="7945" max="7945" width="7.75" style="55" customWidth="1"/>
    <col min="7946" max="7946" width="13.75" style="55" customWidth="1"/>
    <col min="7947" max="7947" width="9" style="55"/>
    <col min="7948" max="7948" width="0" style="55" hidden="1" customWidth="1"/>
    <col min="7949" max="7949" width="16.25" style="55" customWidth="1"/>
    <col min="7950" max="8192" width="9" style="55"/>
    <col min="8193" max="8193" width="10.5" style="55" customWidth="1"/>
    <col min="8194" max="8194" width="10.125" style="55" customWidth="1"/>
    <col min="8195" max="8195" width="8.5" style="55" customWidth="1"/>
    <col min="8196" max="8196" width="24.125" style="55" customWidth="1"/>
    <col min="8197" max="8197" width="8.5" style="55" customWidth="1"/>
    <col min="8198" max="8198" width="5.5" style="55" customWidth="1"/>
    <col min="8199" max="8199" width="9" style="55"/>
    <col min="8200" max="8200" width="7.5" style="55" customWidth="1"/>
    <col min="8201" max="8201" width="7.75" style="55" customWidth="1"/>
    <col min="8202" max="8202" width="13.75" style="55" customWidth="1"/>
    <col min="8203" max="8203" width="9" style="55"/>
    <col min="8204" max="8204" width="0" style="55" hidden="1" customWidth="1"/>
    <col min="8205" max="8205" width="16.25" style="55" customWidth="1"/>
    <col min="8206" max="8448" width="9" style="55"/>
    <col min="8449" max="8449" width="10.5" style="55" customWidth="1"/>
    <col min="8450" max="8450" width="10.125" style="55" customWidth="1"/>
    <col min="8451" max="8451" width="8.5" style="55" customWidth="1"/>
    <col min="8452" max="8452" width="24.125" style="55" customWidth="1"/>
    <col min="8453" max="8453" width="8.5" style="55" customWidth="1"/>
    <col min="8454" max="8454" width="5.5" style="55" customWidth="1"/>
    <col min="8455" max="8455" width="9" style="55"/>
    <col min="8456" max="8456" width="7.5" style="55" customWidth="1"/>
    <col min="8457" max="8457" width="7.75" style="55" customWidth="1"/>
    <col min="8458" max="8458" width="13.75" style="55" customWidth="1"/>
    <col min="8459" max="8459" width="9" style="55"/>
    <col min="8460" max="8460" width="0" style="55" hidden="1" customWidth="1"/>
    <col min="8461" max="8461" width="16.25" style="55" customWidth="1"/>
    <col min="8462" max="8704" width="9" style="55"/>
    <col min="8705" max="8705" width="10.5" style="55" customWidth="1"/>
    <col min="8706" max="8706" width="10.125" style="55" customWidth="1"/>
    <col min="8707" max="8707" width="8.5" style="55" customWidth="1"/>
    <col min="8708" max="8708" width="24.125" style="55" customWidth="1"/>
    <col min="8709" max="8709" width="8.5" style="55" customWidth="1"/>
    <col min="8710" max="8710" width="5.5" style="55" customWidth="1"/>
    <col min="8711" max="8711" width="9" style="55"/>
    <col min="8712" max="8712" width="7.5" style="55" customWidth="1"/>
    <col min="8713" max="8713" width="7.75" style="55" customWidth="1"/>
    <col min="8714" max="8714" width="13.75" style="55" customWidth="1"/>
    <col min="8715" max="8715" width="9" style="55"/>
    <col min="8716" max="8716" width="0" style="55" hidden="1" customWidth="1"/>
    <col min="8717" max="8717" width="16.25" style="55" customWidth="1"/>
    <col min="8718" max="8960" width="9" style="55"/>
    <col min="8961" max="8961" width="10.5" style="55" customWidth="1"/>
    <col min="8962" max="8962" width="10.125" style="55" customWidth="1"/>
    <col min="8963" max="8963" width="8.5" style="55" customWidth="1"/>
    <col min="8964" max="8964" width="24.125" style="55" customWidth="1"/>
    <col min="8965" max="8965" width="8.5" style="55" customWidth="1"/>
    <col min="8966" max="8966" width="5.5" style="55" customWidth="1"/>
    <col min="8967" max="8967" width="9" style="55"/>
    <col min="8968" max="8968" width="7.5" style="55" customWidth="1"/>
    <col min="8969" max="8969" width="7.75" style="55" customWidth="1"/>
    <col min="8970" max="8970" width="13.75" style="55" customWidth="1"/>
    <col min="8971" max="8971" width="9" style="55"/>
    <col min="8972" max="8972" width="0" style="55" hidden="1" customWidth="1"/>
    <col min="8973" max="8973" width="16.25" style="55" customWidth="1"/>
    <col min="8974" max="9216" width="9" style="55"/>
    <col min="9217" max="9217" width="10.5" style="55" customWidth="1"/>
    <col min="9218" max="9218" width="10.125" style="55" customWidth="1"/>
    <col min="9219" max="9219" width="8.5" style="55" customWidth="1"/>
    <col min="9220" max="9220" width="24.125" style="55" customWidth="1"/>
    <col min="9221" max="9221" width="8.5" style="55" customWidth="1"/>
    <col min="9222" max="9222" width="5.5" style="55" customWidth="1"/>
    <col min="9223" max="9223" width="9" style="55"/>
    <col min="9224" max="9224" width="7.5" style="55" customWidth="1"/>
    <col min="9225" max="9225" width="7.75" style="55" customWidth="1"/>
    <col min="9226" max="9226" width="13.75" style="55" customWidth="1"/>
    <col min="9227" max="9227" width="9" style="55"/>
    <col min="9228" max="9228" width="0" style="55" hidden="1" customWidth="1"/>
    <col min="9229" max="9229" width="16.25" style="55" customWidth="1"/>
    <col min="9230" max="9472" width="9" style="55"/>
    <col min="9473" max="9473" width="10.5" style="55" customWidth="1"/>
    <col min="9474" max="9474" width="10.125" style="55" customWidth="1"/>
    <col min="9475" max="9475" width="8.5" style="55" customWidth="1"/>
    <col min="9476" max="9476" width="24.125" style="55" customWidth="1"/>
    <col min="9477" max="9477" width="8.5" style="55" customWidth="1"/>
    <col min="9478" max="9478" width="5.5" style="55" customWidth="1"/>
    <col min="9479" max="9479" width="9" style="55"/>
    <col min="9480" max="9480" width="7.5" style="55" customWidth="1"/>
    <col min="9481" max="9481" width="7.75" style="55" customWidth="1"/>
    <col min="9482" max="9482" width="13.75" style="55" customWidth="1"/>
    <col min="9483" max="9483" width="9" style="55"/>
    <col min="9484" max="9484" width="0" style="55" hidden="1" customWidth="1"/>
    <col min="9485" max="9485" width="16.25" style="55" customWidth="1"/>
    <col min="9486" max="9728" width="9" style="55"/>
    <col min="9729" max="9729" width="10.5" style="55" customWidth="1"/>
    <col min="9730" max="9730" width="10.125" style="55" customWidth="1"/>
    <col min="9731" max="9731" width="8.5" style="55" customWidth="1"/>
    <col min="9732" max="9732" width="24.125" style="55" customWidth="1"/>
    <col min="9733" max="9733" width="8.5" style="55" customWidth="1"/>
    <col min="9734" max="9734" width="5.5" style="55" customWidth="1"/>
    <col min="9735" max="9735" width="9" style="55"/>
    <col min="9736" max="9736" width="7.5" style="55" customWidth="1"/>
    <col min="9737" max="9737" width="7.75" style="55" customWidth="1"/>
    <col min="9738" max="9738" width="13.75" style="55" customWidth="1"/>
    <col min="9739" max="9739" width="9" style="55"/>
    <col min="9740" max="9740" width="0" style="55" hidden="1" customWidth="1"/>
    <col min="9741" max="9741" width="16.25" style="55" customWidth="1"/>
    <col min="9742" max="9984" width="9" style="55"/>
    <col min="9985" max="9985" width="10.5" style="55" customWidth="1"/>
    <col min="9986" max="9986" width="10.125" style="55" customWidth="1"/>
    <col min="9987" max="9987" width="8.5" style="55" customWidth="1"/>
    <col min="9988" max="9988" width="24.125" style="55" customWidth="1"/>
    <col min="9989" max="9989" width="8.5" style="55" customWidth="1"/>
    <col min="9990" max="9990" width="5.5" style="55" customWidth="1"/>
    <col min="9991" max="9991" width="9" style="55"/>
    <col min="9992" max="9992" width="7.5" style="55" customWidth="1"/>
    <col min="9993" max="9993" width="7.75" style="55" customWidth="1"/>
    <col min="9994" max="9994" width="13.75" style="55" customWidth="1"/>
    <col min="9995" max="9995" width="9" style="55"/>
    <col min="9996" max="9996" width="0" style="55" hidden="1" customWidth="1"/>
    <col min="9997" max="9997" width="16.25" style="55" customWidth="1"/>
    <col min="9998" max="10240" width="9" style="55"/>
    <col min="10241" max="10241" width="10.5" style="55" customWidth="1"/>
    <col min="10242" max="10242" width="10.125" style="55" customWidth="1"/>
    <col min="10243" max="10243" width="8.5" style="55" customWidth="1"/>
    <col min="10244" max="10244" width="24.125" style="55" customWidth="1"/>
    <col min="10245" max="10245" width="8.5" style="55" customWidth="1"/>
    <col min="10246" max="10246" width="5.5" style="55" customWidth="1"/>
    <col min="10247" max="10247" width="9" style="55"/>
    <col min="10248" max="10248" width="7.5" style="55" customWidth="1"/>
    <col min="10249" max="10249" width="7.75" style="55" customWidth="1"/>
    <col min="10250" max="10250" width="13.75" style="55" customWidth="1"/>
    <col min="10251" max="10251" width="9" style="55"/>
    <col min="10252" max="10252" width="0" style="55" hidden="1" customWidth="1"/>
    <col min="10253" max="10253" width="16.25" style="55" customWidth="1"/>
    <col min="10254" max="10496" width="9" style="55"/>
    <col min="10497" max="10497" width="10.5" style="55" customWidth="1"/>
    <col min="10498" max="10498" width="10.125" style="55" customWidth="1"/>
    <col min="10499" max="10499" width="8.5" style="55" customWidth="1"/>
    <col min="10500" max="10500" width="24.125" style="55" customWidth="1"/>
    <col min="10501" max="10501" width="8.5" style="55" customWidth="1"/>
    <col min="10502" max="10502" width="5.5" style="55" customWidth="1"/>
    <col min="10503" max="10503" width="9" style="55"/>
    <col min="10504" max="10504" width="7.5" style="55" customWidth="1"/>
    <col min="10505" max="10505" width="7.75" style="55" customWidth="1"/>
    <col min="10506" max="10506" width="13.75" style="55" customWidth="1"/>
    <col min="10507" max="10507" width="9" style="55"/>
    <col min="10508" max="10508" width="0" style="55" hidden="1" customWidth="1"/>
    <col min="10509" max="10509" width="16.25" style="55" customWidth="1"/>
    <col min="10510" max="10752" width="9" style="55"/>
    <col min="10753" max="10753" width="10.5" style="55" customWidth="1"/>
    <col min="10754" max="10754" width="10.125" style="55" customWidth="1"/>
    <col min="10755" max="10755" width="8.5" style="55" customWidth="1"/>
    <col min="10756" max="10756" width="24.125" style="55" customWidth="1"/>
    <col min="10757" max="10757" width="8.5" style="55" customWidth="1"/>
    <col min="10758" max="10758" width="5.5" style="55" customWidth="1"/>
    <col min="10759" max="10759" width="9" style="55"/>
    <col min="10760" max="10760" width="7.5" style="55" customWidth="1"/>
    <col min="10761" max="10761" width="7.75" style="55" customWidth="1"/>
    <col min="10762" max="10762" width="13.75" style="55" customWidth="1"/>
    <col min="10763" max="10763" width="9" style="55"/>
    <col min="10764" max="10764" width="0" style="55" hidden="1" customWidth="1"/>
    <col min="10765" max="10765" width="16.25" style="55" customWidth="1"/>
    <col min="10766" max="11008" width="9" style="55"/>
    <col min="11009" max="11009" width="10.5" style="55" customWidth="1"/>
    <col min="11010" max="11010" width="10.125" style="55" customWidth="1"/>
    <col min="11011" max="11011" width="8.5" style="55" customWidth="1"/>
    <col min="11012" max="11012" width="24.125" style="55" customWidth="1"/>
    <col min="11013" max="11013" width="8.5" style="55" customWidth="1"/>
    <col min="11014" max="11014" width="5.5" style="55" customWidth="1"/>
    <col min="11015" max="11015" width="9" style="55"/>
    <col min="11016" max="11016" width="7.5" style="55" customWidth="1"/>
    <col min="11017" max="11017" width="7.75" style="55" customWidth="1"/>
    <col min="11018" max="11018" width="13.75" style="55" customWidth="1"/>
    <col min="11019" max="11019" width="9" style="55"/>
    <col min="11020" max="11020" width="0" style="55" hidden="1" customWidth="1"/>
    <col min="11021" max="11021" width="16.25" style="55" customWidth="1"/>
    <col min="11022" max="11264" width="9" style="55"/>
    <col min="11265" max="11265" width="10.5" style="55" customWidth="1"/>
    <col min="11266" max="11266" width="10.125" style="55" customWidth="1"/>
    <col min="11267" max="11267" width="8.5" style="55" customWidth="1"/>
    <col min="11268" max="11268" width="24.125" style="55" customWidth="1"/>
    <col min="11269" max="11269" width="8.5" style="55" customWidth="1"/>
    <col min="11270" max="11270" width="5.5" style="55" customWidth="1"/>
    <col min="11271" max="11271" width="9" style="55"/>
    <col min="11272" max="11272" width="7.5" style="55" customWidth="1"/>
    <col min="11273" max="11273" width="7.75" style="55" customWidth="1"/>
    <col min="11274" max="11274" width="13.75" style="55" customWidth="1"/>
    <col min="11275" max="11275" width="9" style="55"/>
    <col min="11276" max="11276" width="0" style="55" hidden="1" customWidth="1"/>
    <col min="11277" max="11277" width="16.25" style="55" customWidth="1"/>
    <col min="11278" max="11520" width="9" style="55"/>
    <col min="11521" max="11521" width="10.5" style="55" customWidth="1"/>
    <col min="11522" max="11522" width="10.125" style="55" customWidth="1"/>
    <col min="11523" max="11523" width="8.5" style="55" customWidth="1"/>
    <col min="11524" max="11524" width="24.125" style="55" customWidth="1"/>
    <col min="11525" max="11525" width="8.5" style="55" customWidth="1"/>
    <col min="11526" max="11526" width="5.5" style="55" customWidth="1"/>
    <col min="11527" max="11527" width="9" style="55"/>
    <col min="11528" max="11528" width="7.5" style="55" customWidth="1"/>
    <col min="11529" max="11529" width="7.75" style="55" customWidth="1"/>
    <col min="11530" max="11530" width="13.75" style="55" customWidth="1"/>
    <col min="11531" max="11531" width="9" style="55"/>
    <col min="11532" max="11532" width="0" style="55" hidden="1" customWidth="1"/>
    <col min="11533" max="11533" width="16.25" style="55" customWidth="1"/>
    <col min="11534" max="11776" width="9" style="55"/>
    <col min="11777" max="11777" width="10.5" style="55" customWidth="1"/>
    <col min="11778" max="11778" width="10.125" style="55" customWidth="1"/>
    <col min="11779" max="11779" width="8.5" style="55" customWidth="1"/>
    <col min="11780" max="11780" width="24.125" style="55" customWidth="1"/>
    <col min="11781" max="11781" width="8.5" style="55" customWidth="1"/>
    <col min="11782" max="11782" width="5.5" style="55" customWidth="1"/>
    <col min="11783" max="11783" width="9" style="55"/>
    <col min="11784" max="11784" width="7.5" style="55" customWidth="1"/>
    <col min="11785" max="11785" width="7.75" style="55" customWidth="1"/>
    <col min="11786" max="11786" width="13.75" style="55" customWidth="1"/>
    <col min="11787" max="11787" width="9" style="55"/>
    <col min="11788" max="11788" width="0" style="55" hidden="1" customWidth="1"/>
    <col min="11789" max="11789" width="16.25" style="55" customWidth="1"/>
    <col min="11790" max="12032" width="9" style="55"/>
    <col min="12033" max="12033" width="10.5" style="55" customWidth="1"/>
    <col min="12034" max="12034" width="10.125" style="55" customWidth="1"/>
    <col min="12035" max="12035" width="8.5" style="55" customWidth="1"/>
    <col min="12036" max="12036" width="24.125" style="55" customWidth="1"/>
    <col min="12037" max="12037" width="8.5" style="55" customWidth="1"/>
    <col min="12038" max="12038" width="5.5" style="55" customWidth="1"/>
    <col min="12039" max="12039" width="9" style="55"/>
    <col min="12040" max="12040" width="7.5" style="55" customWidth="1"/>
    <col min="12041" max="12041" width="7.75" style="55" customWidth="1"/>
    <col min="12042" max="12042" width="13.75" style="55" customWidth="1"/>
    <col min="12043" max="12043" width="9" style="55"/>
    <col min="12044" max="12044" width="0" style="55" hidden="1" customWidth="1"/>
    <col min="12045" max="12045" width="16.25" style="55" customWidth="1"/>
    <col min="12046" max="12288" width="9" style="55"/>
    <col min="12289" max="12289" width="10.5" style="55" customWidth="1"/>
    <col min="12290" max="12290" width="10.125" style="55" customWidth="1"/>
    <col min="12291" max="12291" width="8.5" style="55" customWidth="1"/>
    <col min="12292" max="12292" width="24.125" style="55" customWidth="1"/>
    <col min="12293" max="12293" width="8.5" style="55" customWidth="1"/>
    <col min="12294" max="12294" width="5.5" style="55" customWidth="1"/>
    <col min="12295" max="12295" width="9" style="55"/>
    <col min="12296" max="12296" width="7.5" style="55" customWidth="1"/>
    <col min="12297" max="12297" width="7.75" style="55" customWidth="1"/>
    <col min="12298" max="12298" width="13.75" style="55" customWidth="1"/>
    <col min="12299" max="12299" width="9" style="55"/>
    <col min="12300" max="12300" width="0" style="55" hidden="1" customWidth="1"/>
    <col min="12301" max="12301" width="16.25" style="55" customWidth="1"/>
    <col min="12302" max="12544" width="9" style="55"/>
    <col min="12545" max="12545" width="10.5" style="55" customWidth="1"/>
    <col min="12546" max="12546" width="10.125" style="55" customWidth="1"/>
    <col min="12547" max="12547" width="8.5" style="55" customWidth="1"/>
    <col min="12548" max="12548" width="24.125" style="55" customWidth="1"/>
    <col min="12549" max="12549" width="8.5" style="55" customWidth="1"/>
    <col min="12550" max="12550" width="5.5" style="55" customWidth="1"/>
    <col min="12551" max="12551" width="9" style="55"/>
    <col min="12552" max="12552" width="7.5" style="55" customWidth="1"/>
    <col min="12553" max="12553" width="7.75" style="55" customWidth="1"/>
    <col min="12554" max="12554" width="13.75" style="55" customWidth="1"/>
    <col min="12555" max="12555" width="9" style="55"/>
    <col min="12556" max="12556" width="0" style="55" hidden="1" customWidth="1"/>
    <col min="12557" max="12557" width="16.25" style="55" customWidth="1"/>
    <col min="12558" max="12800" width="9" style="55"/>
    <col min="12801" max="12801" width="10.5" style="55" customWidth="1"/>
    <col min="12802" max="12802" width="10.125" style="55" customWidth="1"/>
    <col min="12803" max="12803" width="8.5" style="55" customWidth="1"/>
    <col min="12804" max="12804" width="24.125" style="55" customWidth="1"/>
    <col min="12805" max="12805" width="8.5" style="55" customWidth="1"/>
    <col min="12806" max="12806" width="5.5" style="55" customWidth="1"/>
    <col min="12807" max="12807" width="9" style="55"/>
    <col min="12808" max="12808" width="7.5" style="55" customWidth="1"/>
    <col min="12809" max="12809" width="7.75" style="55" customWidth="1"/>
    <col min="12810" max="12810" width="13.75" style="55" customWidth="1"/>
    <col min="12811" max="12811" width="9" style="55"/>
    <col min="12812" max="12812" width="0" style="55" hidden="1" customWidth="1"/>
    <col min="12813" max="12813" width="16.25" style="55" customWidth="1"/>
    <col min="12814" max="13056" width="9" style="55"/>
    <col min="13057" max="13057" width="10.5" style="55" customWidth="1"/>
    <col min="13058" max="13058" width="10.125" style="55" customWidth="1"/>
    <col min="13059" max="13059" width="8.5" style="55" customWidth="1"/>
    <col min="13060" max="13060" width="24.125" style="55" customWidth="1"/>
    <col min="13061" max="13061" width="8.5" style="55" customWidth="1"/>
    <col min="13062" max="13062" width="5.5" style="55" customWidth="1"/>
    <col min="13063" max="13063" width="9" style="55"/>
    <col min="13064" max="13064" width="7.5" style="55" customWidth="1"/>
    <col min="13065" max="13065" width="7.75" style="55" customWidth="1"/>
    <col min="13066" max="13066" width="13.75" style="55" customWidth="1"/>
    <col min="13067" max="13067" width="9" style="55"/>
    <col min="13068" max="13068" width="0" style="55" hidden="1" customWidth="1"/>
    <col min="13069" max="13069" width="16.25" style="55" customWidth="1"/>
    <col min="13070" max="13312" width="9" style="55"/>
    <col min="13313" max="13313" width="10.5" style="55" customWidth="1"/>
    <col min="13314" max="13314" width="10.125" style="55" customWidth="1"/>
    <col min="13315" max="13315" width="8.5" style="55" customWidth="1"/>
    <col min="13316" max="13316" width="24.125" style="55" customWidth="1"/>
    <col min="13317" max="13317" width="8.5" style="55" customWidth="1"/>
    <col min="13318" max="13318" width="5.5" style="55" customWidth="1"/>
    <col min="13319" max="13319" width="9" style="55"/>
    <col min="13320" max="13320" width="7.5" style="55" customWidth="1"/>
    <col min="13321" max="13321" width="7.75" style="55" customWidth="1"/>
    <col min="13322" max="13322" width="13.75" style="55" customWidth="1"/>
    <col min="13323" max="13323" width="9" style="55"/>
    <col min="13324" max="13324" width="0" style="55" hidden="1" customWidth="1"/>
    <col min="13325" max="13325" width="16.25" style="55" customWidth="1"/>
    <col min="13326" max="13568" width="9" style="55"/>
    <col min="13569" max="13569" width="10.5" style="55" customWidth="1"/>
    <col min="13570" max="13570" width="10.125" style="55" customWidth="1"/>
    <col min="13571" max="13571" width="8.5" style="55" customWidth="1"/>
    <col min="13572" max="13572" width="24.125" style="55" customWidth="1"/>
    <col min="13573" max="13573" width="8.5" style="55" customWidth="1"/>
    <col min="13574" max="13574" width="5.5" style="55" customWidth="1"/>
    <col min="13575" max="13575" width="9" style="55"/>
    <col min="13576" max="13576" width="7.5" style="55" customWidth="1"/>
    <col min="13577" max="13577" width="7.75" style="55" customWidth="1"/>
    <col min="13578" max="13578" width="13.75" style="55" customWidth="1"/>
    <col min="13579" max="13579" width="9" style="55"/>
    <col min="13580" max="13580" width="0" style="55" hidden="1" customWidth="1"/>
    <col min="13581" max="13581" width="16.25" style="55" customWidth="1"/>
    <col min="13582" max="13824" width="9" style="55"/>
    <col min="13825" max="13825" width="10.5" style="55" customWidth="1"/>
    <col min="13826" max="13826" width="10.125" style="55" customWidth="1"/>
    <col min="13827" max="13827" width="8.5" style="55" customWidth="1"/>
    <col min="13828" max="13828" width="24.125" style="55" customWidth="1"/>
    <col min="13829" max="13829" width="8.5" style="55" customWidth="1"/>
    <col min="13830" max="13830" width="5.5" style="55" customWidth="1"/>
    <col min="13831" max="13831" width="9" style="55"/>
    <col min="13832" max="13832" width="7.5" style="55" customWidth="1"/>
    <col min="13833" max="13833" width="7.75" style="55" customWidth="1"/>
    <col min="13834" max="13834" width="13.75" style="55" customWidth="1"/>
    <col min="13835" max="13835" width="9" style="55"/>
    <col min="13836" max="13836" width="0" style="55" hidden="1" customWidth="1"/>
    <col min="13837" max="13837" width="16.25" style="55" customWidth="1"/>
    <col min="13838" max="14080" width="9" style="55"/>
    <col min="14081" max="14081" width="10.5" style="55" customWidth="1"/>
    <col min="14082" max="14082" width="10.125" style="55" customWidth="1"/>
    <col min="14083" max="14083" width="8.5" style="55" customWidth="1"/>
    <col min="14084" max="14084" width="24.125" style="55" customWidth="1"/>
    <col min="14085" max="14085" width="8.5" style="55" customWidth="1"/>
    <col min="14086" max="14086" width="5.5" style="55" customWidth="1"/>
    <col min="14087" max="14087" width="9" style="55"/>
    <col min="14088" max="14088" width="7.5" style="55" customWidth="1"/>
    <col min="14089" max="14089" width="7.75" style="55" customWidth="1"/>
    <col min="14090" max="14090" width="13.75" style="55" customWidth="1"/>
    <col min="14091" max="14091" width="9" style="55"/>
    <col min="14092" max="14092" width="0" style="55" hidden="1" customWidth="1"/>
    <col min="14093" max="14093" width="16.25" style="55" customWidth="1"/>
    <col min="14094" max="14336" width="9" style="55"/>
    <col min="14337" max="14337" width="10.5" style="55" customWidth="1"/>
    <col min="14338" max="14338" width="10.125" style="55" customWidth="1"/>
    <col min="14339" max="14339" width="8.5" style="55" customWidth="1"/>
    <col min="14340" max="14340" width="24.125" style="55" customWidth="1"/>
    <col min="14341" max="14341" width="8.5" style="55" customWidth="1"/>
    <col min="14342" max="14342" width="5.5" style="55" customWidth="1"/>
    <col min="14343" max="14343" width="9" style="55"/>
    <col min="14344" max="14344" width="7.5" style="55" customWidth="1"/>
    <col min="14345" max="14345" width="7.75" style="55" customWidth="1"/>
    <col min="14346" max="14346" width="13.75" style="55" customWidth="1"/>
    <col min="14347" max="14347" width="9" style="55"/>
    <col min="14348" max="14348" width="0" style="55" hidden="1" customWidth="1"/>
    <col min="14349" max="14349" width="16.25" style="55" customWidth="1"/>
    <col min="14350" max="14592" width="9" style="55"/>
    <col min="14593" max="14593" width="10.5" style="55" customWidth="1"/>
    <col min="14594" max="14594" width="10.125" style="55" customWidth="1"/>
    <col min="14595" max="14595" width="8.5" style="55" customWidth="1"/>
    <col min="14596" max="14596" width="24.125" style="55" customWidth="1"/>
    <col min="14597" max="14597" width="8.5" style="55" customWidth="1"/>
    <col min="14598" max="14598" width="5.5" style="55" customWidth="1"/>
    <col min="14599" max="14599" width="9" style="55"/>
    <col min="14600" max="14600" width="7.5" style="55" customWidth="1"/>
    <col min="14601" max="14601" width="7.75" style="55" customWidth="1"/>
    <col min="14602" max="14602" width="13.75" style="55" customWidth="1"/>
    <col min="14603" max="14603" width="9" style="55"/>
    <col min="14604" max="14604" width="0" style="55" hidden="1" customWidth="1"/>
    <col min="14605" max="14605" width="16.25" style="55" customWidth="1"/>
    <col min="14606" max="14848" width="9" style="55"/>
    <col min="14849" max="14849" width="10.5" style="55" customWidth="1"/>
    <col min="14850" max="14850" width="10.125" style="55" customWidth="1"/>
    <col min="14851" max="14851" width="8.5" style="55" customWidth="1"/>
    <col min="14852" max="14852" width="24.125" style="55" customWidth="1"/>
    <col min="14853" max="14853" width="8.5" style="55" customWidth="1"/>
    <col min="14854" max="14854" width="5.5" style="55" customWidth="1"/>
    <col min="14855" max="14855" width="9" style="55"/>
    <col min="14856" max="14856" width="7.5" style="55" customWidth="1"/>
    <col min="14857" max="14857" width="7.75" style="55" customWidth="1"/>
    <col min="14858" max="14858" width="13.75" style="55" customWidth="1"/>
    <col min="14859" max="14859" width="9" style="55"/>
    <col min="14860" max="14860" width="0" style="55" hidden="1" customWidth="1"/>
    <col min="14861" max="14861" width="16.25" style="55" customWidth="1"/>
    <col min="14862" max="15104" width="9" style="55"/>
    <col min="15105" max="15105" width="10.5" style="55" customWidth="1"/>
    <col min="15106" max="15106" width="10.125" style="55" customWidth="1"/>
    <col min="15107" max="15107" width="8.5" style="55" customWidth="1"/>
    <col min="15108" max="15108" width="24.125" style="55" customWidth="1"/>
    <col min="15109" max="15109" width="8.5" style="55" customWidth="1"/>
    <col min="15110" max="15110" width="5.5" style="55" customWidth="1"/>
    <col min="15111" max="15111" width="9" style="55"/>
    <col min="15112" max="15112" width="7.5" style="55" customWidth="1"/>
    <col min="15113" max="15113" width="7.75" style="55" customWidth="1"/>
    <col min="15114" max="15114" width="13.75" style="55" customWidth="1"/>
    <col min="15115" max="15115" width="9" style="55"/>
    <col min="15116" max="15116" width="0" style="55" hidden="1" customWidth="1"/>
    <col min="15117" max="15117" width="16.25" style="55" customWidth="1"/>
    <col min="15118" max="15360" width="9" style="55"/>
    <col min="15361" max="15361" width="10.5" style="55" customWidth="1"/>
    <col min="15362" max="15362" width="10.125" style="55" customWidth="1"/>
    <col min="15363" max="15363" width="8.5" style="55" customWidth="1"/>
    <col min="15364" max="15364" width="24.125" style="55" customWidth="1"/>
    <col min="15365" max="15365" width="8.5" style="55" customWidth="1"/>
    <col min="15366" max="15366" width="5.5" style="55" customWidth="1"/>
    <col min="15367" max="15367" width="9" style="55"/>
    <col min="15368" max="15368" width="7.5" style="55" customWidth="1"/>
    <col min="15369" max="15369" width="7.75" style="55" customWidth="1"/>
    <col min="15370" max="15370" width="13.75" style="55" customWidth="1"/>
    <col min="15371" max="15371" width="9" style="55"/>
    <col min="15372" max="15372" width="0" style="55" hidden="1" customWidth="1"/>
    <col min="15373" max="15373" width="16.25" style="55" customWidth="1"/>
    <col min="15374" max="15616" width="9" style="55"/>
    <col min="15617" max="15617" width="10.5" style="55" customWidth="1"/>
    <col min="15618" max="15618" width="10.125" style="55" customWidth="1"/>
    <col min="15619" max="15619" width="8.5" style="55" customWidth="1"/>
    <col min="15620" max="15620" width="24.125" style="55" customWidth="1"/>
    <col min="15621" max="15621" width="8.5" style="55" customWidth="1"/>
    <col min="15622" max="15622" width="5.5" style="55" customWidth="1"/>
    <col min="15623" max="15623" width="9" style="55"/>
    <col min="15624" max="15624" width="7.5" style="55" customWidth="1"/>
    <col min="15625" max="15625" width="7.75" style="55" customWidth="1"/>
    <col min="15626" max="15626" width="13.75" style="55" customWidth="1"/>
    <col min="15627" max="15627" width="9" style="55"/>
    <col min="15628" max="15628" width="0" style="55" hidden="1" customWidth="1"/>
    <col min="15629" max="15629" width="16.25" style="55" customWidth="1"/>
    <col min="15630" max="15872" width="9" style="55"/>
    <col min="15873" max="15873" width="10.5" style="55" customWidth="1"/>
    <col min="15874" max="15874" width="10.125" style="55" customWidth="1"/>
    <col min="15875" max="15875" width="8.5" style="55" customWidth="1"/>
    <col min="15876" max="15876" width="24.125" style="55" customWidth="1"/>
    <col min="15877" max="15877" width="8.5" style="55" customWidth="1"/>
    <col min="15878" max="15878" width="5.5" style="55" customWidth="1"/>
    <col min="15879" max="15879" width="9" style="55"/>
    <col min="15880" max="15880" width="7.5" style="55" customWidth="1"/>
    <col min="15881" max="15881" width="7.75" style="55" customWidth="1"/>
    <col min="15882" max="15882" width="13.75" style="55" customWidth="1"/>
    <col min="15883" max="15883" width="9" style="55"/>
    <col min="15884" max="15884" width="0" style="55" hidden="1" customWidth="1"/>
    <col min="15885" max="15885" width="16.25" style="55" customWidth="1"/>
    <col min="15886" max="16128" width="9" style="55"/>
    <col min="16129" max="16129" width="10.5" style="55" customWidth="1"/>
    <col min="16130" max="16130" width="10.125" style="55" customWidth="1"/>
    <col min="16131" max="16131" width="8.5" style="55" customWidth="1"/>
    <col min="16132" max="16132" width="24.125" style="55" customWidth="1"/>
    <col min="16133" max="16133" width="8.5" style="55" customWidth="1"/>
    <col min="16134" max="16134" width="5.5" style="55" customWidth="1"/>
    <col min="16135" max="16135" width="9" style="55"/>
    <col min="16136" max="16136" width="7.5" style="55" customWidth="1"/>
    <col min="16137" max="16137" width="7.75" style="55" customWidth="1"/>
    <col min="16138" max="16138" width="13.75" style="55" customWidth="1"/>
    <col min="16139" max="16139" width="9" style="55"/>
    <col min="16140" max="16140" width="0" style="55" hidden="1" customWidth="1"/>
    <col min="16141" max="16141" width="16.25" style="55" customWidth="1"/>
    <col min="16142" max="16384" width="9" style="55"/>
  </cols>
  <sheetData>
    <row r="1" spans="1:17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53"/>
      <c r="M1" s="77" t="s">
        <v>2656</v>
      </c>
    </row>
    <row r="2" spans="1:17" ht="16.5" x14ac:dyDescent="0.15">
      <c r="A2" s="1"/>
      <c r="B2" s="1"/>
      <c r="C2" s="1"/>
      <c r="D2" s="1"/>
      <c r="E2" s="1"/>
      <c r="F2" s="1"/>
      <c r="G2" s="1"/>
      <c r="H2" s="88" t="s">
        <v>42</v>
      </c>
      <c r="I2" s="585" t="s">
        <v>378</v>
      </c>
      <c r="J2" s="585"/>
      <c r="K2" s="1"/>
      <c r="L2" s="53"/>
      <c r="M2" s="77" t="s">
        <v>2657</v>
      </c>
    </row>
    <row r="3" spans="1:17" ht="21.75" thickBot="1" x14ac:dyDescent="0.2">
      <c r="A3" s="586" t="s">
        <v>2656</v>
      </c>
      <c r="B3" s="586"/>
      <c r="C3" s="586"/>
      <c r="D3" s="586"/>
      <c r="E3" s="586"/>
      <c r="F3" s="586"/>
      <c r="G3" s="586"/>
      <c r="H3" s="586"/>
      <c r="I3" s="586"/>
      <c r="J3" s="586"/>
      <c r="K3" s="1"/>
      <c r="L3" s="53" t="s">
        <v>12</v>
      </c>
      <c r="M3" s="77"/>
    </row>
    <row r="4" spans="1:17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53"/>
      <c r="M4" s="392" t="s">
        <v>2370</v>
      </c>
      <c r="N4" s="466" t="s">
        <v>2371</v>
      </c>
    </row>
    <row r="5" spans="1:17" ht="27.75" customHeight="1" x14ac:dyDescent="0.2">
      <c r="A5" s="587" t="s">
        <v>378</v>
      </c>
      <c r="B5" s="587"/>
      <c r="C5" s="587"/>
      <c r="D5" s="587"/>
      <c r="E5" s="587"/>
      <c r="F5" s="56"/>
      <c r="G5" s="57" t="s">
        <v>12</v>
      </c>
      <c r="H5" s="1"/>
      <c r="I5" s="1"/>
      <c r="J5" s="1"/>
      <c r="K5" s="1"/>
      <c r="L5" s="53"/>
      <c r="M5" s="477"/>
      <c r="N5" s="477"/>
    </row>
    <row r="6" spans="1:17" ht="1.7" hidden="1" customHeight="1" x14ac:dyDescent="0.15">
      <c r="A6" s="541" t="s">
        <v>15</v>
      </c>
      <c r="B6" s="541"/>
      <c r="C6" s="541"/>
      <c r="D6" s="541"/>
      <c r="E6" s="1"/>
      <c r="F6" s="1"/>
      <c r="G6" s="58" t="s">
        <v>12</v>
      </c>
      <c r="H6" s="1"/>
      <c r="I6" s="1"/>
      <c r="J6" s="1"/>
      <c r="K6" s="1"/>
      <c r="L6" s="53"/>
      <c r="M6" s="191"/>
    </row>
    <row r="7" spans="1:17" ht="28.5" customHeight="1" x14ac:dyDescent="0.15">
      <c r="A7" s="541"/>
      <c r="B7" s="541"/>
      <c r="C7" s="541"/>
      <c r="D7" s="541"/>
      <c r="E7" s="1"/>
      <c r="F7" s="1"/>
      <c r="G7" s="588" t="s">
        <v>2301</v>
      </c>
      <c r="H7" s="589"/>
      <c r="I7" s="589"/>
      <c r="J7" s="589"/>
      <c r="K7" s="1"/>
      <c r="L7" s="53"/>
      <c r="M7" s="78"/>
      <c r="N7" s="467"/>
      <c r="O7" s="338"/>
    </row>
    <row r="8" spans="1:17" ht="14.25" x14ac:dyDescent="0.15">
      <c r="A8" s="579"/>
      <c r="B8" s="579"/>
      <c r="C8" s="579"/>
      <c r="D8" s="579"/>
      <c r="E8" s="1"/>
      <c r="F8" s="1"/>
      <c r="G8" s="537" t="s">
        <v>2300</v>
      </c>
      <c r="H8" s="537"/>
      <c r="I8" s="537"/>
      <c r="J8" s="537"/>
      <c r="K8" s="1"/>
      <c r="L8" s="53"/>
      <c r="M8" s="78"/>
      <c r="N8" s="468"/>
      <c r="O8" s="339"/>
      <c r="P8" s="339"/>
      <c r="Q8" s="59"/>
    </row>
    <row r="9" spans="1:17" ht="13.7" customHeight="1" x14ac:dyDescent="0.15">
      <c r="A9" s="8"/>
      <c r="B9" s="580" t="s">
        <v>2369</v>
      </c>
      <c r="C9" s="580"/>
      <c r="D9" s="580"/>
      <c r="E9" s="1"/>
      <c r="F9" s="1"/>
      <c r="G9" s="581" t="s">
        <v>21</v>
      </c>
      <c r="H9" s="581"/>
      <c r="I9" s="581"/>
      <c r="J9" s="581"/>
      <c r="K9" s="1"/>
      <c r="L9" s="53"/>
      <c r="M9" s="78"/>
      <c r="N9" s="469"/>
      <c r="O9" s="340"/>
      <c r="P9" s="340"/>
      <c r="Q9" s="46"/>
    </row>
    <row r="10" spans="1:17" ht="14.25" x14ac:dyDescent="0.15">
      <c r="A10" s="1"/>
      <c r="B10" s="1"/>
      <c r="C10" s="1"/>
      <c r="D10" s="1" t="s">
        <v>12</v>
      </c>
      <c r="E10" s="1"/>
      <c r="F10" s="1"/>
      <c r="G10" s="2"/>
      <c r="H10" s="2" t="s">
        <v>22</v>
      </c>
      <c r="I10" s="2" t="s">
        <v>23</v>
      </c>
      <c r="J10" s="1"/>
      <c r="K10" s="1"/>
      <c r="L10" s="53"/>
      <c r="M10" s="78"/>
      <c r="N10" s="469"/>
      <c r="O10" s="340"/>
      <c r="P10" s="340"/>
      <c r="Q10" s="46"/>
    </row>
    <row r="11" spans="1:17" ht="14.25" x14ac:dyDescent="0.15">
      <c r="A11" s="1" t="s">
        <v>12</v>
      </c>
      <c r="B11" s="1"/>
      <c r="C11" s="1"/>
      <c r="D11" s="1"/>
      <c r="E11" s="1"/>
      <c r="F11" s="1"/>
      <c r="G11" s="2"/>
      <c r="H11" s="2" t="s">
        <v>24</v>
      </c>
      <c r="I11" s="2" t="s">
        <v>25</v>
      </c>
      <c r="J11" s="1"/>
      <c r="K11" s="1"/>
      <c r="L11" s="53"/>
      <c r="M11" s="78"/>
      <c r="N11" s="469"/>
      <c r="O11" s="340"/>
      <c r="P11" s="340"/>
      <c r="Q11" s="46"/>
    </row>
    <row r="12" spans="1:17" ht="17.45" customHeight="1" x14ac:dyDescent="0.15">
      <c r="A12" s="60" t="s">
        <v>26</v>
      </c>
      <c r="B12" s="582"/>
      <c r="C12" s="582"/>
      <c r="D12" s="582"/>
      <c r="E12" s="60">
        <f>[4]工事カード!I6</f>
        <v>0</v>
      </c>
      <c r="F12" s="61" t="s">
        <v>27</v>
      </c>
      <c r="G12" s="583" t="s">
        <v>2380</v>
      </c>
      <c r="H12" s="583"/>
      <c r="I12" s="583"/>
      <c r="J12" s="583"/>
      <c r="K12" s="1"/>
      <c r="L12" s="53"/>
      <c r="M12" s="78"/>
      <c r="N12" s="469"/>
      <c r="O12" s="340"/>
      <c r="P12" s="340"/>
      <c r="Q12" s="46"/>
    </row>
    <row r="13" spans="1:17" ht="17.45" customHeight="1" thickBot="1" x14ac:dyDescent="0.2">
      <c r="A13" s="62" t="s">
        <v>43</v>
      </c>
      <c r="B13" s="584" t="s">
        <v>378</v>
      </c>
      <c r="C13" s="584"/>
      <c r="D13" s="584"/>
      <c r="E13" s="584"/>
      <c r="F13" s="584"/>
      <c r="G13" s="583"/>
      <c r="H13" s="583"/>
      <c r="I13" s="583"/>
      <c r="J13" s="583"/>
      <c r="K13" s="1"/>
      <c r="L13" s="53"/>
      <c r="M13" s="78"/>
      <c r="N13" s="469"/>
      <c r="O13" s="340"/>
      <c r="P13" s="340"/>
      <c r="Q13" s="46"/>
    </row>
    <row r="14" spans="1:17" ht="15" thickBot="1" x14ac:dyDescent="0.2">
      <c r="A14" s="1" t="s">
        <v>12</v>
      </c>
      <c r="B14" s="1"/>
      <c r="C14" s="1"/>
      <c r="D14" s="1"/>
      <c r="E14" s="1"/>
      <c r="F14" s="1"/>
      <c r="G14" s="1" t="s">
        <v>12</v>
      </c>
      <c r="H14" s="565" t="s">
        <v>44</v>
      </c>
      <c r="I14" s="566"/>
      <c r="J14" s="461" t="e">
        <f>[4]工事カード!H10</f>
        <v>#N/A</v>
      </c>
      <c r="K14" s="1"/>
      <c r="L14" s="53"/>
      <c r="M14" s="78"/>
      <c r="N14" s="469"/>
      <c r="O14" s="340"/>
      <c r="P14" s="340"/>
      <c r="Q14" s="46"/>
    </row>
    <row r="15" spans="1:17" ht="15" customHeight="1" thickBot="1" x14ac:dyDescent="0.2">
      <c r="A15" s="1"/>
      <c r="B15" s="567"/>
      <c r="C15" s="568"/>
      <c r="D15" s="568"/>
      <c r="E15" s="569"/>
      <c r="F15" s="64"/>
      <c r="G15" s="1"/>
      <c r="H15" s="573" t="s">
        <v>45</v>
      </c>
      <c r="I15" s="574"/>
      <c r="J15" s="461" t="e">
        <f>[4]工事カード!H11</f>
        <v>#N/A</v>
      </c>
      <c r="K15" s="1"/>
      <c r="L15" s="53"/>
      <c r="M15" s="78"/>
      <c r="N15" s="469"/>
      <c r="O15" s="340"/>
      <c r="P15" s="340"/>
      <c r="Q15" s="46"/>
    </row>
    <row r="16" spans="1:17" ht="15" customHeight="1" thickBot="1" x14ac:dyDescent="0.2">
      <c r="A16" s="1"/>
      <c r="B16" s="570"/>
      <c r="C16" s="571"/>
      <c r="D16" s="571"/>
      <c r="E16" s="572"/>
      <c r="F16" s="64"/>
      <c r="G16" s="1"/>
      <c r="H16" s="575" t="s">
        <v>46</v>
      </c>
      <c r="I16" s="576"/>
      <c r="J16" s="462" t="e">
        <f>[4]工事カード!H12</f>
        <v>#N/A</v>
      </c>
      <c r="K16" s="1" t="s">
        <v>15</v>
      </c>
      <c r="L16" s="53"/>
      <c r="M16" s="78"/>
      <c r="N16" s="469"/>
      <c r="O16" s="340"/>
      <c r="P16" s="340"/>
      <c r="Q16" s="46"/>
    </row>
    <row r="17" spans="1:17" ht="15" customHeight="1" thickBot="1" x14ac:dyDescent="0.2">
      <c r="A17" s="1"/>
      <c r="B17" s="1"/>
      <c r="C17" s="1"/>
      <c r="D17" s="1"/>
      <c r="E17" s="1"/>
      <c r="F17" s="1"/>
      <c r="G17" s="1"/>
      <c r="H17" s="577" t="s">
        <v>47</v>
      </c>
      <c r="I17" s="578"/>
      <c r="J17" s="463">
        <f>[4]工事カード!H13</f>
        <v>0</v>
      </c>
      <c r="K17" s="1"/>
      <c r="L17" s="53"/>
      <c r="M17" s="78"/>
      <c r="N17" s="469"/>
      <c r="O17" s="340"/>
      <c r="P17" s="340"/>
      <c r="Q17" s="46"/>
    </row>
    <row r="18" spans="1:17" ht="15" customHeight="1" thickBot="1" x14ac:dyDescent="0.2">
      <c r="A18" s="11" t="s">
        <v>48</v>
      </c>
      <c r="B18" s="6"/>
      <c r="C18" s="6"/>
      <c r="D18" s="12">
        <f>+J51</f>
        <v>0</v>
      </c>
      <c r="E18" s="1"/>
      <c r="F18" s="1"/>
      <c r="G18" s="1"/>
      <c r="H18" s="577" t="s">
        <v>49</v>
      </c>
      <c r="I18" s="578"/>
      <c r="J18" s="463">
        <f>[4]工事カード!H14</f>
        <v>0</v>
      </c>
      <c r="K18" s="1"/>
      <c r="L18" s="53"/>
      <c r="M18" s="78"/>
      <c r="N18" s="469"/>
      <c r="O18" s="340"/>
      <c r="P18" s="340"/>
      <c r="Q18" s="46"/>
    </row>
    <row r="19" spans="1:17" ht="14.2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53"/>
      <c r="M19" s="78"/>
      <c r="N19" s="469"/>
      <c r="O19" s="340"/>
      <c r="P19" s="340"/>
      <c r="Q19" s="46"/>
    </row>
    <row r="20" spans="1:17" ht="14.25" x14ac:dyDescent="0.15">
      <c r="A20" s="1"/>
      <c r="B20" s="1"/>
      <c r="C20" s="1"/>
      <c r="D20" s="1"/>
      <c r="E20" s="1"/>
      <c r="F20" s="1"/>
      <c r="G20" s="1"/>
      <c r="H20" s="1"/>
      <c r="I20" s="1"/>
      <c r="J20" s="13" t="s">
        <v>31</v>
      </c>
      <c r="K20" s="1"/>
      <c r="L20" s="53" t="s">
        <v>12</v>
      </c>
      <c r="M20" s="78"/>
      <c r="N20" s="469"/>
      <c r="O20" s="340"/>
      <c r="P20" s="340"/>
      <c r="Q20" s="46"/>
    </row>
    <row r="21" spans="1:17" ht="14.25" x14ac:dyDescent="0.15">
      <c r="A21" s="17" t="s">
        <v>50</v>
      </c>
      <c r="B21" s="545" t="s">
        <v>51</v>
      </c>
      <c r="C21" s="546"/>
      <c r="D21" s="546"/>
      <c r="E21" s="546"/>
      <c r="F21" s="547"/>
      <c r="G21" s="16" t="s">
        <v>34</v>
      </c>
      <c r="H21" s="16" t="s">
        <v>35</v>
      </c>
      <c r="I21" s="17" t="s">
        <v>36</v>
      </c>
      <c r="J21" s="17" t="s">
        <v>37</v>
      </c>
      <c r="K21" s="1"/>
      <c r="L21" s="53"/>
      <c r="M21" s="78"/>
      <c r="N21" s="469"/>
      <c r="O21" s="364" t="s">
        <v>2298</v>
      </c>
      <c r="P21" s="364" t="s">
        <v>2299</v>
      </c>
      <c r="Q21" s="46"/>
    </row>
    <row r="22" spans="1:17" ht="14.25" x14ac:dyDescent="0.15">
      <c r="A22" s="67"/>
      <c r="B22" s="68"/>
      <c r="C22" s="69"/>
      <c r="D22" s="69"/>
      <c r="E22" s="70"/>
      <c r="F22" s="71"/>
      <c r="G22" s="72"/>
      <c r="H22" s="67"/>
      <c r="I22" s="73"/>
      <c r="J22" s="73">
        <f>SUM(G22*I22)</f>
        <v>0</v>
      </c>
      <c r="K22" s="1"/>
      <c r="L22" s="53"/>
      <c r="M22" s="78"/>
      <c r="N22" s="469"/>
      <c r="O22" s="340"/>
      <c r="P22" s="340"/>
      <c r="Q22" s="46"/>
    </row>
    <row r="23" spans="1:17" ht="14.25" x14ac:dyDescent="0.15">
      <c r="A23" s="67"/>
      <c r="B23" s="68"/>
      <c r="C23" s="69"/>
      <c r="D23" s="69"/>
      <c r="E23" s="70"/>
      <c r="F23" s="71"/>
      <c r="G23" s="72"/>
      <c r="H23" s="67"/>
      <c r="I23" s="73"/>
      <c r="J23" s="73">
        <f t="shared" ref="J23:J47" si="0">SUM(G23*I23)</f>
        <v>0</v>
      </c>
      <c r="K23" s="1"/>
      <c r="L23" s="53"/>
      <c r="M23" s="78"/>
      <c r="N23" s="469"/>
      <c r="O23" s="340"/>
      <c r="P23" s="340"/>
      <c r="Q23" s="46"/>
    </row>
    <row r="24" spans="1:17" ht="14.25" x14ac:dyDescent="0.15">
      <c r="A24" s="67"/>
      <c r="B24" s="68"/>
      <c r="C24" s="69"/>
      <c r="D24" s="69"/>
      <c r="E24" s="70"/>
      <c r="F24" s="71"/>
      <c r="G24" s="72"/>
      <c r="H24" s="67"/>
      <c r="I24" s="73"/>
      <c r="J24" s="73">
        <f t="shared" si="0"/>
        <v>0</v>
      </c>
      <c r="K24" s="1"/>
      <c r="L24" s="53"/>
      <c r="M24" s="78"/>
      <c r="N24" s="469"/>
      <c r="O24" s="340"/>
      <c r="P24" s="340"/>
      <c r="Q24" s="46"/>
    </row>
    <row r="25" spans="1:17" ht="14.25" x14ac:dyDescent="0.15">
      <c r="A25" s="67"/>
      <c r="B25" s="68"/>
      <c r="C25" s="69"/>
      <c r="D25" s="69"/>
      <c r="E25" s="70"/>
      <c r="F25" s="71"/>
      <c r="G25" s="72"/>
      <c r="H25" s="67"/>
      <c r="I25" s="73"/>
      <c r="J25" s="73">
        <f t="shared" si="0"/>
        <v>0</v>
      </c>
      <c r="K25" s="1"/>
      <c r="L25" s="53"/>
      <c r="M25" s="78"/>
      <c r="N25" s="469"/>
      <c r="O25" s="340"/>
      <c r="P25" s="340"/>
      <c r="Q25" s="46"/>
    </row>
    <row r="26" spans="1:17" ht="14.25" x14ac:dyDescent="0.15">
      <c r="A26" s="67"/>
      <c r="B26" s="68"/>
      <c r="C26" s="69"/>
      <c r="D26" s="69"/>
      <c r="E26" s="70"/>
      <c r="F26" s="71"/>
      <c r="G26" s="72"/>
      <c r="H26" s="67"/>
      <c r="I26" s="73"/>
      <c r="J26" s="73">
        <f t="shared" si="0"/>
        <v>0</v>
      </c>
      <c r="K26" s="1"/>
      <c r="L26" s="53"/>
      <c r="M26" s="78"/>
      <c r="N26" s="469"/>
      <c r="O26" s="340"/>
      <c r="P26" s="340"/>
      <c r="Q26" s="46"/>
    </row>
    <row r="27" spans="1:17" ht="14.25" x14ac:dyDescent="0.15">
      <c r="A27" s="67"/>
      <c r="B27" s="68"/>
      <c r="C27" s="69"/>
      <c r="D27" s="69"/>
      <c r="E27" s="70"/>
      <c r="F27" s="71"/>
      <c r="G27" s="72"/>
      <c r="H27" s="67"/>
      <c r="I27" s="73"/>
      <c r="J27" s="73">
        <f t="shared" si="0"/>
        <v>0</v>
      </c>
      <c r="K27" s="1"/>
      <c r="L27" s="53"/>
      <c r="M27" s="78"/>
      <c r="N27" s="469"/>
      <c r="O27" s="340"/>
      <c r="P27" s="340"/>
      <c r="Q27" s="46"/>
    </row>
    <row r="28" spans="1:17" ht="14.25" x14ac:dyDescent="0.15">
      <c r="A28" s="67"/>
      <c r="B28" s="68"/>
      <c r="C28" s="69"/>
      <c r="D28" s="69"/>
      <c r="E28" s="70"/>
      <c r="F28" s="71"/>
      <c r="G28" s="72"/>
      <c r="H28" s="67"/>
      <c r="I28" s="73"/>
      <c r="J28" s="73">
        <f t="shared" si="0"/>
        <v>0</v>
      </c>
      <c r="K28" s="1"/>
      <c r="L28" s="53"/>
      <c r="M28" s="78"/>
      <c r="N28" s="469"/>
      <c r="O28" s="340"/>
      <c r="P28" s="340"/>
      <c r="Q28" s="46"/>
    </row>
    <row r="29" spans="1:17" ht="14.25" x14ac:dyDescent="0.15">
      <c r="A29" s="67"/>
      <c r="B29" s="68"/>
      <c r="C29" s="69"/>
      <c r="D29" s="69"/>
      <c r="E29" s="70"/>
      <c r="F29" s="71"/>
      <c r="G29" s="72"/>
      <c r="H29" s="67"/>
      <c r="I29" s="73"/>
      <c r="J29" s="73">
        <f t="shared" si="0"/>
        <v>0</v>
      </c>
      <c r="K29" s="1"/>
      <c r="L29" s="53"/>
      <c r="M29" s="78"/>
      <c r="N29" s="469"/>
      <c r="O29" s="340"/>
      <c r="P29" s="340"/>
      <c r="Q29" s="46"/>
    </row>
    <row r="30" spans="1:17" ht="14.25" x14ac:dyDescent="0.15">
      <c r="A30" s="67"/>
      <c r="B30" s="68"/>
      <c r="C30" s="69"/>
      <c r="D30" s="69"/>
      <c r="E30" s="70"/>
      <c r="F30" s="71"/>
      <c r="G30" s="72"/>
      <c r="H30" s="67"/>
      <c r="I30" s="73"/>
      <c r="J30" s="73">
        <f t="shared" si="0"/>
        <v>0</v>
      </c>
      <c r="K30" s="1"/>
      <c r="L30" s="53"/>
      <c r="M30" s="78"/>
      <c r="N30" s="469"/>
      <c r="O30" s="340"/>
      <c r="P30" s="340"/>
      <c r="Q30" s="46"/>
    </row>
    <row r="31" spans="1:17" ht="14.25" x14ac:dyDescent="0.15">
      <c r="A31" s="67"/>
      <c r="B31" s="68"/>
      <c r="C31" s="69"/>
      <c r="D31" s="69"/>
      <c r="E31" s="70"/>
      <c r="F31" s="71"/>
      <c r="G31" s="72"/>
      <c r="H31" s="67"/>
      <c r="I31" s="73"/>
      <c r="J31" s="73">
        <f t="shared" si="0"/>
        <v>0</v>
      </c>
      <c r="K31" s="1"/>
      <c r="L31" s="53"/>
      <c r="M31" s="78"/>
      <c r="N31" s="469"/>
      <c r="O31" s="340"/>
      <c r="P31" s="340"/>
      <c r="Q31" s="46"/>
    </row>
    <row r="32" spans="1:17" ht="14.25" x14ac:dyDescent="0.15">
      <c r="A32" s="67"/>
      <c r="B32" s="68"/>
      <c r="C32" s="69"/>
      <c r="D32" s="69"/>
      <c r="E32" s="70"/>
      <c r="F32" s="71"/>
      <c r="G32" s="72"/>
      <c r="H32" s="67"/>
      <c r="I32" s="73"/>
      <c r="J32" s="73">
        <f t="shared" si="0"/>
        <v>0</v>
      </c>
      <c r="K32" s="1"/>
      <c r="L32" s="53"/>
      <c r="M32" s="78"/>
      <c r="N32" s="469"/>
      <c r="O32" s="340"/>
      <c r="P32" s="340"/>
      <c r="Q32" s="46"/>
    </row>
    <row r="33" spans="1:17" ht="14.25" x14ac:dyDescent="0.15">
      <c r="A33" s="67"/>
      <c r="B33" s="68"/>
      <c r="C33" s="69"/>
      <c r="D33" s="69"/>
      <c r="E33" s="70"/>
      <c r="F33" s="71"/>
      <c r="G33" s="72"/>
      <c r="H33" s="67"/>
      <c r="I33" s="73"/>
      <c r="J33" s="73">
        <f t="shared" si="0"/>
        <v>0</v>
      </c>
      <c r="K33" s="1"/>
      <c r="L33" s="53"/>
      <c r="M33" s="78"/>
      <c r="N33" s="469"/>
      <c r="O33" s="340"/>
      <c r="P33" s="340"/>
      <c r="Q33" s="46"/>
    </row>
    <row r="34" spans="1:17" ht="14.25" x14ac:dyDescent="0.15">
      <c r="A34" s="74"/>
      <c r="B34" s="75"/>
      <c r="C34" s="70"/>
      <c r="D34" s="70"/>
      <c r="E34" s="70"/>
      <c r="F34" s="71"/>
      <c r="G34" s="72"/>
      <c r="H34" s="74"/>
      <c r="I34" s="76"/>
      <c r="J34" s="73">
        <f t="shared" si="0"/>
        <v>0</v>
      </c>
      <c r="K34" s="1"/>
      <c r="L34" s="53"/>
      <c r="M34" s="78"/>
      <c r="N34" s="469"/>
      <c r="O34" s="340"/>
      <c r="P34" s="340"/>
      <c r="Q34" s="46"/>
    </row>
    <row r="35" spans="1:17" ht="14.25" x14ac:dyDescent="0.15">
      <c r="A35" s="74"/>
      <c r="B35" s="75"/>
      <c r="C35" s="70"/>
      <c r="D35" s="70"/>
      <c r="E35" s="70"/>
      <c r="F35" s="71"/>
      <c r="G35" s="72"/>
      <c r="H35" s="74"/>
      <c r="I35" s="76"/>
      <c r="J35" s="73">
        <f t="shared" si="0"/>
        <v>0</v>
      </c>
      <c r="K35" s="1"/>
      <c r="L35" s="53"/>
      <c r="M35" s="78"/>
      <c r="N35" s="469"/>
      <c r="O35" s="340"/>
      <c r="P35" s="340"/>
      <c r="Q35" s="46"/>
    </row>
    <row r="36" spans="1:17" ht="14.25" x14ac:dyDescent="0.15">
      <c r="A36" s="74"/>
      <c r="B36" s="75"/>
      <c r="C36" s="70"/>
      <c r="D36" s="70"/>
      <c r="E36" s="70"/>
      <c r="F36" s="71"/>
      <c r="G36" s="72"/>
      <c r="H36" s="74"/>
      <c r="I36" s="76"/>
      <c r="J36" s="73">
        <f t="shared" si="0"/>
        <v>0</v>
      </c>
      <c r="K36" s="1"/>
      <c r="L36" s="53"/>
      <c r="M36" s="78"/>
      <c r="N36" s="469"/>
      <c r="O36" s="340"/>
      <c r="P36" s="340"/>
      <c r="Q36" s="46"/>
    </row>
    <row r="37" spans="1:17" ht="14.25" x14ac:dyDescent="0.15">
      <c r="A37" s="74"/>
      <c r="B37" s="75"/>
      <c r="C37" s="70"/>
      <c r="D37" s="70"/>
      <c r="E37" s="70"/>
      <c r="F37" s="71"/>
      <c r="G37" s="72"/>
      <c r="H37" s="74"/>
      <c r="I37" s="76"/>
      <c r="J37" s="73">
        <f t="shared" si="0"/>
        <v>0</v>
      </c>
      <c r="K37" s="1"/>
      <c r="L37" s="53"/>
      <c r="M37" s="78"/>
      <c r="N37" s="469"/>
      <c r="O37" s="340"/>
      <c r="P37" s="340"/>
      <c r="Q37" s="46"/>
    </row>
    <row r="38" spans="1:17" ht="14.25" x14ac:dyDescent="0.15">
      <c r="A38" s="74"/>
      <c r="B38" s="75"/>
      <c r="C38" s="70"/>
      <c r="D38" s="70"/>
      <c r="E38" s="70"/>
      <c r="F38" s="71"/>
      <c r="G38" s="72"/>
      <c r="H38" s="74"/>
      <c r="I38" s="76"/>
      <c r="J38" s="73">
        <f t="shared" si="0"/>
        <v>0</v>
      </c>
      <c r="K38" s="1"/>
      <c r="L38" s="53"/>
      <c r="M38" s="78"/>
      <c r="N38" s="469"/>
      <c r="O38" s="340"/>
      <c r="P38" s="340"/>
      <c r="Q38" s="46"/>
    </row>
    <row r="39" spans="1:17" ht="14.25" x14ac:dyDescent="0.15">
      <c r="A39" s="74"/>
      <c r="B39" s="75"/>
      <c r="C39" s="70"/>
      <c r="D39" s="70"/>
      <c r="E39" s="70"/>
      <c r="F39" s="71"/>
      <c r="G39" s="72"/>
      <c r="H39" s="74"/>
      <c r="I39" s="76"/>
      <c r="J39" s="73">
        <f t="shared" si="0"/>
        <v>0</v>
      </c>
      <c r="K39" s="1"/>
      <c r="L39" s="53"/>
      <c r="M39" s="78"/>
      <c r="N39" s="469"/>
      <c r="O39" s="340"/>
      <c r="P39" s="340"/>
      <c r="Q39" s="46"/>
    </row>
    <row r="40" spans="1:17" ht="14.25" x14ac:dyDescent="0.15">
      <c r="A40" s="74"/>
      <c r="B40" s="75"/>
      <c r="C40" s="70"/>
      <c r="D40" s="70"/>
      <c r="E40" s="70"/>
      <c r="F40" s="71"/>
      <c r="G40" s="72"/>
      <c r="H40" s="74"/>
      <c r="I40" s="76"/>
      <c r="J40" s="73">
        <f t="shared" si="0"/>
        <v>0</v>
      </c>
      <c r="K40" s="1"/>
      <c r="L40" s="53"/>
      <c r="M40" s="78"/>
      <c r="N40" s="469"/>
      <c r="O40" s="340"/>
      <c r="P40" s="340"/>
      <c r="Q40" s="46"/>
    </row>
    <row r="41" spans="1:17" ht="14.25" x14ac:dyDescent="0.15">
      <c r="A41" s="74"/>
      <c r="B41" s="75"/>
      <c r="C41" s="70"/>
      <c r="D41" s="70"/>
      <c r="E41" s="70"/>
      <c r="F41" s="71"/>
      <c r="G41" s="72"/>
      <c r="H41" s="74"/>
      <c r="I41" s="76"/>
      <c r="J41" s="73">
        <f t="shared" si="0"/>
        <v>0</v>
      </c>
      <c r="K41" s="1"/>
      <c r="L41" s="53"/>
      <c r="M41" s="78"/>
      <c r="N41" s="469"/>
      <c r="O41" s="340"/>
      <c r="P41" s="340"/>
      <c r="Q41" s="46"/>
    </row>
    <row r="42" spans="1:17" ht="14.25" x14ac:dyDescent="0.15">
      <c r="A42" s="74"/>
      <c r="B42" s="75"/>
      <c r="C42" s="70"/>
      <c r="D42" s="70"/>
      <c r="E42" s="70"/>
      <c r="F42" s="71"/>
      <c r="G42" s="72"/>
      <c r="H42" s="74"/>
      <c r="I42" s="76"/>
      <c r="J42" s="73">
        <f t="shared" si="0"/>
        <v>0</v>
      </c>
      <c r="K42" s="1"/>
      <c r="L42" s="53"/>
      <c r="M42" s="77"/>
      <c r="N42" s="469"/>
      <c r="O42" s="340"/>
      <c r="P42" s="340"/>
      <c r="Q42" s="46"/>
    </row>
    <row r="43" spans="1:17" ht="14.25" x14ac:dyDescent="0.15">
      <c r="A43" s="74"/>
      <c r="B43" s="75"/>
      <c r="C43" s="70"/>
      <c r="D43" s="70"/>
      <c r="E43" s="70"/>
      <c r="F43" s="71"/>
      <c r="G43" s="72"/>
      <c r="H43" s="74"/>
      <c r="I43" s="76"/>
      <c r="J43" s="73">
        <f t="shared" si="0"/>
        <v>0</v>
      </c>
      <c r="K43" s="1"/>
      <c r="L43" s="53"/>
      <c r="M43" s="77"/>
      <c r="N43" s="470"/>
      <c r="O43" s="341"/>
      <c r="P43" s="341"/>
      <c r="Q43" s="1"/>
    </row>
    <row r="44" spans="1:17" ht="14.25" x14ac:dyDescent="0.15">
      <c r="A44" s="74"/>
      <c r="B44" s="75"/>
      <c r="C44" s="70"/>
      <c r="D44" s="70"/>
      <c r="E44" s="70"/>
      <c r="F44" s="71"/>
      <c r="G44" s="72"/>
      <c r="H44" s="74"/>
      <c r="I44" s="76"/>
      <c r="J44" s="73">
        <f t="shared" si="0"/>
        <v>0</v>
      </c>
      <c r="K44" s="1"/>
      <c r="L44" s="53"/>
      <c r="M44" s="77"/>
      <c r="N44" s="470"/>
      <c r="O44" s="341"/>
      <c r="P44" s="341"/>
      <c r="Q44" s="1"/>
    </row>
    <row r="45" spans="1:17" ht="14.25" x14ac:dyDescent="0.15">
      <c r="A45" s="74"/>
      <c r="B45" s="75"/>
      <c r="C45" s="70"/>
      <c r="D45" s="70"/>
      <c r="E45" s="70"/>
      <c r="F45" s="71"/>
      <c r="G45" s="72"/>
      <c r="H45" s="74"/>
      <c r="I45" s="76"/>
      <c r="J45" s="73">
        <f t="shared" si="0"/>
        <v>0</v>
      </c>
      <c r="K45" s="1"/>
      <c r="L45" s="53"/>
      <c r="M45" s="77"/>
      <c r="N45" s="470"/>
      <c r="O45" s="341"/>
      <c r="P45" s="341"/>
      <c r="Q45" s="1"/>
    </row>
    <row r="46" spans="1:17" ht="14.25" x14ac:dyDescent="0.15">
      <c r="A46" s="74"/>
      <c r="B46" s="75"/>
      <c r="C46" s="70"/>
      <c r="D46" s="70"/>
      <c r="E46" s="70"/>
      <c r="F46" s="71"/>
      <c r="G46" s="72"/>
      <c r="H46" s="74"/>
      <c r="I46" s="76"/>
      <c r="J46" s="73">
        <f t="shared" si="0"/>
        <v>0</v>
      </c>
      <c r="K46" s="1"/>
      <c r="L46" s="53"/>
      <c r="M46" s="77"/>
      <c r="N46" s="470"/>
      <c r="O46" s="341"/>
      <c r="P46" s="341"/>
      <c r="Q46" s="1"/>
    </row>
    <row r="47" spans="1:17" ht="14.25" x14ac:dyDescent="0.15">
      <c r="A47" s="74"/>
      <c r="B47" s="75"/>
      <c r="C47" s="70"/>
      <c r="D47" s="70"/>
      <c r="E47" s="70"/>
      <c r="F47" s="71"/>
      <c r="G47" s="72"/>
      <c r="H47" s="74"/>
      <c r="I47" s="76"/>
      <c r="J47" s="73">
        <f t="shared" si="0"/>
        <v>0</v>
      </c>
      <c r="K47" s="1"/>
      <c r="L47" s="53"/>
      <c r="M47" s="77"/>
      <c r="N47" s="470"/>
      <c r="O47" s="341"/>
      <c r="P47" s="341"/>
      <c r="Q47" s="1"/>
    </row>
    <row r="48" spans="1:17" ht="15" thickBot="1" x14ac:dyDescent="0.2">
      <c r="A48" s="79"/>
      <c r="B48" s="80"/>
      <c r="C48" s="81"/>
      <c r="D48" s="81"/>
      <c r="E48" s="81"/>
      <c r="F48" s="82"/>
      <c r="G48" s="83" t="s">
        <v>12</v>
      </c>
      <c r="H48" s="84"/>
      <c r="I48" s="85"/>
      <c r="J48" s="85"/>
      <c r="K48" s="1"/>
      <c r="L48" s="53"/>
      <c r="M48" s="77"/>
    </row>
    <row r="49" spans="1:13" ht="14.25" x14ac:dyDescent="0.15">
      <c r="A49" s="86" t="s">
        <v>38</v>
      </c>
      <c r="B49" s="42"/>
      <c r="C49" s="42"/>
      <c r="D49" s="42"/>
      <c r="E49" s="42"/>
      <c r="F49" s="42"/>
      <c r="G49" s="43"/>
      <c r="H49" s="548" t="s">
        <v>39</v>
      </c>
      <c r="I49" s="549"/>
      <c r="J49" s="44">
        <f>SUM(J22:J48)</f>
        <v>0</v>
      </c>
      <c r="K49" s="1"/>
      <c r="L49" s="53"/>
      <c r="M49" s="77"/>
    </row>
    <row r="50" spans="1:13" ht="14.25" x14ac:dyDescent="0.15">
      <c r="A50" s="45" t="s">
        <v>12</v>
      </c>
      <c r="B50" s="46"/>
      <c r="C50" s="87"/>
      <c r="D50" s="46"/>
      <c r="E50" s="46"/>
      <c r="F50" s="46"/>
      <c r="G50" s="47"/>
      <c r="H50" s="561" t="s">
        <v>52</v>
      </c>
      <c r="I50" s="562"/>
      <c r="J50" s="48">
        <f>SUM(J49*0.1)</f>
        <v>0</v>
      </c>
      <c r="K50" s="1"/>
      <c r="L50" s="53"/>
      <c r="M50" s="77"/>
    </row>
    <row r="51" spans="1:13" ht="15" thickBot="1" x14ac:dyDescent="0.2">
      <c r="A51" s="49"/>
      <c r="B51" s="50"/>
      <c r="C51" s="50"/>
      <c r="D51" s="50"/>
      <c r="E51" s="50"/>
      <c r="F51" s="50"/>
      <c r="G51" s="50"/>
      <c r="H51" s="563" t="s">
        <v>41</v>
      </c>
      <c r="I51" s="564"/>
      <c r="J51" s="52">
        <f>SUM(J49:J50)</f>
        <v>0</v>
      </c>
      <c r="K51" s="1"/>
      <c r="L51" s="53"/>
      <c r="M51" s="77"/>
    </row>
    <row r="52" spans="1:13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</sheetData>
  <mergeCells count="22">
    <mergeCell ref="I2:J2"/>
    <mergeCell ref="A3:J3"/>
    <mergeCell ref="A5:E5"/>
    <mergeCell ref="A6:D7"/>
    <mergeCell ref="G7:J7"/>
    <mergeCell ref="A8:D8"/>
    <mergeCell ref="B9:D9"/>
    <mergeCell ref="G9:J9"/>
    <mergeCell ref="B12:D12"/>
    <mergeCell ref="G12:J13"/>
    <mergeCell ref="B13:F13"/>
    <mergeCell ref="G8:J8"/>
    <mergeCell ref="B21:F21"/>
    <mergeCell ref="H49:I49"/>
    <mergeCell ref="H50:I50"/>
    <mergeCell ref="H51:I51"/>
    <mergeCell ref="H14:I14"/>
    <mergeCell ref="B15:E16"/>
    <mergeCell ref="H15:I15"/>
    <mergeCell ref="H16:I16"/>
    <mergeCell ref="H17:I17"/>
    <mergeCell ref="H18:I18"/>
  </mergeCells>
  <phoneticPr fontId="3"/>
  <dataValidations count="1">
    <dataValidation type="list" allowBlank="1" showInputMessage="1" showErrorMessage="1" sqref="A3:J3" xr:uid="{FA706F89-8ED5-419B-B5B9-D76A6A356D50}">
      <formula1>$M$1:$M$3</formula1>
    </dataValidation>
  </dataValidations>
  <pageMargins left="0.23622047244094491" right="0.23622047244094491" top="0.74803149606299213" bottom="0.74803149606299213" header="0.31496062992125984" footer="0.31496062992125984"/>
  <pageSetup paperSize="9" scale="9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E53554-402C-48F5-826A-2B509B646AE1}">
          <x14:formula1>
            <xm:f>管理会社一覧!$F$2:$F$16</xm:f>
          </x14:formula1>
          <xm:sqref>G12:J13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AFCC-6253-4523-9896-83016692963F}">
  <sheetPr codeName="Sheet21">
    <tabColor theme="9" tint="-0.499984740745262"/>
    <pageSetUpPr fitToPage="1"/>
  </sheetPr>
  <dimension ref="A1:AQ27"/>
  <sheetViews>
    <sheetView showGridLines="0" zoomScale="80" zoomScaleNormal="80" workbookViewId="0">
      <selection activeCell="C9" sqref="C9"/>
    </sheetView>
  </sheetViews>
  <sheetFormatPr defaultColWidth="9" defaultRowHeight="13.5" x14ac:dyDescent="0.4"/>
  <cols>
    <col min="1" max="1" width="21.25" style="189" customWidth="1"/>
    <col min="2" max="2" width="17.25" style="189" customWidth="1"/>
    <col min="3" max="4" width="11.5" style="189" customWidth="1"/>
    <col min="5" max="6" width="8.25" style="189" bestFit="1" customWidth="1"/>
    <col min="7" max="37" width="4.25" style="189" customWidth="1"/>
    <col min="38" max="38" width="29.75" style="189" customWidth="1"/>
    <col min="39" max="42" width="9" style="189"/>
    <col min="43" max="43" width="0" style="189" hidden="1" customWidth="1"/>
    <col min="44" max="16384" width="9" style="189"/>
  </cols>
  <sheetData>
    <row r="1" spans="1:43" ht="35.450000000000003" customHeight="1" x14ac:dyDescent="0.4">
      <c r="B1" s="590"/>
      <c r="C1" s="590"/>
      <c r="D1" s="590"/>
      <c r="E1" s="590"/>
      <c r="F1" s="590"/>
    </row>
    <row r="2" spans="1:43" ht="21.75" customHeight="1" thickBot="1" x14ac:dyDescent="0.45">
      <c r="B2" s="189" t="s">
        <v>11</v>
      </c>
      <c r="AQ2" s="189" t="s">
        <v>425</v>
      </c>
    </row>
    <row r="3" spans="1:43" ht="57.2" customHeight="1" thickBot="1" x14ac:dyDescent="0.45">
      <c r="B3" s="407" t="s">
        <v>2379</v>
      </c>
      <c r="C3" s="596">
        <f ca="1">TODAY()</f>
        <v>46326</v>
      </c>
      <c r="D3" s="597"/>
      <c r="E3" s="598"/>
      <c r="F3" s="606" t="s">
        <v>2381</v>
      </c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607"/>
      <c r="S3" s="607"/>
      <c r="T3" s="607"/>
      <c r="U3" s="607"/>
      <c r="V3" s="607"/>
      <c r="W3" s="607"/>
      <c r="X3" s="607"/>
      <c r="Y3" s="607"/>
      <c r="Z3" s="607"/>
      <c r="AA3" s="607"/>
      <c r="AB3" s="607"/>
      <c r="AC3" s="607"/>
      <c r="AD3" s="607"/>
      <c r="AE3" s="607"/>
      <c r="AF3" s="607"/>
      <c r="AG3" s="408"/>
      <c r="AH3" s="408"/>
      <c r="AI3" s="408"/>
      <c r="AJ3" s="408"/>
      <c r="AK3" s="408"/>
      <c r="AQ3" s="189" t="s">
        <v>424</v>
      </c>
    </row>
    <row r="4" spans="1:43" ht="18.75" x14ac:dyDescent="0.4">
      <c r="A4" s="602" t="s">
        <v>3</v>
      </c>
      <c r="B4" s="603"/>
      <c r="C4" s="603"/>
      <c r="D4" s="603"/>
      <c r="E4" s="603"/>
      <c r="F4" s="602"/>
      <c r="G4" s="604" t="s">
        <v>2356</v>
      </c>
      <c r="H4" s="604"/>
      <c r="I4" s="604"/>
      <c r="J4" s="604"/>
      <c r="K4" s="604"/>
      <c r="L4" s="604"/>
      <c r="M4" s="604"/>
      <c r="N4" s="604"/>
      <c r="O4" s="604"/>
      <c r="P4" s="604"/>
      <c r="Q4" s="604"/>
      <c r="R4" s="599" t="s">
        <v>2357</v>
      </c>
      <c r="S4" s="599"/>
      <c r="T4" s="599"/>
      <c r="U4" s="599"/>
      <c r="V4" s="599"/>
      <c r="W4" s="599" t="s">
        <v>2358</v>
      </c>
      <c r="X4" s="599"/>
      <c r="Y4" s="599"/>
      <c r="Z4" s="599"/>
      <c r="AA4" s="599"/>
      <c r="AB4" s="599" t="s">
        <v>2359</v>
      </c>
      <c r="AC4" s="599"/>
      <c r="AD4" s="599"/>
      <c r="AE4" s="599"/>
      <c r="AF4" s="599"/>
      <c r="AG4" s="599" t="s">
        <v>2360</v>
      </c>
      <c r="AH4" s="599"/>
      <c r="AI4" s="599"/>
      <c r="AJ4" s="599"/>
      <c r="AK4" s="599"/>
      <c r="AL4" s="400" t="s">
        <v>2361</v>
      </c>
      <c r="AQ4" s="189" t="s">
        <v>426</v>
      </c>
    </row>
    <row r="5" spans="1:43" ht="38.25" customHeight="1" x14ac:dyDescent="0.4">
      <c r="A5" s="608" t="s">
        <v>2787</v>
      </c>
      <c r="B5" s="593"/>
      <c r="C5" s="593"/>
      <c r="D5" s="593">
        <f>見積書!F13</f>
        <v>0</v>
      </c>
      <c r="E5" s="593"/>
      <c r="F5" s="483" t="str">
        <f>見積書!G13</f>
        <v/>
      </c>
      <c r="G5" s="605"/>
      <c r="H5" s="605"/>
      <c r="I5" s="605"/>
      <c r="J5" s="605"/>
      <c r="K5" s="605"/>
      <c r="L5" s="605"/>
      <c r="M5" s="605"/>
      <c r="N5" s="605"/>
      <c r="O5" s="605"/>
      <c r="P5" s="605"/>
      <c r="Q5" s="605"/>
      <c r="R5" s="600"/>
      <c r="S5" s="601"/>
      <c r="T5" s="601"/>
      <c r="U5" s="601"/>
      <c r="V5" s="601"/>
      <c r="W5" s="600"/>
      <c r="X5" s="601"/>
      <c r="Y5" s="601"/>
      <c r="Z5" s="601"/>
      <c r="AA5" s="601"/>
      <c r="AB5" s="601"/>
      <c r="AC5" s="601"/>
      <c r="AD5" s="601"/>
      <c r="AE5" s="601"/>
      <c r="AF5" s="601"/>
      <c r="AG5" s="601"/>
      <c r="AH5" s="601"/>
      <c r="AI5" s="601"/>
      <c r="AJ5" s="601"/>
      <c r="AK5" s="601"/>
      <c r="AL5" s="399"/>
    </row>
    <row r="6" spans="1:43" ht="9" customHeight="1" x14ac:dyDescent="0.4"/>
    <row r="7" spans="1:43" ht="39.75" customHeight="1" x14ac:dyDescent="0.4">
      <c r="A7" s="591" t="s">
        <v>2362</v>
      </c>
      <c r="B7" s="592" t="s">
        <v>2363</v>
      </c>
      <c r="C7" s="591" t="s">
        <v>2364</v>
      </c>
      <c r="D7" s="591"/>
      <c r="E7" s="591" t="s">
        <v>2365</v>
      </c>
      <c r="F7" s="591"/>
      <c r="G7" s="404">
        <v>46278</v>
      </c>
      <c r="H7" s="405">
        <v>46279</v>
      </c>
      <c r="I7" s="405">
        <v>46280</v>
      </c>
      <c r="J7" s="405">
        <v>46281</v>
      </c>
      <c r="K7" s="405">
        <v>46282</v>
      </c>
      <c r="L7" s="405">
        <v>46283</v>
      </c>
      <c r="M7" s="405">
        <v>46284</v>
      </c>
      <c r="N7" s="405">
        <v>46285</v>
      </c>
      <c r="O7" s="405">
        <v>46286</v>
      </c>
      <c r="P7" s="405">
        <v>46287</v>
      </c>
      <c r="Q7" s="405">
        <v>46288</v>
      </c>
      <c r="R7" s="405">
        <v>46289</v>
      </c>
      <c r="S7" s="405">
        <v>46290</v>
      </c>
      <c r="T7" s="405">
        <v>46291</v>
      </c>
      <c r="U7" s="405">
        <v>46292</v>
      </c>
      <c r="V7" s="405">
        <v>46293</v>
      </c>
      <c r="W7" s="405">
        <v>46294</v>
      </c>
      <c r="X7" s="405">
        <v>46295</v>
      </c>
      <c r="Y7" s="405">
        <v>46296</v>
      </c>
      <c r="Z7" s="405">
        <v>46297</v>
      </c>
      <c r="AA7" s="405">
        <v>46298</v>
      </c>
      <c r="AB7" s="405">
        <v>46299</v>
      </c>
      <c r="AC7" s="405">
        <v>46300</v>
      </c>
      <c r="AD7" s="405">
        <v>46301</v>
      </c>
      <c r="AE7" s="405">
        <v>46302</v>
      </c>
      <c r="AF7" s="405">
        <v>46303</v>
      </c>
      <c r="AG7" s="405">
        <v>46304</v>
      </c>
      <c r="AH7" s="405">
        <v>46305</v>
      </c>
      <c r="AI7" s="405">
        <v>46306</v>
      </c>
      <c r="AJ7" s="405">
        <v>46307</v>
      </c>
      <c r="AK7" s="406">
        <v>46308</v>
      </c>
      <c r="AL7" s="594" t="s">
        <v>2368</v>
      </c>
    </row>
    <row r="8" spans="1:43" ht="39.75" customHeight="1" x14ac:dyDescent="0.4">
      <c r="A8" s="591"/>
      <c r="B8" s="592"/>
      <c r="C8" s="428" t="s">
        <v>2366</v>
      </c>
      <c r="D8" s="428" t="s">
        <v>2367</v>
      </c>
      <c r="E8" s="428" t="s">
        <v>2366</v>
      </c>
      <c r="F8" s="429" t="s">
        <v>2367</v>
      </c>
      <c r="G8" s="478" t="s">
        <v>2378</v>
      </c>
      <c r="H8" s="480" t="s">
        <v>2372</v>
      </c>
      <c r="I8" s="479" t="s">
        <v>2373</v>
      </c>
      <c r="J8" s="479" t="s">
        <v>2374</v>
      </c>
      <c r="K8" s="479" t="s">
        <v>2375</v>
      </c>
      <c r="L8" s="479" t="s">
        <v>2376</v>
      </c>
      <c r="M8" s="479" t="s">
        <v>2377</v>
      </c>
      <c r="N8" s="481" t="s">
        <v>2378</v>
      </c>
      <c r="O8" s="480" t="s">
        <v>2372</v>
      </c>
      <c r="P8" s="479" t="s">
        <v>2373</v>
      </c>
      <c r="Q8" s="479" t="s">
        <v>2374</v>
      </c>
      <c r="R8" s="479" t="s">
        <v>2375</v>
      </c>
      <c r="S8" s="479" t="s">
        <v>2376</v>
      </c>
      <c r="T8" s="479" t="s">
        <v>2377</v>
      </c>
      <c r="U8" s="481" t="s">
        <v>2378</v>
      </c>
      <c r="V8" s="480" t="s">
        <v>2372</v>
      </c>
      <c r="W8" s="479" t="s">
        <v>2373</v>
      </c>
      <c r="X8" s="479" t="s">
        <v>2374</v>
      </c>
      <c r="Y8" s="479" t="s">
        <v>2375</v>
      </c>
      <c r="Z8" s="479" t="s">
        <v>2376</v>
      </c>
      <c r="AA8" s="479" t="s">
        <v>2377</v>
      </c>
      <c r="AB8" s="481" t="s">
        <v>2378</v>
      </c>
      <c r="AC8" s="480" t="s">
        <v>2372</v>
      </c>
      <c r="AD8" s="479" t="s">
        <v>2373</v>
      </c>
      <c r="AE8" s="479" t="s">
        <v>2374</v>
      </c>
      <c r="AF8" s="479" t="s">
        <v>2375</v>
      </c>
      <c r="AG8" s="479" t="s">
        <v>2376</v>
      </c>
      <c r="AH8" s="479" t="s">
        <v>2377</v>
      </c>
      <c r="AI8" s="481" t="s">
        <v>2378</v>
      </c>
      <c r="AJ8" s="480" t="s">
        <v>2372</v>
      </c>
      <c r="AK8" s="482" t="s">
        <v>2373</v>
      </c>
      <c r="AL8" s="595"/>
    </row>
    <row r="9" spans="1:43" ht="39.75" customHeight="1" x14ac:dyDescent="0.4">
      <c r="A9" s="430" t="s">
        <v>11</v>
      </c>
      <c r="B9" s="431"/>
      <c r="C9" s="432"/>
      <c r="D9" s="433"/>
      <c r="E9" s="434"/>
      <c r="F9" s="435"/>
      <c r="G9" s="487"/>
      <c r="H9" s="490"/>
      <c r="I9" s="490"/>
      <c r="J9" s="490"/>
      <c r="K9" s="490"/>
      <c r="L9" s="490"/>
      <c r="M9" s="393"/>
      <c r="N9" s="396"/>
      <c r="O9" s="490"/>
      <c r="P9" s="490"/>
      <c r="Q9" s="490"/>
      <c r="R9" s="490"/>
      <c r="S9" s="490"/>
      <c r="T9" s="393"/>
      <c r="U9" s="396"/>
      <c r="V9" s="490"/>
      <c r="W9" s="490"/>
      <c r="X9" s="490"/>
      <c r="Y9" s="490"/>
      <c r="Z9" s="490"/>
      <c r="AA9" s="393"/>
      <c r="AB9" s="396"/>
      <c r="AC9" s="490"/>
      <c r="AD9" s="490"/>
      <c r="AE9" s="490"/>
      <c r="AF9" s="490"/>
      <c r="AG9" s="490"/>
      <c r="AH9" s="393"/>
      <c r="AI9" s="396"/>
      <c r="AJ9" s="490"/>
      <c r="AK9" s="493"/>
      <c r="AL9" s="389"/>
    </row>
    <row r="10" spans="1:43" ht="39.75" customHeight="1" x14ac:dyDescent="0.4">
      <c r="A10" s="436"/>
      <c r="B10" s="437"/>
      <c r="C10" s="438"/>
      <c r="D10" s="439"/>
      <c r="E10" s="440"/>
      <c r="F10" s="441"/>
      <c r="G10" s="488"/>
      <c r="H10" s="491"/>
      <c r="I10" s="491"/>
      <c r="J10" s="491"/>
      <c r="K10" s="491"/>
      <c r="L10" s="491"/>
      <c r="M10" s="394"/>
      <c r="N10" s="397"/>
      <c r="O10" s="491"/>
      <c r="P10" s="491"/>
      <c r="Q10" s="491"/>
      <c r="R10" s="491"/>
      <c r="S10" s="491"/>
      <c r="T10" s="394"/>
      <c r="U10" s="397"/>
      <c r="V10" s="491"/>
      <c r="W10" s="491"/>
      <c r="X10" s="491"/>
      <c r="Y10" s="491"/>
      <c r="Z10" s="491"/>
      <c r="AA10" s="394"/>
      <c r="AB10" s="397"/>
      <c r="AC10" s="491"/>
      <c r="AD10" s="491"/>
      <c r="AE10" s="491"/>
      <c r="AF10" s="491"/>
      <c r="AG10" s="491"/>
      <c r="AH10" s="394"/>
      <c r="AI10" s="397"/>
      <c r="AJ10" s="491"/>
      <c r="AK10" s="494"/>
      <c r="AL10" s="390"/>
    </row>
    <row r="11" spans="1:43" ht="39.75" customHeight="1" x14ac:dyDescent="0.4">
      <c r="A11" s="436"/>
      <c r="B11" s="437"/>
      <c r="C11" s="438"/>
      <c r="D11" s="439"/>
      <c r="E11" s="440"/>
      <c r="F11" s="441"/>
      <c r="G11" s="488"/>
      <c r="H11" s="491"/>
      <c r="I11" s="491"/>
      <c r="J11" s="491"/>
      <c r="K11" s="491"/>
      <c r="L11" s="491"/>
      <c r="M11" s="394"/>
      <c r="N11" s="397"/>
      <c r="O11" s="491"/>
      <c r="P11" s="491"/>
      <c r="Q11" s="491"/>
      <c r="R11" s="491"/>
      <c r="S11" s="491"/>
      <c r="T11" s="394"/>
      <c r="U11" s="397"/>
      <c r="V11" s="491"/>
      <c r="W11" s="491"/>
      <c r="X11" s="491"/>
      <c r="Y11" s="491"/>
      <c r="Z11" s="491"/>
      <c r="AA11" s="394"/>
      <c r="AB11" s="397"/>
      <c r="AC11" s="491"/>
      <c r="AD11" s="491"/>
      <c r="AE11" s="491"/>
      <c r="AF11" s="491"/>
      <c r="AG11" s="491"/>
      <c r="AH11" s="394"/>
      <c r="AI11" s="397"/>
      <c r="AJ11" s="491"/>
      <c r="AK11" s="494"/>
      <c r="AL11" s="390"/>
    </row>
    <row r="12" spans="1:43" ht="39.75" customHeight="1" x14ac:dyDescent="0.4">
      <c r="A12" s="436"/>
      <c r="B12" s="437"/>
      <c r="C12" s="438"/>
      <c r="D12" s="439"/>
      <c r="E12" s="440"/>
      <c r="F12" s="441"/>
      <c r="G12" s="488"/>
      <c r="H12" s="491"/>
      <c r="I12" s="491"/>
      <c r="J12" s="491"/>
      <c r="K12" s="491"/>
      <c r="L12" s="491"/>
      <c r="M12" s="394"/>
      <c r="N12" s="397"/>
      <c r="O12" s="491"/>
      <c r="P12" s="491"/>
      <c r="Q12" s="491"/>
      <c r="R12" s="491"/>
      <c r="S12" s="491"/>
      <c r="T12" s="394"/>
      <c r="U12" s="397"/>
      <c r="V12" s="491"/>
      <c r="W12" s="491"/>
      <c r="X12" s="491"/>
      <c r="Y12" s="491"/>
      <c r="Z12" s="491"/>
      <c r="AA12" s="394"/>
      <c r="AB12" s="397"/>
      <c r="AC12" s="491"/>
      <c r="AD12" s="491"/>
      <c r="AE12" s="491"/>
      <c r="AF12" s="491"/>
      <c r="AG12" s="491"/>
      <c r="AH12" s="394"/>
      <c r="AI12" s="397"/>
      <c r="AJ12" s="491"/>
      <c r="AK12" s="494"/>
      <c r="AL12" s="390"/>
    </row>
    <row r="13" spans="1:43" ht="39.75" customHeight="1" x14ac:dyDescent="0.4">
      <c r="A13" s="436"/>
      <c r="B13" s="437"/>
      <c r="C13" s="438"/>
      <c r="D13" s="439"/>
      <c r="E13" s="440"/>
      <c r="F13" s="441"/>
      <c r="G13" s="488"/>
      <c r="H13" s="491"/>
      <c r="I13" s="491"/>
      <c r="J13" s="491"/>
      <c r="K13" s="491"/>
      <c r="L13" s="491"/>
      <c r="M13" s="394"/>
      <c r="N13" s="397"/>
      <c r="O13" s="491"/>
      <c r="P13" s="491"/>
      <c r="Q13" s="491"/>
      <c r="R13" s="491"/>
      <c r="S13" s="491"/>
      <c r="T13" s="394"/>
      <c r="U13" s="397"/>
      <c r="V13" s="491"/>
      <c r="W13" s="491"/>
      <c r="X13" s="491"/>
      <c r="Y13" s="491"/>
      <c r="Z13" s="491"/>
      <c r="AA13" s="394"/>
      <c r="AB13" s="397"/>
      <c r="AC13" s="491"/>
      <c r="AD13" s="491"/>
      <c r="AE13" s="491"/>
      <c r="AF13" s="491"/>
      <c r="AG13" s="491"/>
      <c r="AH13" s="394"/>
      <c r="AI13" s="397"/>
      <c r="AJ13" s="491"/>
      <c r="AK13" s="494"/>
      <c r="AL13" s="390"/>
    </row>
    <row r="14" spans="1:43" ht="39.75" customHeight="1" x14ac:dyDescent="0.4">
      <c r="A14" s="436"/>
      <c r="B14" s="437"/>
      <c r="C14" s="438"/>
      <c r="D14" s="439"/>
      <c r="E14" s="440"/>
      <c r="F14" s="441"/>
      <c r="G14" s="488"/>
      <c r="H14" s="491"/>
      <c r="I14" s="491"/>
      <c r="J14" s="491"/>
      <c r="K14" s="491"/>
      <c r="L14" s="491"/>
      <c r="M14" s="394"/>
      <c r="N14" s="397"/>
      <c r="O14" s="491"/>
      <c r="P14" s="491"/>
      <c r="Q14" s="491"/>
      <c r="R14" s="491"/>
      <c r="S14" s="491"/>
      <c r="T14" s="394"/>
      <c r="U14" s="397"/>
      <c r="V14" s="491"/>
      <c r="W14" s="491"/>
      <c r="X14" s="491"/>
      <c r="Y14" s="491"/>
      <c r="Z14" s="491"/>
      <c r="AA14" s="394"/>
      <c r="AB14" s="397"/>
      <c r="AC14" s="491"/>
      <c r="AD14" s="491"/>
      <c r="AE14" s="491"/>
      <c r="AF14" s="491"/>
      <c r="AG14" s="491"/>
      <c r="AH14" s="394"/>
      <c r="AI14" s="397"/>
      <c r="AJ14" s="491"/>
      <c r="AK14" s="494"/>
      <c r="AL14" s="390"/>
    </row>
    <row r="15" spans="1:43" ht="39.75" customHeight="1" x14ac:dyDescent="0.4">
      <c r="A15" s="436"/>
      <c r="B15" s="437"/>
      <c r="C15" s="438"/>
      <c r="D15" s="439"/>
      <c r="E15" s="440"/>
      <c r="F15" s="441"/>
      <c r="G15" s="488"/>
      <c r="H15" s="491"/>
      <c r="I15" s="491"/>
      <c r="J15" s="491"/>
      <c r="K15" s="491"/>
      <c r="L15" s="491"/>
      <c r="M15" s="394"/>
      <c r="N15" s="397"/>
      <c r="O15" s="491"/>
      <c r="P15" s="491"/>
      <c r="Q15" s="491"/>
      <c r="R15" s="491"/>
      <c r="S15" s="491"/>
      <c r="T15" s="394"/>
      <c r="U15" s="397"/>
      <c r="V15" s="491"/>
      <c r="W15" s="491"/>
      <c r="X15" s="491"/>
      <c r="Y15" s="491"/>
      <c r="Z15" s="491"/>
      <c r="AA15" s="394"/>
      <c r="AB15" s="397"/>
      <c r="AC15" s="491"/>
      <c r="AD15" s="491"/>
      <c r="AE15" s="491"/>
      <c r="AF15" s="491"/>
      <c r="AG15" s="491"/>
      <c r="AH15" s="394"/>
      <c r="AI15" s="397"/>
      <c r="AJ15" s="491"/>
      <c r="AK15" s="494"/>
      <c r="AL15" s="390"/>
    </row>
    <row r="16" spans="1:43" ht="39.75" customHeight="1" x14ac:dyDescent="0.4">
      <c r="A16" s="436"/>
      <c r="B16" s="437"/>
      <c r="C16" s="438"/>
      <c r="D16" s="439"/>
      <c r="E16" s="440"/>
      <c r="F16" s="441"/>
      <c r="G16" s="488"/>
      <c r="H16" s="491"/>
      <c r="I16" s="491"/>
      <c r="J16" s="491"/>
      <c r="K16" s="491"/>
      <c r="L16" s="491"/>
      <c r="M16" s="394"/>
      <c r="N16" s="397"/>
      <c r="O16" s="491"/>
      <c r="P16" s="491"/>
      <c r="Q16" s="491"/>
      <c r="R16" s="491"/>
      <c r="S16" s="491"/>
      <c r="T16" s="394"/>
      <c r="U16" s="397"/>
      <c r="V16" s="491"/>
      <c r="W16" s="491"/>
      <c r="X16" s="491"/>
      <c r="Y16" s="491"/>
      <c r="Z16" s="491"/>
      <c r="AA16" s="394"/>
      <c r="AB16" s="397"/>
      <c r="AC16" s="491"/>
      <c r="AD16" s="491"/>
      <c r="AE16" s="491"/>
      <c r="AF16" s="491"/>
      <c r="AG16" s="491"/>
      <c r="AH16" s="394"/>
      <c r="AI16" s="397"/>
      <c r="AJ16" s="491"/>
      <c r="AK16" s="494"/>
      <c r="AL16" s="390"/>
    </row>
    <row r="17" spans="1:38" ht="39.75" customHeight="1" x14ac:dyDescent="0.4">
      <c r="A17" s="436"/>
      <c r="B17" s="437"/>
      <c r="C17" s="438"/>
      <c r="D17" s="439"/>
      <c r="E17" s="440"/>
      <c r="F17" s="441"/>
      <c r="G17" s="488"/>
      <c r="H17" s="491"/>
      <c r="I17" s="491"/>
      <c r="J17" s="491"/>
      <c r="K17" s="491"/>
      <c r="L17" s="491"/>
      <c r="M17" s="394"/>
      <c r="N17" s="397"/>
      <c r="O17" s="491"/>
      <c r="P17" s="491"/>
      <c r="Q17" s="491"/>
      <c r="R17" s="491"/>
      <c r="S17" s="491"/>
      <c r="T17" s="394"/>
      <c r="U17" s="397"/>
      <c r="V17" s="491"/>
      <c r="W17" s="491"/>
      <c r="X17" s="491"/>
      <c r="Y17" s="491"/>
      <c r="Z17" s="491"/>
      <c r="AA17" s="394"/>
      <c r="AB17" s="397"/>
      <c r="AC17" s="491"/>
      <c r="AD17" s="491"/>
      <c r="AE17" s="491"/>
      <c r="AF17" s="491"/>
      <c r="AG17" s="491"/>
      <c r="AH17" s="394"/>
      <c r="AI17" s="397"/>
      <c r="AJ17" s="491"/>
      <c r="AK17" s="494"/>
      <c r="AL17" s="390"/>
    </row>
    <row r="18" spans="1:38" ht="39.75" customHeight="1" x14ac:dyDescent="0.4">
      <c r="A18" s="436"/>
      <c r="B18" s="437"/>
      <c r="C18" s="438"/>
      <c r="D18" s="439"/>
      <c r="E18" s="440"/>
      <c r="F18" s="441"/>
      <c r="G18" s="488"/>
      <c r="H18" s="491"/>
      <c r="I18" s="491"/>
      <c r="J18" s="491"/>
      <c r="K18" s="491"/>
      <c r="L18" s="491"/>
      <c r="M18" s="394"/>
      <c r="N18" s="397"/>
      <c r="O18" s="491"/>
      <c r="P18" s="491"/>
      <c r="Q18" s="491"/>
      <c r="R18" s="491"/>
      <c r="S18" s="491"/>
      <c r="T18" s="394"/>
      <c r="U18" s="397"/>
      <c r="V18" s="491"/>
      <c r="W18" s="491"/>
      <c r="X18" s="491"/>
      <c r="Y18" s="491"/>
      <c r="Z18" s="491"/>
      <c r="AA18" s="394"/>
      <c r="AB18" s="397"/>
      <c r="AC18" s="491"/>
      <c r="AD18" s="491"/>
      <c r="AE18" s="491"/>
      <c r="AF18" s="491"/>
      <c r="AG18" s="491"/>
      <c r="AH18" s="394"/>
      <c r="AI18" s="397"/>
      <c r="AJ18" s="491"/>
      <c r="AK18" s="494"/>
      <c r="AL18" s="390"/>
    </row>
    <row r="19" spans="1:38" ht="39.75" customHeight="1" x14ac:dyDescent="0.4">
      <c r="A19" s="436"/>
      <c r="B19" s="437"/>
      <c r="C19" s="438"/>
      <c r="D19" s="439"/>
      <c r="E19" s="440"/>
      <c r="F19" s="441"/>
      <c r="G19" s="488"/>
      <c r="H19" s="491"/>
      <c r="I19" s="491"/>
      <c r="J19" s="491"/>
      <c r="K19" s="491"/>
      <c r="L19" s="491"/>
      <c r="M19" s="394"/>
      <c r="N19" s="397"/>
      <c r="O19" s="491"/>
      <c r="P19" s="491"/>
      <c r="Q19" s="491"/>
      <c r="R19" s="491"/>
      <c r="S19" s="491"/>
      <c r="T19" s="394"/>
      <c r="U19" s="397"/>
      <c r="V19" s="491"/>
      <c r="W19" s="491"/>
      <c r="X19" s="491"/>
      <c r="Y19" s="491"/>
      <c r="Z19" s="491"/>
      <c r="AA19" s="394"/>
      <c r="AB19" s="397"/>
      <c r="AC19" s="491"/>
      <c r="AD19" s="491"/>
      <c r="AE19" s="491"/>
      <c r="AF19" s="491"/>
      <c r="AG19" s="491"/>
      <c r="AH19" s="394"/>
      <c r="AI19" s="397"/>
      <c r="AJ19" s="491"/>
      <c r="AK19" s="494"/>
      <c r="AL19" s="390"/>
    </row>
    <row r="20" spans="1:38" ht="39.75" customHeight="1" x14ac:dyDescent="0.4">
      <c r="A20" s="436"/>
      <c r="B20" s="437"/>
      <c r="C20" s="438"/>
      <c r="D20" s="439"/>
      <c r="E20" s="440"/>
      <c r="F20" s="441"/>
      <c r="G20" s="488"/>
      <c r="H20" s="491"/>
      <c r="I20" s="491"/>
      <c r="J20" s="491"/>
      <c r="K20" s="491"/>
      <c r="L20" s="491"/>
      <c r="M20" s="394"/>
      <c r="N20" s="397"/>
      <c r="O20" s="491"/>
      <c r="P20" s="491"/>
      <c r="Q20" s="491"/>
      <c r="R20" s="491"/>
      <c r="S20" s="491"/>
      <c r="T20" s="394"/>
      <c r="U20" s="397"/>
      <c r="V20" s="491"/>
      <c r="W20" s="491"/>
      <c r="X20" s="491"/>
      <c r="Y20" s="491"/>
      <c r="Z20" s="491"/>
      <c r="AA20" s="394"/>
      <c r="AB20" s="397"/>
      <c r="AC20" s="491"/>
      <c r="AD20" s="491"/>
      <c r="AE20" s="491"/>
      <c r="AF20" s="491"/>
      <c r="AG20" s="491"/>
      <c r="AH20" s="394"/>
      <c r="AI20" s="397"/>
      <c r="AJ20" s="491"/>
      <c r="AK20" s="494"/>
      <c r="AL20" s="390"/>
    </row>
    <row r="21" spans="1:38" ht="39.75" customHeight="1" x14ac:dyDescent="0.4">
      <c r="A21" s="436"/>
      <c r="B21" s="437"/>
      <c r="C21" s="438"/>
      <c r="D21" s="439"/>
      <c r="E21" s="440"/>
      <c r="F21" s="441"/>
      <c r="G21" s="488"/>
      <c r="H21" s="491"/>
      <c r="I21" s="491"/>
      <c r="J21" s="491"/>
      <c r="K21" s="491"/>
      <c r="L21" s="491"/>
      <c r="M21" s="394"/>
      <c r="N21" s="397"/>
      <c r="O21" s="491"/>
      <c r="P21" s="491"/>
      <c r="Q21" s="491"/>
      <c r="R21" s="491"/>
      <c r="S21" s="491"/>
      <c r="T21" s="394"/>
      <c r="U21" s="397"/>
      <c r="V21" s="491"/>
      <c r="W21" s="491"/>
      <c r="X21" s="491"/>
      <c r="Y21" s="491"/>
      <c r="Z21" s="491"/>
      <c r="AA21" s="394"/>
      <c r="AB21" s="397"/>
      <c r="AC21" s="491"/>
      <c r="AD21" s="491"/>
      <c r="AE21" s="491"/>
      <c r="AF21" s="491"/>
      <c r="AG21" s="491"/>
      <c r="AH21" s="394"/>
      <c r="AI21" s="397"/>
      <c r="AJ21" s="491"/>
      <c r="AK21" s="494"/>
      <c r="AL21" s="390"/>
    </row>
    <row r="22" spans="1:38" ht="39.75" customHeight="1" x14ac:dyDescent="0.4">
      <c r="A22" s="436"/>
      <c r="B22" s="437"/>
      <c r="C22" s="438"/>
      <c r="D22" s="439"/>
      <c r="E22" s="440"/>
      <c r="F22" s="441"/>
      <c r="G22" s="488"/>
      <c r="H22" s="491"/>
      <c r="I22" s="491"/>
      <c r="J22" s="491"/>
      <c r="K22" s="491"/>
      <c r="L22" s="491"/>
      <c r="M22" s="394"/>
      <c r="N22" s="397"/>
      <c r="O22" s="491"/>
      <c r="P22" s="491"/>
      <c r="Q22" s="491"/>
      <c r="R22" s="491"/>
      <c r="S22" s="491"/>
      <c r="T22" s="394"/>
      <c r="U22" s="397"/>
      <c r="V22" s="491"/>
      <c r="W22" s="491"/>
      <c r="X22" s="491"/>
      <c r="Y22" s="491"/>
      <c r="Z22" s="491"/>
      <c r="AA22" s="394"/>
      <c r="AB22" s="397"/>
      <c r="AC22" s="491"/>
      <c r="AD22" s="491"/>
      <c r="AE22" s="491"/>
      <c r="AF22" s="491"/>
      <c r="AG22" s="491"/>
      <c r="AH22" s="394"/>
      <c r="AI22" s="397"/>
      <c r="AJ22" s="491"/>
      <c r="AK22" s="494"/>
      <c r="AL22" s="390"/>
    </row>
    <row r="23" spans="1:38" ht="39.75" customHeight="1" x14ac:dyDescent="0.4">
      <c r="A23" s="436"/>
      <c r="B23" s="437"/>
      <c r="C23" s="438"/>
      <c r="D23" s="439"/>
      <c r="E23" s="440"/>
      <c r="F23" s="441"/>
      <c r="G23" s="488"/>
      <c r="H23" s="491"/>
      <c r="I23" s="491"/>
      <c r="J23" s="491"/>
      <c r="K23" s="491"/>
      <c r="L23" s="491"/>
      <c r="M23" s="394"/>
      <c r="N23" s="397"/>
      <c r="O23" s="491"/>
      <c r="P23" s="491"/>
      <c r="Q23" s="491"/>
      <c r="R23" s="491"/>
      <c r="S23" s="491"/>
      <c r="T23" s="394"/>
      <c r="U23" s="397"/>
      <c r="V23" s="491"/>
      <c r="W23" s="491"/>
      <c r="X23" s="491"/>
      <c r="Y23" s="491"/>
      <c r="Z23" s="491"/>
      <c r="AA23" s="394"/>
      <c r="AB23" s="397"/>
      <c r="AC23" s="491"/>
      <c r="AD23" s="491"/>
      <c r="AE23" s="491"/>
      <c r="AF23" s="491"/>
      <c r="AG23" s="491"/>
      <c r="AH23" s="394"/>
      <c r="AI23" s="397"/>
      <c r="AJ23" s="491"/>
      <c r="AK23" s="494"/>
      <c r="AL23" s="390"/>
    </row>
    <row r="24" spans="1:38" ht="39.75" customHeight="1" x14ac:dyDescent="0.4">
      <c r="A24" s="436"/>
      <c r="B24" s="437"/>
      <c r="C24" s="438"/>
      <c r="D24" s="439"/>
      <c r="E24" s="440"/>
      <c r="F24" s="441"/>
      <c r="G24" s="488"/>
      <c r="H24" s="491"/>
      <c r="I24" s="491"/>
      <c r="J24" s="491"/>
      <c r="K24" s="491"/>
      <c r="L24" s="491"/>
      <c r="M24" s="394"/>
      <c r="N24" s="397"/>
      <c r="O24" s="491"/>
      <c r="P24" s="491"/>
      <c r="Q24" s="491"/>
      <c r="R24" s="491"/>
      <c r="S24" s="491"/>
      <c r="T24" s="394"/>
      <c r="U24" s="397"/>
      <c r="V24" s="491"/>
      <c r="W24" s="491"/>
      <c r="X24" s="491"/>
      <c r="Y24" s="491"/>
      <c r="Z24" s="491"/>
      <c r="AA24" s="394"/>
      <c r="AB24" s="397"/>
      <c r="AC24" s="491"/>
      <c r="AD24" s="491"/>
      <c r="AE24" s="491"/>
      <c r="AF24" s="491"/>
      <c r="AG24" s="491"/>
      <c r="AH24" s="394"/>
      <c r="AI24" s="397"/>
      <c r="AJ24" s="491"/>
      <c r="AK24" s="494"/>
      <c r="AL24" s="390"/>
    </row>
    <row r="25" spans="1:38" ht="39.75" customHeight="1" x14ac:dyDescent="0.4">
      <c r="A25" s="436"/>
      <c r="B25" s="437"/>
      <c r="C25" s="438"/>
      <c r="D25" s="439"/>
      <c r="E25" s="440"/>
      <c r="F25" s="441"/>
      <c r="G25" s="488"/>
      <c r="H25" s="491"/>
      <c r="I25" s="491"/>
      <c r="J25" s="491"/>
      <c r="K25" s="491"/>
      <c r="L25" s="491"/>
      <c r="M25" s="394"/>
      <c r="N25" s="397"/>
      <c r="O25" s="491"/>
      <c r="P25" s="491"/>
      <c r="Q25" s="491"/>
      <c r="R25" s="491"/>
      <c r="S25" s="491"/>
      <c r="T25" s="394"/>
      <c r="U25" s="397"/>
      <c r="V25" s="491"/>
      <c r="W25" s="491"/>
      <c r="X25" s="491"/>
      <c r="Y25" s="491"/>
      <c r="Z25" s="491"/>
      <c r="AA25" s="394"/>
      <c r="AB25" s="397"/>
      <c r="AC25" s="491"/>
      <c r="AD25" s="491"/>
      <c r="AE25" s="491"/>
      <c r="AF25" s="491"/>
      <c r="AG25" s="491"/>
      <c r="AH25" s="394"/>
      <c r="AI25" s="397"/>
      <c r="AJ25" s="491"/>
      <c r="AK25" s="494"/>
      <c r="AL25" s="390"/>
    </row>
    <row r="26" spans="1:38" ht="39.75" customHeight="1" x14ac:dyDescent="0.4">
      <c r="A26" s="436"/>
      <c r="B26" s="437"/>
      <c r="C26" s="438"/>
      <c r="D26" s="439"/>
      <c r="E26" s="440"/>
      <c r="F26" s="441"/>
      <c r="G26" s="488"/>
      <c r="H26" s="491"/>
      <c r="I26" s="491"/>
      <c r="J26" s="491"/>
      <c r="K26" s="491"/>
      <c r="L26" s="491"/>
      <c r="M26" s="394"/>
      <c r="N26" s="397"/>
      <c r="O26" s="491"/>
      <c r="P26" s="491"/>
      <c r="Q26" s="491"/>
      <c r="R26" s="491"/>
      <c r="S26" s="491"/>
      <c r="T26" s="394"/>
      <c r="U26" s="397"/>
      <c r="V26" s="491"/>
      <c r="W26" s="491"/>
      <c r="X26" s="491"/>
      <c r="Y26" s="491"/>
      <c r="Z26" s="491"/>
      <c r="AA26" s="394"/>
      <c r="AB26" s="397"/>
      <c r="AC26" s="491"/>
      <c r="AD26" s="491"/>
      <c r="AE26" s="491"/>
      <c r="AF26" s="491"/>
      <c r="AG26" s="491"/>
      <c r="AH26" s="394"/>
      <c r="AI26" s="397"/>
      <c r="AJ26" s="491"/>
      <c r="AK26" s="494"/>
      <c r="AL26" s="390"/>
    </row>
    <row r="27" spans="1:38" ht="39.75" customHeight="1" x14ac:dyDescent="0.4">
      <c r="A27" s="442"/>
      <c r="B27" s="443"/>
      <c r="C27" s="444"/>
      <c r="D27" s="445"/>
      <c r="E27" s="446"/>
      <c r="F27" s="447"/>
      <c r="G27" s="489"/>
      <c r="H27" s="492"/>
      <c r="I27" s="492"/>
      <c r="J27" s="492"/>
      <c r="K27" s="492"/>
      <c r="L27" s="492"/>
      <c r="M27" s="395"/>
      <c r="N27" s="398"/>
      <c r="O27" s="492"/>
      <c r="P27" s="492"/>
      <c r="Q27" s="492"/>
      <c r="R27" s="492"/>
      <c r="S27" s="492"/>
      <c r="T27" s="395"/>
      <c r="U27" s="398"/>
      <c r="V27" s="492"/>
      <c r="W27" s="492"/>
      <c r="X27" s="492"/>
      <c r="Y27" s="492"/>
      <c r="Z27" s="492"/>
      <c r="AA27" s="395"/>
      <c r="AB27" s="398"/>
      <c r="AC27" s="492"/>
      <c r="AD27" s="492"/>
      <c r="AE27" s="492"/>
      <c r="AF27" s="492"/>
      <c r="AG27" s="492"/>
      <c r="AH27" s="395"/>
      <c r="AI27" s="398"/>
      <c r="AJ27" s="492"/>
      <c r="AK27" s="495"/>
      <c r="AL27" s="391"/>
    </row>
  </sheetData>
  <mergeCells count="21">
    <mergeCell ref="AL7:AL8"/>
    <mergeCell ref="C3:E3"/>
    <mergeCell ref="W4:AA4"/>
    <mergeCell ref="W5:AA5"/>
    <mergeCell ref="AB4:AF4"/>
    <mergeCell ref="AB5:AF5"/>
    <mergeCell ref="AG4:AK4"/>
    <mergeCell ref="AG5:AK5"/>
    <mergeCell ref="A4:F4"/>
    <mergeCell ref="G4:Q4"/>
    <mergeCell ref="G5:Q5"/>
    <mergeCell ref="R4:V4"/>
    <mergeCell ref="R5:V5"/>
    <mergeCell ref="F3:AF3"/>
    <mergeCell ref="A5:C5"/>
    <mergeCell ref="B1:F1"/>
    <mergeCell ref="A7:A8"/>
    <mergeCell ref="B7:B8"/>
    <mergeCell ref="C7:D7"/>
    <mergeCell ref="E7:F7"/>
    <mergeCell ref="D5:E5"/>
  </mergeCells>
  <phoneticPr fontId="3"/>
  <dataValidations count="2">
    <dataValidation type="list" allowBlank="1" showInputMessage="1" showErrorMessage="1" sqref="AB5:AF5" xr:uid="{15136218-715E-499A-B2FC-2F3CB56E8185}">
      <formula1>$AQ$2:$AQ$11</formula1>
    </dataValidation>
    <dataValidation type="list" allowBlank="1" showInputMessage="1" showErrorMessage="1" sqref="AG5:AK5" xr:uid="{1A151FD9-E643-4EEC-BE99-A4DF920472ED}">
      <formula1>$AQ$2:$AQ$13</formula1>
    </dataValidation>
  </dataValidations>
  <pageMargins left="0.70866141732283472" right="0.70866141732283472" top="0.74803149606299213" bottom="0.74803149606299213" header="0.31496062992125984" footer="0.31496062992125984"/>
  <pageSetup paperSize="9" scale="51" fitToHeight="0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7128C-5774-468F-9ABA-EBFC5442977F}">
  <sheetPr codeName="Sheet13">
    <tabColor rgb="FF7030A0"/>
  </sheetPr>
  <dimension ref="A1:CQ95"/>
  <sheetViews>
    <sheetView showGridLines="0" workbookViewId="0">
      <selection activeCell="B1" sqref="B1"/>
    </sheetView>
  </sheetViews>
  <sheetFormatPr defaultRowHeight="13.5" x14ac:dyDescent="0.15"/>
  <cols>
    <col min="1" max="1" width="9" style="55"/>
    <col min="2" max="2" width="49.5" style="55" customWidth="1"/>
    <col min="3" max="4" width="9" style="55"/>
    <col min="5" max="5" width="41.5" style="55" customWidth="1"/>
    <col min="6" max="7" width="9" style="55"/>
    <col min="8" max="8" width="55.375" style="55" customWidth="1"/>
    <col min="9" max="257" width="9" style="55"/>
    <col min="258" max="258" width="49.5" style="55" customWidth="1"/>
    <col min="259" max="260" width="9" style="55"/>
    <col min="261" max="261" width="41.5" style="55" customWidth="1"/>
    <col min="262" max="263" width="9" style="55"/>
    <col min="264" max="264" width="55.375" style="55" customWidth="1"/>
    <col min="265" max="513" width="9" style="55"/>
    <col min="514" max="514" width="49.5" style="55" customWidth="1"/>
    <col min="515" max="516" width="9" style="55"/>
    <col min="517" max="517" width="41.5" style="55" customWidth="1"/>
    <col min="518" max="519" width="9" style="55"/>
    <col min="520" max="520" width="55.375" style="55" customWidth="1"/>
    <col min="521" max="769" width="9" style="55"/>
    <col min="770" max="770" width="49.5" style="55" customWidth="1"/>
    <col min="771" max="772" width="9" style="55"/>
    <col min="773" max="773" width="41.5" style="55" customWidth="1"/>
    <col min="774" max="775" width="9" style="55"/>
    <col min="776" max="776" width="55.375" style="55" customWidth="1"/>
    <col min="777" max="1025" width="9" style="55"/>
    <col min="1026" max="1026" width="49.5" style="55" customWidth="1"/>
    <col min="1027" max="1028" width="9" style="55"/>
    <col min="1029" max="1029" width="41.5" style="55" customWidth="1"/>
    <col min="1030" max="1031" width="9" style="55"/>
    <col min="1032" max="1032" width="55.375" style="55" customWidth="1"/>
    <col min="1033" max="1281" width="9" style="55"/>
    <col min="1282" max="1282" width="49.5" style="55" customWidth="1"/>
    <col min="1283" max="1284" width="9" style="55"/>
    <col min="1285" max="1285" width="41.5" style="55" customWidth="1"/>
    <col min="1286" max="1287" width="9" style="55"/>
    <col min="1288" max="1288" width="55.375" style="55" customWidth="1"/>
    <col min="1289" max="1537" width="9" style="55"/>
    <col min="1538" max="1538" width="49.5" style="55" customWidth="1"/>
    <col min="1539" max="1540" width="9" style="55"/>
    <col min="1541" max="1541" width="41.5" style="55" customWidth="1"/>
    <col min="1542" max="1543" width="9" style="55"/>
    <col min="1544" max="1544" width="55.375" style="55" customWidth="1"/>
    <col min="1545" max="1793" width="9" style="55"/>
    <col min="1794" max="1794" width="49.5" style="55" customWidth="1"/>
    <col min="1795" max="1796" width="9" style="55"/>
    <col min="1797" max="1797" width="41.5" style="55" customWidth="1"/>
    <col min="1798" max="1799" width="9" style="55"/>
    <col min="1800" max="1800" width="55.375" style="55" customWidth="1"/>
    <col min="1801" max="2049" width="9" style="55"/>
    <col min="2050" max="2050" width="49.5" style="55" customWidth="1"/>
    <col min="2051" max="2052" width="9" style="55"/>
    <col min="2053" max="2053" width="41.5" style="55" customWidth="1"/>
    <col min="2054" max="2055" width="9" style="55"/>
    <col min="2056" max="2056" width="55.375" style="55" customWidth="1"/>
    <col min="2057" max="2305" width="9" style="55"/>
    <col min="2306" max="2306" width="49.5" style="55" customWidth="1"/>
    <col min="2307" max="2308" width="9" style="55"/>
    <col min="2309" max="2309" width="41.5" style="55" customWidth="1"/>
    <col min="2310" max="2311" width="9" style="55"/>
    <col min="2312" max="2312" width="55.375" style="55" customWidth="1"/>
    <col min="2313" max="2561" width="9" style="55"/>
    <col min="2562" max="2562" width="49.5" style="55" customWidth="1"/>
    <col min="2563" max="2564" width="9" style="55"/>
    <col min="2565" max="2565" width="41.5" style="55" customWidth="1"/>
    <col min="2566" max="2567" width="9" style="55"/>
    <col min="2568" max="2568" width="55.375" style="55" customWidth="1"/>
    <col min="2569" max="2817" width="9" style="55"/>
    <col min="2818" max="2818" width="49.5" style="55" customWidth="1"/>
    <col min="2819" max="2820" width="9" style="55"/>
    <col min="2821" max="2821" width="41.5" style="55" customWidth="1"/>
    <col min="2822" max="2823" width="9" style="55"/>
    <col min="2824" max="2824" width="55.375" style="55" customWidth="1"/>
    <col min="2825" max="3073" width="9" style="55"/>
    <col min="3074" max="3074" width="49.5" style="55" customWidth="1"/>
    <col min="3075" max="3076" width="9" style="55"/>
    <col min="3077" max="3077" width="41.5" style="55" customWidth="1"/>
    <col min="3078" max="3079" width="9" style="55"/>
    <col min="3080" max="3080" width="55.375" style="55" customWidth="1"/>
    <col min="3081" max="3329" width="9" style="55"/>
    <col min="3330" max="3330" width="49.5" style="55" customWidth="1"/>
    <col min="3331" max="3332" width="9" style="55"/>
    <col min="3333" max="3333" width="41.5" style="55" customWidth="1"/>
    <col min="3334" max="3335" width="9" style="55"/>
    <col min="3336" max="3336" width="55.375" style="55" customWidth="1"/>
    <col min="3337" max="3585" width="9" style="55"/>
    <col min="3586" max="3586" width="49.5" style="55" customWidth="1"/>
    <col min="3587" max="3588" width="9" style="55"/>
    <col min="3589" max="3589" width="41.5" style="55" customWidth="1"/>
    <col min="3590" max="3591" width="9" style="55"/>
    <col min="3592" max="3592" width="55.375" style="55" customWidth="1"/>
    <col min="3593" max="3841" width="9" style="55"/>
    <col min="3842" max="3842" width="49.5" style="55" customWidth="1"/>
    <col min="3843" max="3844" width="9" style="55"/>
    <col min="3845" max="3845" width="41.5" style="55" customWidth="1"/>
    <col min="3846" max="3847" width="9" style="55"/>
    <col min="3848" max="3848" width="55.375" style="55" customWidth="1"/>
    <col min="3849" max="4097" width="9" style="55"/>
    <col min="4098" max="4098" width="49.5" style="55" customWidth="1"/>
    <col min="4099" max="4100" width="9" style="55"/>
    <col min="4101" max="4101" width="41.5" style="55" customWidth="1"/>
    <col min="4102" max="4103" width="9" style="55"/>
    <col min="4104" max="4104" width="55.375" style="55" customWidth="1"/>
    <col min="4105" max="4353" width="9" style="55"/>
    <col min="4354" max="4354" width="49.5" style="55" customWidth="1"/>
    <col min="4355" max="4356" width="9" style="55"/>
    <col min="4357" max="4357" width="41.5" style="55" customWidth="1"/>
    <col min="4358" max="4359" width="9" style="55"/>
    <col min="4360" max="4360" width="55.375" style="55" customWidth="1"/>
    <col min="4361" max="4609" width="9" style="55"/>
    <col min="4610" max="4610" width="49.5" style="55" customWidth="1"/>
    <col min="4611" max="4612" width="9" style="55"/>
    <col min="4613" max="4613" width="41.5" style="55" customWidth="1"/>
    <col min="4614" max="4615" width="9" style="55"/>
    <col min="4616" max="4616" width="55.375" style="55" customWidth="1"/>
    <col min="4617" max="4865" width="9" style="55"/>
    <col min="4866" max="4866" width="49.5" style="55" customWidth="1"/>
    <col min="4867" max="4868" width="9" style="55"/>
    <col min="4869" max="4869" width="41.5" style="55" customWidth="1"/>
    <col min="4870" max="4871" width="9" style="55"/>
    <col min="4872" max="4872" width="55.375" style="55" customWidth="1"/>
    <col min="4873" max="5121" width="9" style="55"/>
    <col min="5122" max="5122" width="49.5" style="55" customWidth="1"/>
    <col min="5123" max="5124" width="9" style="55"/>
    <col min="5125" max="5125" width="41.5" style="55" customWidth="1"/>
    <col min="5126" max="5127" width="9" style="55"/>
    <col min="5128" max="5128" width="55.375" style="55" customWidth="1"/>
    <col min="5129" max="5377" width="9" style="55"/>
    <col min="5378" max="5378" width="49.5" style="55" customWidth="1"/>
    <col min="5379" max="5380" width="9" style="55"/>
    <col min="5381" max="5381" width="41.5" style="55" customWidth="1"/>
    <col min="5382" max="5383" width="9" style="55"/>
    <col min="5384" max="5384" width="55.375" style="55" customWidth="1"/>
    <col min="5385" max="5633" width="9" style="55"/>
    <col min="5634" max="5634" width="49.5" style="55" customWidth="1"/>
    <col min="5635" max="5636" width="9" style="55"/>
    <col min="5637" max="5637" width="41.5" style="55" customWidth="1"/>
    <col min="5638" max="5639" width="9" style="55"/>
    <col min="5640" max="5640" width="55.375" style="55" customWidth="1"/>
    <col min="5641" max="5889" width="9" style="55"/>
    <col min="5890" max="5890" width="49.5" style="55" customWidth="1"/>
    <col min="5891" max="5892" width="9" style="55"/>
    <col min="5893" max="5893" width="41.5" style="55" customWidth="1"/>
    <col min="5894" max="5895" width="9" style="55"/>
    <col min="5896" max="5896" width="55.375" style="55" customWidth="1"/>
    <col min="5897" max="6145" width="9" style="55"/>
    <col min="6146" max="6146" width="49.5" style="55" customWidth="1"/>
    <col min="6147" max="6148" width="9" style="55"/>
    <col min="6149" max="6149" width="41.5" style="55" customWidth="1"/>
    <col min="6150" max="6151" width="9" style="55"/>
    <col min="6152" max="6152" width="55.375" style="55" customWidth="1"/>
    <col min="6153" max="6401" width="9" style="55"/>
    <col min="6402" max="6402" width="49.5" style="55" customWidth="1"/>
    <col min="6403" max="6404" width="9" style="55"/>
    <col min="6405" max="6405" width="41.5" style="55" customWidth="1"/>
    <col min="6406" max="6407" width="9" style="55"/>
    <col min="6408" max="6408" width="55.375" style="55" customWidth="1"/>
    <col min="6409" max="6657" width="9" style="55"/>
    <col min="6658" max="6658" width="49.5" style="55" customWidth="1"/>
    <col min="6659" max="6660" width="9" style="55"/>
    <col min="6661" max="6661" width="41.5" style="55" customWidth="1"/>
    <col min="6662" max="6663" width="9" style="55"/>
    <col min="6664" max="6664" width="55.375" style="55" customWidth="1"/>
    <col min="6665" max="6913" width="9" style="55"/>
    <col min="6914" max="6914" width="49.5" style="55" customWidth="1"/>
    <col min="6915" max="6916" width="9" style="55"/>
    <col min="6917" max="6917" width="41.5" style="55" customWidth="1"/>
    <col min="6918" max="6919" width="9" style="55"/>
    <col min="6920" max="6920" width="55.375" style="55" customWidth="1"/>
    <col min="6921" max="7169" width="9" style="55"/>
    <col min="7170" max="7170" width="49.5" style="55" customWidth="1"/>
    <col min="7171" max="7172" width="9" style="55"/>
    <col min="7173" max="7173" width="41.5" style="55" customWidth="1"/>
    <col min="7174" max="7175" width="9" style="55"/>
    <col min="7176" max="7176" width="55.375" style="55" customWidth="1"/>
    <col min="7177" max="7425" width="9" style="55"/>
    <col min="7426" max="7426" width="49.5" style="55" customWidth="1"/>
    <col min="7427" max="7428" width="9" style="55"/>
    <col min="7429" max="7429" width="41.5" style="55" customWidth="1"/>
    <col min="7430" max="7431" width="9" style="55"/>
    <col min="7432" max="7432" width="55.375" style="55" customWidth="1"/>
    <col min="7433" max="7681" width="9" style="55"/>
    <col min="7682" max="7682" width="49.5" style="55" customWidth="1"/>
    <col min="7683" max="7684" width="9" style="55"/>
    <col min="7685" max="7685" width="41.5" style="55" customWidth="1"/>
    <col min="7686" max="7687" width="9" style="55"/>
    <col min="7688" max="7688" width="55.375" style="55" customWidth="1"/>
    <col min="7689" max="7937" width="9" style="55"/>
    <col min="7938" max="7938" width="49.5" style="55" customWidth="1"/>
    <col min="7939" max="7940" width="9" style="55"/>
    <col min="7941" max="7941" width="41.5" style="55" customWidth="1"/>
    <col min="7942" max="7943" width="9" style="55"/>
    <col min="7944" max="7944" width="55.375" style="55" customWidth="1"/>
    <col min="7945" max="8193" width="9" style="55"/>
    <col min="8194" max="8194" width="49.5" style="55" customWidth="1"/>
    <col min="8195" max="8196" width="9" style="55"/>
    <col min="8197" max="8197" width="41.5" style="55" customWidth="1"/>
    <col min="8198" max="8199" width="9" style="55"/>
    <col min="8200" max="8200" width="55.375" style="55" customWidth="1"/>
    <col min="8201" max="8449" width="9" style="55"/>
    <col min="8450" max="8450" width="49.5" style="55" customWidth="1"/>
    <col min="8451" max="8452" width="9" style="55"/>
    <col min="8453" max="8453" width="41.5" style="55" customWidth="1"/>
    <col min="8454" max="8455" width="9" style="55"/>
    <col min="8456" max="8456" width="55.375" style="55" customWidth="1"/>
    <col min="8457" max="8705" width="9" style="55"/>
    <col min="8706" max="8706" width="49.5" style="55" customWidth="1"/>
    <col min="8707" max="8708" width="9" style="55"/>
    <col min="8709" max="8709" width="41.5" style="55" customWidth="1"/>
    <col min="8710" max="8711" width="9" style="55"/>
    <col min="8712" max="8712" width="55.375" style="55" customWidth="1"/>
    <col min="8713" max="8961" width="9" style="55"/>
    <col min="8962" max="8962" width="49.5" style="55" customWidth="1"/>
    <col min="8963" max="8964" width="9" style="55"/>
    <col min="8965" max="8965" width="41.5" style="55" customWidth="1"/>
    <col min="8966" max="8967" width="9" style="55"/>
    <col min="8968" max="8968" width="55.375" style="55" customWidth="1"/>
    <col min="8969" max="9217" width="9" style="55"/>
    <col min="9218" max="9218" width="49.5" style="55" customWidth="1"/>
    <col min="9219" max="9220" width="9" style="55"/>
    <col min="9221" max="9221" width="41.5" style="55" customWidth="1"/>
    <col min="9222" max="9223" width="9" style="55"/>
    <col min="9224" max="9224" width="55.375" style="55" customWidth="1"/>
    <col min="9225" max="9473" width="9" style="55"/>
    <col min="9474" max="9474" width="49.5" style="55" customWidth="1"/>
    <col min="9475" max="9476" width="9" style="55"/>
    <col min="9477" max="9477" width="41.5" style="55" customWidth="1"/>
    <col min="9478" max="9479" width="9" style="55"/>
    <col min="9480" max="9480" width="55.375" style="55" customWidth="1"/>
    <col min="9481" max="9729" width="9" style="55"/>
    <col min="9730" max="9730" width="49.5" style="55" customWidth="1"/>
    <col min="9731" max="9732" width="9" style="55"/>
    <col min="9733" max="9733" width="41.5" style="55" customWidth="1"/>
    <col min="9734" max="9735" width="9" style="55"/>
    <col min="9736" max="9736" width="55.375" style="55" customWidth="1"/>
    <col min="9737" max="9985" width="9" style="55"/>
    <col min="9986" max="9986" width="49.5" style="55" customWidth="1"/>
    <col min="9987" max="9988" width="9" style="55"/>
    <col min="9989" max="9989" width="41.5" style="55" customWidth="1"/>
    <col min="9990" max="9991" width="9" style="55"/>
    <col min="9992" max="9992" width="55.375" style="55" customWidth="1"/>
    <col min="9993" max="10241" width="9" style="55"/>
    <col min="10242" max="10242" width="49.5" style="55" customWidth="1"/>
    <col min="10243" max="10244" width="9" style="55"/>
    <col min="10245" max="10245" width="41.5" style="55" customWidth="1"/>
    <col min="10246" max="10247" width="9" style="55"/>
    <col min="10248" max="10248" width="55.375" style="55" customWidth="1"/>
    <col min="10249" max="10497" width="9" style="55"/>
    <col min="10498" max="10498" width="49.5" style="55" customWidth="1"/>
    <col min="10499" max="10500" width="9" style="55"/>
    <col min="10501" max="10501" width="41.5" style="55" customWidth="1"/>
    <col min="10502" max="10503" width="9" style="55"/>
    <col min="10504" max="10504" width="55.375" style="55" customWidth="1"/>
    <col min="10505" max="10753" width="9" style="55"/>
    <col min="10754" max="10754" width="49.5" style="55" customWidth="1"/>
    <col min="10755" max="10756" width="9" style="55"/>
    <col min="10757" max="10757" width="41.5" style="55" customWidth="1"/>
    <col min="10758" max="10759" width="9" style="55"/>
    <col min="10760" max="10760" width="55.375" style="55" customWidth="1"/>
    <col min="10761" max="11009" width="9" style="55"/>
    <col min="11010" max="11010" width="49.5" style="55" customWidth="1"/>
    <col min="11011" max="11012" width="9" style="55"/>
    <col min="11013" max="11013" width="41.5" style="55" customWidth="1"/>
    <col min="11014" max="11015" width="9" style="55"/>
    <col min="11016" max="11016" width="55.375" style="55" customWidth="1"/>
    <col min="11017" max="11265" width="9" style="55"/>
    <col min="11266" max="11266" width="49.5" style="55" customWidth="1"/>
    <col min="11267" max="11268" width="9" style="55"/>
    <col min="11269" max="11269" width="41.5" style="55" customWidth="1"/>
    <col min="11270" max="11271" width="9" style="55"/>
    <col min="11272" max="11272" width="55.375" style="55" customWidth="1"/>
    <col min="11273" max="11521" width="9" style="55"/>
    <col min="11522" max="11522" width="49.5" style="55" customWidth="1"/>
    <col min="11523" max="11524" width="9" style="55"/>
    <col min="11525" max="11525" width="41.5" style="55" customWidth="1"/>
    <col min="11526" max="11527" width="9" style="55"/>
    <col min="11528" max="11528" width="55.375" style="55" customWidth="1"/>
    <col min="11529" max="11777" width="9" style="55"/>
    <col min="11778" max="11778" width="49.5" style="55" customWidth="1"/>
    <col min="11779" max="11780" width="9" style="55"/>
    <col min="11781" max="11781" width="41.5" style="55" customWidth="1"/>
    <col min="11782" max="11783" width="9" style="55"/>
    <col min="11784" max="11784" width="55.375" style="55" customWidth="1"/>
    <col min="11785" max="12033" width="9" style="55"/>
    <col min="12034" max="12034" width="49.5" style="55" customWidth="1"/>
    <col min="12035" max="12036" width="9" style="55"/>
    <col min="12037" max="12037" width="41.5" style="55" customWidth="1"/>
    <col min="12038" max="12039" width="9" style="55"/>
    <col min="12040" max="12040" width="55.375" style="55" customWidth="1"/>
    <col min="12041" max="12289" width="9" style="55"/>
    <col min="12290" max="12290" width="49.5" style="55" customWidth="1"/>
    <col min="12291" max="12292" width="9" style="55"/>
    <col min="12293" max="12293" width="41.5" style="55" customWidth="1"/>
    <col min="12294" max="12295" width="9" style="55"/>
    <col min="12296" max="12296" width="55.375" style="55" customWidth="1"/>
    <col min="12297" max="12545" width="9" style="55"/>
    <col min="12546" max="12546" width="49.5" style="55" customWidth="1"/>
    <col min="12547" max="12548" width="9" style="55"/>
    <col min="12549" max="12549" width="41.5" style="55" customWidth="1"/>
    <col min="12550" max="12551" width="9" style="55"/>
    <col min="12552" max="12552" width="55.375" style="55" customWidth="1"/>
    <col min="12553" max="12801" width="9" style="55"/>
    <col min="12802" max="12802" width="49.5" style="55" customWidth="1"/>
    <col min="12803" max="12804" width="9" style="55"/>
    <col min="12805" max="12805" width="41.5" style="55" customWidth="1"/>
    <col min="12806" max="12807" width="9" style="55"/>
    <col min="12808" max="12808" width="55.375" style="55" customWidth="1"/>
    <col min="12809" max="13057" width="9" style="55"/>
    <col min="13058" max="13058" width="49.5" style="55" customWidth="1"/>
    <col min="13059" max="13060" width="9" style="55"/>
    <col min="13061" max="13061" width="41.5" style="55" customWidth="1"/>
    <col min="13062" max="13063" width="9" style="55"/>
    <col min="13064" max="13064" width="55.375" style="55" customWidth="1"/>
    <col min="13065" max="13313" width="9" style="55"/>
    <col min="13314" max="13314" width="49.5" style="55" customWidth="1"/>
    <col min="13315" max="13316" width="9" style="55"/>
    <col min="13317" max="13317" width="41.5" style="55" customWidth="1"/>
    <col min="13318" max="13319" width="9" style="55"/>
    <col min="13320" max="13320" width="55.375" style="55" customWidth="1"/>
    <col min="13321" max="13569" width="9" style="55"/>
    <col min="13570" max="13570" width="49.5" style="55" customWidth="1"/>
    <col min="13571" max="13572" width="9" style="55"/>
    <col min="13573" max="13573" width="41.5" style="55" customWidth="1"/>
    <col min="13574" max="13575" width="9" style="55"/>
    <col min="13576" max="13576" width="55.375" style="55" customWidth="1"/>
    <col min="13577" max="13825" width="9" style="55"/>
    <col min="13826" max="13826" width="49.5" style="55" customWidth="1"/>
    <col min="13827" max="13828" width="9" style="55"/>
    <col min="13829" max="13829" width="41.5" style="55" customWidth="1"/>
    <col min="13830" max="13831" width="9" style="55"/>
    <col min="13832" max="13832" width="55.375" style="55" customWidth="1"/>
    <col min="13833" max="14081" width="9" style="55"/>
    <col min="14082" max="14082" width="49.5" style="55" customWidth="1"/>
    <col min="14083" max="14084" width="9" style="55"/>
    <col min="14085" max="14085" width="41.5" style="55" customWidth="1"/>
    <col min="14086" max="14087" width="9" style="55"/>
    <col min="14088" max="14088" width="55.375" style="55" customWidth="1"/>
    <col min="14089" max="14337" width="9" style="55"/>
    <col min="14338" max="14338" width="49.5" style="55" customWidth="1"/>
    <col min="14339" max="14340" width="9" style="55"/>
    <col min="14341" max="14341" width="41.5" style="55" customWidth="1"/>
    <col min="14342" max="14343" width="9" style="55"/>
    <col min="14344" max="14344" width="55.375" style="55" customWidth="1"/>
    <col min="14345" max="14593" width="9" style="55"/>
    <col min="14594" max="14594" width="49.5" style="55" customWidth="1"/>
    <col min="14595" max="14596" width="9" style="55"/>
    <col min="14597" max="14597" width="41.5" style="55" customWidth="1"/>
    <col min="14598" max="14599" width="9" style="55"/>
    <col min="14600" max="14600" width="55.375" style="55" customWidth="1"/>
    <col min="14601" max="14849" width="9" style="55"/>
    <col min="14850" max="14850" width="49.5" style="55" customWidth="1"/>
    <col min="14851" max="14852" width="9" style="55"/>
    <col min="14853" max="14853" width="41.5" style="55" customWidth="1"/>
    <col min="14854" max="14855" width="9" style="55"/>
    <col min="14856" max="14856" width="55.375" style="55" customWidth="1"/>
    <col min="14857" max="15105" width="9" style="55"/>
    <col min="15106" max="15106" width="49.5" style="55" customWidth="1"/>
    <col min="15107" max="15108" width="9" style="55"/>
    <col min="15109" max="15109" width="41.5" style="55" customWidth="1"/>
    <col min="15110" max="15111" width="9" style="55"/>
    <col min="15112" max="15112" width="55.375" style="55" customWidth="1"/>
    <col min="15113" max="15361" width="9" style="55"/>
    <col min="15362" max="15362" width="49.5" style="55" customWidth="1"/>
    <col min="15363" max="15364" width="9" style="55"/>
    <col min="15365" max="15365" width="41.5" style="55" customWidth="1"/>
    <col min="15366" max="15367" width="9" style="55"/>
    <col min="15368" max="15368" width="55.375" style="55" customWidth="1"/>
    <col min="15369" max="15617" width="9" style="55"/>
    <col min="15618" max="15618" width="49.5" style="55" customWidth="1"/>
    <col min="15619" max="15620" width="9" style="55"/>
    <col min="15621" max="15621" width="41.5" style="55" customWidth="1"/>
    <col min="15622" max="15623" width="9" style="55"/>
    <col min="15624" max="15624" width="55.375" style="55" customWidth="1"/>
    <col min="15625" max="15873" width="9" style="55"/>
    <col min="15874" max="15874" width="49.5" style="55" customWidth="1"/>
    <col min="15875" max="15876" width="9" style="55"/>
    <col min="15877" max="15877" width="41.5" style="55" customWidth="1"/>
    <col min="15878" max="15879" width="9" style="55"/>
    <col min="15880" max="15880" width="55.375" style="55" customWidth="1"/>
    <col min="15881" max="16129" width="9" style="55"/>
    <col min="16130" max="16130" width="49.5" style="55" customWidth="1"/>
    <col min="16131" max="16132" width="9" style="55"/>
    <col min="16133" max="16133" width="41.5" style="55" customWidth="1"/>
    <col min="16134" max="16135" width="9" style="55"/>
    <col min="16136" max="16136" width="55.375" style="55" customWidth="1"/>
    <col min="16137" max="16384" width="9" style="55"/>
  </cols>
  <sheetData>
    <row r="1" spans="1:95" ht="18.75" x14ac:dyDescent="0.2">
      <c r="B1" s="332" t="s">
        <v>1063</v>
      </c>
      <c r="C1" s="333"/>
      <c r="E1" s="332" t="s">
        <v>1064</v>
      </c>
      <c r="H1" s="332" t="s">
        <v>1065</v>
      </c>
    </row>
    <row r="2" spans="1:95" ht="14.25" thickBot="1" x14ac:dyDescent="0.2">
      <c r="B2" s="414"/>
    </row>
    <row r="3" spans="1:95" x14ac:dyDescent="0.15">
      <c r="A3" s="410" t="s">
        <v>430</v>
      </c>
      <c r="B3" s="449" t="s">
        <v>1066</v>
      </c>
      <c r="D3" s="611" t="s">
        <v>430</v>
      </c>
      <c r="E3" s="334" t="s">
        <v>1067</v>
      </c>
      <c r="G3" s="611" t="s">
        <v>450</v>
      </c>
      <c r="H3" s="334" t="s">
        <v>1068</v>
      </c>
    </row>
    <row r="4" spans="1:95" x14ac:dyDescent="0.15">
      <c r="A4" s="411"/>
      <c r="B4" s="450" t="s">
        <v>1069</v>
      </c>
      <c r="D4" s="613"/>
      <c r="E4" s="334" t="s">
        <v>1070</v>
      </c>
      <c r="G4" s="612"/>
      <c r="H4" s="456" t="s">
        <v>1071</v>
      </c>
    </row>
    <row r="5" spans="1:95" x14ac:dyDescent="0.15">
      <c r="A5" s="411"/>
      <c r="B5" s="450" t="s">
        <v>1072</v>
      </c>
      <c r="D5" s="611" t="s">
        <v>2419</v>
      </c>
      <c r="E5" s="334" t="s">
        <v>2420</v>
      </c>
      <c r="G5" s="612"/>
      <c r="H5" s="334" t="s">
        <v>1074</v>
      </c>
    </row>
    <row r="6" spans="1:95" x14ac:dyDescent="0.15">
      <c r="A6" s="411"/>
      <c r="B6" s="450" t="s">
        <v>2391</v>
      </c>
      <c r="D6" s="613"/>
      <c r="E6" s="334" t="s">
        <v>2421</v>
      </c>
      <c r="G6" s="612"/>
      <c r="H6" s="334" t="s">
        <v>1077</v>
      </c>
    </row>
    <row r="7" spans="1:95" x14ac:dyDescent="0.15">
      <c r="A7" s="411"/>
      <c r="B7" s="450" t="s">
        <v>2392</v>
      </c>
      <c r="D7" s="335" t="s">
        <v>450</v>
      </c>
      <c r="E7" s="334" t="s">
        <v>1073</v>
      </c>
      <c r="G7" s="612"/>
      <c r="H7" s="334" t="s">
        <v>1080</v>
      </c>
    </row>
    <row r="8" spans="1:95" x14ac:dyDescent="0.15">
      <c r="A8" s="411"/>
      <c r="B8" s="450" t="s">
        <v>2398</v>
      </c>
      <c r="D8" s="335"/>
      <c r="E8" s="334" t="s">
        <v>1076</v>
      </c>
      <c r="G8" s="612"/>
      <c r="H8" s="334" t="s">
        <v>1082</v>
      </c>
    </row>
    <row r="9" spans="1:95" x14ac:dyDescent="0.15">
      <c r="A9" s="411"/>
      <c r="B9" s="450" t="s">
        <v>1075</v>
      </c>
      <c r="D9" s="609" t="s">
        <v>1079</v>
      </c>
      <c r="E9" s="334" t="s">
        <v>2422</v>
      </c>
      <c r="G9" s="612"/>
      <c r="H9" s="334" t="s">
        <v>1085</v>
      </c>
    </row>
    <row r="10" spans="1:95" ht="14.25" thickBot="1" x14ac:dyDescent="0.2">
      <c r="A10" s="412"/>
      <c r="B10" s="451" t="s">
        <v>1078</v>
      </c>
      <c r="D10" s="609"/>
      <c r="E10" s="334" t="s">
        <v>2423</v>
      </c>
      <c r="G10" s="612"/>
      <c r="H10" s="334" t="s">
        <v>1088</v>
      </c>
    </row>
    <row r="11" spans="1:95" x14ac:dyDescent="0.15">
      <c r="A11" s="410" t="s">
        <v>450</v>
      </c>
      <c r="B11" s="449" t="s">
        <v>1081</v>
      </c>
      <c r="D11" s="609"/>
      <c r="E11" s="334" t="s">
        <v>1084</v>
      </c>
      <c r="G11" s="612"/>
      <c r="H11" s="334" t="s">
        <v>1091</v>
      </c>
    </row>
    <row r="12" spans="1:95" x14ac:dyDescent="0.15">
      <c r="A12" s="411"/>
      <c r="B12" s="450" t="s">
        <v>1083</v>
      </c>
      <c r="D12" s="609"/>
      <c r="E12" s="334" t="s">
        <v>1087</v>
      </c>
      <c r="G12" s="612"/>
      <c r="H12" s="334" t="s">
        <v>1094</v>
      </c>
    </row>
    <row r="13" spans="1:95" x14ac:dyDescent="0.15">
      <c r="A13" s="411"/>
      <c r="B13" s="450" t="s">
        <v>1086</v>
      </c>
      <c r="D13" s="609"/>
      <c r="E13" s="334" t="s">
        <v>1090</v>
      </c>
      <c r="G13" s="612"/>
      <c r="H13" s="334"/>
    </row>
    <row r="14" spans="1:95" x14ac:dyDescent="0.15">
      <c r="A14" s="411"/>
      <c r="B14" s="450" t="s">
        <v>2393</v>
      </c>
      <c r="D14" s="609"/>
      <c r="E14" s="334" t="s">
        <v>1093</v>
      </c>
      <c r="G14" s="612"/>
      <c r="H14" s="334"/>
    </row>
    <row r="15" spans="1:95" x14ac:dyDescent="0.15">
      <c r="A15" s="411"/>
      <c r="B15" s="450" t="s">
        <v>2394</v>
      </c>
      <c r="D15" s="409"/>
      <c r="E15" s="334"/>
      <c r="G15" s="612"/>
      <c r="H15" s="334"/>
    </row>
    <row r="16" spans="1:95" s="413" customFormat="1" x14ac:dyDescent="0.15">
      <c r="A16" s="411"/>
      <c r="B16" s="450" t="s">
        <v>2395</v>
      </c>
      <c r="C16" s="55"/>
      <c r="D16" s="409"/>
      <c r="E16" s="334"/>
      <c r="F16" s="55"/>
      <c r="G16" s="612"/>
      <c r="H16" s="334" t="s">
        <v>1098</v>
      </c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</row>
    <row r="17" spans="1:8" x14ac:dyDescent="0.15">
      <c r="A17" s="411"/>
      <c r="B17" s="450" t="s">
        <v>1089</v>
      </c>
      <c r="D17" s="409"/>
      <c r="E17" s="334"/>
      <c r="G17" s="613"/>
      <c r="H17" s="334" t="s">
        <v>1100</v>
      </c>
    </row>
    <row r="18" spans="1:8" ht="14.25" thickBot="1" x14ac:dyDescent="0.2">
      <c r="A18" s="412"/>
      <c r="B18" s="451" t="s">
        <v>1092</v>
      </c>
      <c r="D18" s="609" t="s">
        <v>1097</v>
      </c>
      <c r="E18" s="334" t="s">
        <v>2424</v>
      </c>
      <c r="G18" s="611" t="s">
        <v>1103</v>
      </c>
      <c r="H18" s="334" t="s">
        <v>1104</v>
      </c>
    </row>
    <row r="19" spans="1:8" x14ac:dyDescent="0.15">
      <c r="A19" s="410" t="s">
        <v>1095</v>
      </c>
      <c r="B19" s="449" t="s">
        <v>1096</v>
      </c>
      <c r="D19" s="609"/>
      <c r="E19" s="334" t="s">
        <v>2425</v>
      </c>
      <c r="G19" s="612"/>
      <c r="H19" s="334" t="s">
        <v>1107</v>
      </c>
    </row>
    <row r="20" spans="1:8" x14ac:dyDescent="0.15">
      <c r="A20" s="411"/>
      <c r="B20" s="450" t="s">
        <v>1099</v>
      </c>
      <c r="D20" s="609"/>
      <c r="E20" s="334" t="s">
        <v>1102</v>
      </c>
      <c r="G20" s="612"/>
      <c r="H20" s="334" t="s">
        <v>1110</v>
      </c>
    </row>
    <row r="21" spans="1:8" x14ac:dyDescent="0.15">
      <c r="A21" s="411"/>
      <c r="B21" s="450" t="s">
        <v>1101</v>
      </c>
      <c r="D21" s="609"/>
      <c r="E21" s="334" t="s">
        <v>1106</v>
      </c>
      <c r="G21" s="612"/>
      <c r="H21" s="334" t="s">
        <v>1114</v>
      </c>
    </row>
    <row r="22" spans="1:8" x14ac:dyDescent="0.15">
      <c r="A22" s="411"/>
      <c r="B22" s="450" t="s">
        <v>1105</v>
      </c>
      <c r="D22" s="609"/>
      <c r="E22" s="334" t="s">
        <v>1109</v>
      </c>
      <c r="G22" s="612"/>
      <c r="H22" s="334" t="s">
        <v>1117</v>
      </c>
    </row>
    <row r="23" spans="1:8" ht="14.25" thickBot="1" x14ac:dyDescent="0.2">
      <c r="A23" s="412"/>
      <c r="B23" s="451" t="s">
        <v>1108</v>
      </c>
      <c r="D23" s="609"/>
      <c r="E23" s="334" t="s">
        <v>1113</v>
      </c>
      <c r="G23" s="612"/>
      <c r="H23" s="334" t="s">
        <v>1119</v>
      </c>
    </row>
    <row r="24" spans="1:8" x14ac:dyDescent="0.15">
      <c r="A24" s="410" t="s">
        <v>1111</v>
      </c>
      <c r="B24" s="449" t="s">
        <v>1112</v>
      </c>
      <c r="D24" s="610" t="s">
        <v>1116</v>
      </c>
      <c r="E24" s="334" t="s">
        <v>2426</v>
      </c>
      <c r="G24" s="612"/>
      <c r="H24" s="334" t="s">
        <v>1122</v>
      </c>
    </row>
    <row r="25" spans="1:8" x14ac:dyDescent="0.15">
      <c r="A25" s="411"/>
      <c r="B25" s="450" t="s">
        <v>1115</v>
      </c>
      <c r="D25" s="610"/>
      <c r="E25" s="334" t="s">
        <v>2427</v>
      </c>
      <c r="G25" s="612"/>
      <c r="H25" s="334" t="s">
        <v>1125</v>
      </c>
    </row>
    <row r="26" spans="1:8" x14ac:dyDescent="0.15">
      <c r="A26" s="411"/>
      <c r="B26" s="450" t="s">
        <v>1118</v>
      </c>
      <c r="D26" s="609" t="s">
        <v>453</v>
      </c>
      <c r="E26" s="334" t="s">
        <v>1121</v>
      </c>
      <c r="G26" s="613"/>
      <c r="H26" s="334" t="s">
        <v>1127</v>
      </c>
    </row>
    <row r="27" spans="1:8" x14ac:dyDescent="0.15">
      <c r="A27" s="411"/>
      <c r="B27" s="450" t="s">
        <v>2396</v>
      </c>
      <c r="D27" s="609"/>
      <c r="E27" s="334" t="s">
        <v>1124</v>
      </c>
      <c r="G27" s="611" t="s">
        <v>451</v>
      </c>
      <c r="H27" s="334" t="s">
        <v>1129</v>
      </c>
    </row>
    <row r="28" spans="1:8" x14ac:dyDescent="0.15">
      <c r="A28" s="411"/>
      <c r="B28" s="450" t="s">
        <v>2397</v>
      </c>
      <c r="D28" s="609" t="s">
        <v>451</v>
      </c>
      <c r="E28" s="334" t="s">
        <v>1126</v>
      </c>
      <c r="G28" s="612"/>
      <c r="H28" s="334" t="s">
        <v>1131</v>
      </c>
    </row>
    <row r="29" spans="1:8" x14ac:dyDescent="0.15">
      <c r="A29" s="411"/>
      <c r="B29" s="450" t="s">
        <v>2399</v>
      </c>
      <c r="D29" s="609"/>
      <c r="E29" s="334" t="s">
        <v>1128</v>
      </c>
      <c r="G29" s="612"/>
      <c r="H29" s="334" t="s">
        <v>1133</v>
      </c>
    </row>
    <row r="30" spans="1:8" x14ac:dyDescent="0.15">
      <c r="A30" s="411"/>
      <c r="B30" s="450" t="s">
        <v>1120</v>
      </c>
      <c r="D30" s="609" t="s">
        <v>463</v>
      </c>
      <c r="E30" s="334" t="s">
        <v>1130</v>
      </c>
      <c r="G30" s="612"/>
      <c r="H30" s="334" t="s">
        <v>1137</v>
      </c>
    </row>
    <row r="31" spans="1:8" ht="14.25" thickBot="1" x14ac:dyDescent="0.2">
      <c r="A31" s="412"/>
      <c r="B31" s="451" t="s">
        <v>1123</v>
      </c>
      <c r="D31" s="609"/>
      <c r="E31" s="334" t="s">
        <v>1132</v>
      </c>
      <c r="G31" s="612"/>
      <c r="H31" s="334" t="s">
        <v>1140</v>
      </c>
    </row>
    <row r="32" spans="1:8" x14ac:dyDescent="0.15">
      <c r="A32" s="410" t="s">
        <v>2407</v>
      </c>
      <c r="B32" s="449" t="s">
        <v>2400</v>
      </c>
      <c r="D32" s="609" t="s">
        <v>1135</v>
      </c>
      <c r="E32" s="334" t="s">
        <v>1136</v>
      </c>
      <c r="G32" s="612"/>
      <c r="H32" s="334" t="s">
        <v>1144</v>
      </c>
    </row>
    <row r="33" spans="1:8" x14ac:dyDescent="0.15">
      <c r="A33" s="411"/>
      <c r="B33" s="450" t="s">
        <v>2438</v>
      </c>
      <c r="D33" s="609"/>
      <c r="E33" s="334" t="s">
        <v>1139</v>
      </c>
      <c r="G33" s="612"/>
      <c r="H33" s="334" t="s">
        <v>1147</v>
      </c>
    </row>
    <row r="34" spans="1:8" ht="15" customHeight="1" x14ac:dyDescent="0.15">
      <c r="A34" s="411"/>
      <c r="B34" s="450" t="s">
        <v>2401</v>
      </c>
      <c r="D34" s="609" t="s">
        <v>1142</v>
      </c>
      <c r="E34" s="334" t="s">
        <v>1143</v>
      </c>
      <c r="G34" s="612"/>
      <c r="H34" s="334" t="s">
        <v>1150</v>
      </c>
    </row>
    <row r="35" spans="1:8" x14ac:dyDescent="0.15">
      <c r="A35" s="411"/>
      <c r="B35" s="450" t="s">
        <v>2439</v>
      </c>
      <c r="D35" s="609"/>
      <c r="E35" s="334" t="s">
        <v>1146</v>
      </c>
      <c r="G35" s="612"/>
      <c r="H35" s="334" t="s">
        <v>1153</v>
      </c>
    </row>
    <row r="36" spans="1:8" ht="15.75" customHeight="1" x14ac:dyDescent="0.2">
      <c r="A36" s="411"/>
      <c r="B36" s="450" t="s">
        <v>2440</v>
      </c>
      <c r="E36" s="455" t="s">
        <v>1149</v>
      </c>
      <c r="G36" s="613"/>
      <c r="H36" s="334" t="s">
        <v>1156</v>
      </c>
    </row>
    <row r="37" spans="1:8" x14ac:dyDescent="0.15">
      <c r="A37" s="411"/>
      <c r="B37" s="450" t="s">
        <v>2402</v>
      </c>
      <c r="D37" s="609" t="s">
        <v>430</v>
      </c>
      <c r="E37" s="334" t="s">
        <v>1152</v>
      </c>
      <c r="G37" s="611" t="s">
        <v>463</v>
      </c>
      <c r="H37" s="334" t="s">
        <v>1159</v>
      </c>
    </row>
    <row r="38" spans="1:8" x14ac:dyDescent="0.15">
      <c r="A38" s="411"/>
      <c r="B38" s="450" t="s">
        <v>1134</v>
      </c>
      <c r="D38" s="609"/>
      <c r="E38" s="334" t="s">
        <v>1155</v>
      </c>
      <c r="G38" s="612"/>
      <c r="H38" s="334" t="s">
        <v>1162</v>
      </c>
    </row>
    <row r="39" spans="1:8" x14ac:dyDescent="0.15">
      <c r="A39" s="411"/>
      <c r="B39" s="450" t="s">
        <v>1138</v>
      </c>
      <c r="D39" s="609" t="s">
        <v>450</v>
      </c>
      <c r="E39" s="334" t="s">
        <v>1158</v>
      </c>
      <c r="G39" s="612"/>
      <c r="H39" s="334" t="s">
        <v>1164</v>
      </c>
    </row>
    <row r="40" spans="1:8" x14ac:dyDescent="0.15">
      <c r="A40" s="411"/>
      <c r="B40" s="450" t="s">
        <v>1141</v>
      </c>
      <c r="D40" s="609"/>
      <c r="E40" s="334" t="s">
        <v>1161</v>
      </c>
      <c r="G40" s="612"/>
      <c r="H40" s="334" t="s">
        <v>1166</v>
      </c>
    </row>
    <row r="41" spans="1:8" x14ac:dyDescent="0.15">
      <c r="A41" s="411"/>
      <c r="B41" s="450" t="s">
        <v>1145</v>
      </c>
      <c r="D41" s="609" t="s">
        <v>1079</v>
      </c>
      <c r="E41" s="334" t="s">
        <v>1163</v>
      </c>
      <c r="G41" s="612"/>
      <c r="H41" s="334" t="s">
        <v>1168</v>
      </c>
    </row>
    <row r="42" spans="1:8" x14ac:dyDescent="0.15">
      <c r="A42" s="411"/>
      <c r="B42" s="450" t="s">
        <v>1148</v>
      </c>
      <c r="D42" s="609"/>
      <c r="E42" s="334" t="s">
        <v>1165</v>
      </c>
      <c r="G42" s="612"/>
      <c r="H42" s="334" t="s">
        <v>1170</v>
      </c>
    </row>
    <row r="43" spans="1:8" x14ac:dyDescent="0.15">
      <c r="A43" s="411"/>
      <c r="B43" s="450" t="s">
        <v>1151</v>
      </c>
      <c r="D43" s="609"/>
      <c r="E43" s="334" t="s">
        <v>1167</v>
      </c>
      <c r="G43" s="612"/>
      <c r="H43" s="334" t="s">
        <v>1173</v>
      </c>
    </row>
    <row r="44" spans="1:8" x14ac:dyDescent="0.15">
      <c r="A44" s="411"/>
      <c r="B44" s="450" t="s">
        <v>1154</v>
      </c>
      <c r="D44" s="609"/>
      <c r="E44" s="334" t="s">
        <v>1169</v>
      </c>
      <c r="G44" s="612"/>
      <c r="H44" s="334" t="s">
        <v>1176</v>
      </c>
    </row>
    <row r="45" spans="1:8" x14ac:dyDescent="0.15">
      <c r="A45" s="411"/>
      <c r="B45" s="450" t="s">
        <v>1157</v>
      </c>
      <c r="D45" s="609"/>
      <c r="E45" s="334" t="s">
        <v>1172</v>
      </c>
      <c r="G45" s="612"/>
      <c r="H45" s="334" t="s">
        <v>1179</v>
      </c>
    </row>
    <row r="46" spans="1:8" ht="14.25" thickBot="1" x14ac:dyDescent="0.2">
      <c r="A46" s="412"/>
      <c r="B46" s="451" t="s">
        <v>1160</v>
      </c>
      <c r="D46" s="609"/>
      <c r="E46" s="334" t="s">
        <v>1175</v>
      </c>
      <c r="G46" s="613"/>
      <c r="H46" s="334" t="s">
        <v>1182</v>
      </c>
    </row>
    <row r="47" spans="1:8" x14ac:dyDescent="0.15">
      <c r="A47" s="410" t="s">
        <v>2408</v>
      </c>
      <c r="B47" s="452" t="s">
        <v>2403</v>
      </c>
      <c r="D47" s="609" t="s">
        <v>1097</v>
      </c>
      <c r="E47" s="334" t="s">
        <v>1178</v>
      </c>
      <c r="G47" s="335"/>
      <c r="H47" s="334"/>
    </row>
    <row r="48" spans="1:8" x14ac:dyDescent="0.15">
      <c r="A48" s="411"/>
      <c r="B48" s="453" t="s">
        <v>2404</v>
      </c>
      <c r="D48" s="609"/>
      <c r="E48" s="334" t="s">
        <v>1181</v>
      </c>
    </row>
    <row r="49" spans="1:5" x14ac:dyDescent="0.15">
      <c r="A49" s="411"/>
      <c r="B49" s="453" t="s">
        <v>2405</v>
      </c>
      <c r="D49" s="609"/>
      <c r="E49" s="334" t="s">
        <v>1184</v>
      </c>
    </row>
    <row r="50" spans="1:5" x14ac:dyDescent="0.15">
      <c r="A50" s="411"/>
      <c r="B50" s="453" t="s">
        <v>2416</v>
      </c>
      <c r="D50" s="609"/>
      <c r="E50" s="334" t="s">
        <v>1186</v>
      </c>
    </row>
    <row r="51" spans="1:5" x14ac:dyDescent="0.15">
      <c r="A51" s="411"/>
      <c r="B51" s="453" t="s">
        <v>2417</v>
      </c>
      <c r="D51" s="609"/>
      <c r="E51" s="334" t="s">
        <v>1187</v>
      </c>
    </row>
    <row r="52" spans="1:5" x14ac:dyDescent="0.15">
      <c r="A52" s="411"/>
      <c r="B52" s="453" t="s">
        <v>2406</v>
      </c>
      <c r="D52" s="609"/>
      <c r="E52" s="334" t="s">
        <v>1189</v>
      </c>
    </row>
    <row r="53" spans="1:5" x14ac:dyDescent="0.15">
      <c r="A53" s="411"/>
      <c r="B53" s="453" t="s">
        <v>1171</v>
      </c>
      <c r="D53" s="610" t="s">
        <v>1116</v>
      </c>
      <c r="E53" s="334" t="s">
        <v>1191</v>
      </c>
    </row>
    <row r="54" spans="1:5" x14ac:dyDescent="0.15">
      <c r="A54" s="411"/>
      <c r="B54" s="453" t="s">
        <v>1174</v>
      </c>
      <c r="D54" s="610"/>
      <c r="E54" s="334" t="s">
        <v>1192</v>
      </c>
    </row>
    <row r="55" spans="1:5" x14ac:dyDescent="0.15">
      <c r="A55" s="411"/>
      <c r="B55" s="453" t="s">
        <v>1177</v>
      </c>
      <c r="D55" s="609" t="s">
        <v>453</v>
      </c>
      <c r="E55" s="334" t="s">
        <v>1193</v>
      </c>
    </row>
    <row r="56" spans="1:5" x14ac:dyDescent="0.15">
      <c r="A56" s="411"/>
      <c r="B56" s="453" t="s">
        <v>1180</v>
      </c>
      <c r="D56" s="609"/>
      <c r="E56" s="334" t="s">
        <v>1194</v>
      </c>
    </row>
    <row r="57" spans="1:5" x14ac:dyDescent="0.15">
      <c r="A57" s="411"/>
      <c r="B57" s="453" t="s">
        <v>1183</v>
      </c>
      <c r="D57" s="609" t="s">
        <v>451</v>
      </c>
      <c r="E57" s="334" t="s">
        <v>1195</v>
      </c>
    </row>
    <row r="58" spans="1:5" x14ac:dyDescent="0.15">
      <c r="A58" s="411"/>
      <c r="B58" s="453" t="s">
        <v>1185</v>
      </c>
      <c r="D58" s="609"/>
      <c r="E58" s="334" t="s">
        <v>1196</v>
      </c>
    </row>
    <row r="59" spans="1:5" x14ac:dyDescent="0.15">
      <c r="A59" s="411"/>
      <c r="B59" s="453" t="s">
        <v>2418</v>
      </c>
      <c r="D59" s="609" t="s">
        <v>463</v>
      </c>
      <c r="E59" s="334" t="s">
        <v>1198</v>
      </c>
    </row>
    <row r="60" spans="1:5" x14ac:dyDescent="0.15">
      <c r="A60" s="411"/>
      <c r="B60" s="453" t="s">
        <v>1188</v>
      </c>
      <c r="D60" s="609"/>
      <c r="E60" s="334" t="s">
        <v>1200</v>
      </c>
    </row>
    <row r="61" spans="1:5" ht="14.25" thickBot="1" x14ac:dyDescent="0.2">
      <c r="A61" s="412"/>
      <c r="B61" s="454" t="s">
        <v>1190</v>
      </c>
      <c r="D61" s="609" t="s">
        <v>1135</v>
      </c>
      <c r="E61" s="334" t="s">
        <v>1202</v>
      </c>
    </row>
    <row r="62" spans="1:5" x14ac:dyDescent="0.15">
      <c r="A62" s="410" t="s">
        <v>1116</v>
      </c>
      <c r="B62" s="452" t="s">
        <v>2409</v>
      </c>
      <c r="D62" s="609"/>
      <c r="E62" s="334" t="s">
        <v>1204</v>
      </c>
    </row>
    <row r="63" spans="1:5" x14ac:dyDescent="0.15">
      <c r="A63" s="411"/>
      <c r="B63" s="453" t="s">
        <v>2410</v>
      </c>
      <c r="D63" s="609" t="s">
        <v>1142</v>
      </c>
      <c r="E63" s="334" t="s">
        <v>1206</v>
      </c>
    </row>
    <row r="64" spans="1:5" x14ac:dyDescent="0.15">
      <c r="A64" s="411"/>
      <c r="B64" s="453" t="s">
        <v>2411</v>
      </c>
      <c r="D64" s="609"/>
      <c r="E64" s="334" t="s">
        <v>1208</v>
      </c>
    </row>
    <row r="65" spans="1:5" x14ac:dyDescent="0.15">
      <c r="A65" s="411"/>
      <c r="B65" s="453" t="s">
        <v>2412</v>
      </c>
    </row>
    <row r="66" spans="1:5" x14ac:dyDescent="0.15">
      <c r="A66" s="411"/>
      <c r="B66" s="453" t="s">
        <v>2413</v>
      </c>
      <c r="D66" s="334"/>
      <c r="E66" s="334" t="s">
        <v>1211</v>
      </c>
    </row>
    <row r="67" spans="1:5" x14ac:dyDescent="0.15">
      <c r="A67" s="411"/>
      <c r="B67" s="453" t="s">
        <v>2414</v>
      </c>
      <c r="D67" s="334"/>
      <c r="E67" s="334"/>
    </row>
    <row r="68" spans="1:5" ht="14.25" thickBot="1" x14ac:dyDescent="0.2">
      <c r="A68" s="412"/>
      <c r="B68" s="454" t="s">
        <v>2415</v>
      </c>
      <c r="D68" s="334"/>
      <c r="E68" s="334"/>
    </row>
    <row r="69" spans="1:5" x14ac:dyDescent="0.15">
      <c r="A69" s="410" t="s">
        <v>436</v>
      </c>
      <c r="B69" s="452" t="s">
        <v>1197</v>
      </c>
      <c r="D69" s="334"/>
      <c r="E69" s="334" t="s">
        <v>1213</v>
      </c>
    </row>
    <row r="70" spans="1:5" x14ac:dyDescent="0.15">
      <c r="A70" s="411"/>
      <c r="B70" s="453" t="s">
        <v>1199</v>
      </c>
    </row>
    <row r="71" spans="1:5" x14ac:dyDescent="0.15">
      <c r="A71" s="411"/>
      <c r="B71" s="453" t="s">
        <v>1201</v>
      </c>
      <c r="D71" s="334"/>
      <c r="E71" s="334" t="s">
        <v>1216</v>
      </c>
    </row>
    <row r="72" spans="1:5" x14ac:dyDescent="0.15">
      <c r="A72" s="411"/>
      <c r="B72" s="453" t="s">
        <v>1203</v>
      </c>
    </row>
    <row r="73" spans="1:5" x14ac:dyDescent="0.15">
      <c r="A73" s="411"/>
      <c r="B73" s="453" t="s">
        <v>1205</v>
      </c>
    </row>
    <row r="74" spans="1:5" ht="14.25" thickBot="1" x14ac:dyDescent="0.2">
      <c r="A74" s="412"/>
      <c r="B74" s="454" t="s">
        <v>1207</v>
      </c>
    </row>
    <row r="75" spans="1:5" x14ac:dyDescent="0.15">
      <c r="A75" s="410" t="s">
        <v>453</v>
      </c>
      <c r="B75" s="452" t="s">
        <v>1209</v>
      </c>
    </row>
    <row r="76" spans="1:5" x14ac:dyDescent="0.15">
      <c r="A76" s="411"/>
      <c r="B76" s="453" t="s">
        <v>1210</v>
      </c>
    </row>
    <row r="77" spans="1:5" x14ac:dyDescent="0.15">
      <c r="A77" s="411"/>
      <c r="B77" s="453" t="s">
        <v>1212</v>
      </c>
    </row>
    <row r="78" spans="1:5" x14ac:dyDescent="0.15">
      <c r="A78" s="411"/>
      <c r="B78" s="453" t="s">
        <v>1214</v>
      </c>
    </row>
    <row r="79" spans="1:5" ht="14.25" thickBot="1" x14ac:dyDescent="0.2">
      <c r="A79" s="412"/>
      <c r="B79" s="454" t="s">
        <v>1215</v>
      </c>
    </row>
    <row r="80" spans="1:5" x14ac:dyDescent="0.15">
      <c r="A80" s="410" t="s">
        <v>451</v>
      </c>
      <c r="B80" s="452" t="s">
        <v>1217</v>
      </c>
    </row>
    <row r="81" spans="1:2" x14ac:dyDescent="0.15">
      <c r="A81" s="411"/>
      <c r="B81" s="453" t="s">
        <v>1218</v>
      </c>
    </row>
    <row r="82" spans="1:2" x14ac:dyDescent="0.15">
      <c r="A82" s="411"/>
      <c r="B82" s="453" t="s">
        <v>1219</v>
      </c>
    </row>
    <row r="83" spans="1:2" x14ac:dyDescent="0.15">
      <c r="A83" s="411"/>
      <c r="B83" s="453" t="s">
        <v>1220</v>
      </c>
    </row>
    <row r="84" spans="1:2" ht="14.25" thickBot="1" x14ac:dyDescent="0.2">
      <c r="A84" s="412"/>
      <c r="B84" s="454" t="s">
        <v>1221</v>
      </c>
    </row>
    <row r="85" spans="1:2" x14ac:dyDescent="0.15">
      <c r="A85" s="410" t="s">
        <v>463</v>
      </c>
      <c r="B85" s="452" t="s">
        <v>1222</v>
      </c>
    </row>
    <row r="86" spans="1:2" x14ac:dyDescent="0.15">
      <c r="A86" s="411"/>
      <c r="B86" s="453" t="s">
        <v>1223</v>
      </c>
    </row>
    <row r="87" spans="1:2" x14ac:dyDescent="0.15">
      <c r="A87" s="411"/>
      <c r="B87" s="453" t="s">
        <v>1224</v>
      </c>
    </row>
    <row r="88" spans="1:2" ht="14.25" thickBot="1" x14ac:dyDescent="0.2">
      <c r="A88" s="412"/>
      <c r="B88" s="454" t="s">
        <v>1225</v>
      </c>
    </row>
    <row r="89" spans="1:2" x14ac:dyDescent="0.15">
      <c r="A89" s="410" t="s">
        <v>1135</v>
      </c>
      <c r="B89" s="452" t="s">
        <v>1226</v>
      </c>
    </row>
    <row r="90" spans="1:2" x14ac:dyDescent="0.15">
      <c r="A90" s="411"/>
      <c r="B90" s="453" t="s">
        <v>1227</v>
      </c>
    </row>
    <row r="91" spans="1:2" ht="14.25" thickBot="1" x14ac:dyDescent="0.2">
      <c r="A91" s="412"/>
      <c r="B91" s="454" t="s">
        <v>1228</v>
      </c>
    </row>
    <row r="92" spans="1:2" x14ac:dyDescent="0.15">
      <c r="A92" s="410" t="s">
        <v>1142</v>
      </c>
      <c r="B92" s="452" t="s">
        <v>1229</v>
      </c>
    </row>
    <row r="93" spans="1:2" x14ac:dyDescent="0.15">
      <c r="A93" s="411"/>
      <c r="B93" s="453" t="s">
        <v>1230</v>
      </c>
    </row>
    <row r="94" spans="1:2" x14ac:dyDescent="0.15">
      <c r="A94" s="411"/>
      <c r="B94" s="453" t="s">
        <v>1231</v>
      </c>
    </row>
    <row r="95" spans="1:2" ht="14.25" thickBot="1" x14ac:dyDescent="0.2">
      <c r="A95" s="412"/>
      <c r="B95" s="454" t="s">
        <v>1232</v>
      </c>
    </row>
  </sheetData>
  <mergeCells count="24">
    <mergeCell ref="D3:D4"/>
    <mergeCell ref="G3:G17"/>
    <mergeCell ref="D5:D6"/>
    <mergeCell ref="D9:D14"/>
    <mergeCell ref="D18:D23"/>
    <mergeCell ref="G18:G26"/>
    <mergeCell ref="D24:D25"/>
    <mergeCell ref="D26:D27"/>
    <mergeCell ref="D28:D29"/>
    <mergeCell ref="G27:G36"/>
    <mergeCell ref="D30:D31"/>
    <mergeCell ref="D32:D33"/>
    <mergeCell ref="D34:D35"/>
    <mergeCell ref="D37:D38"/>
    <mergeCell ref="D39:D40"/>
    <mergeCell ref="G37:G46"/>
    <mergeCell ref="D41:D46"/>
    <mergeCell ref="D47:D52"/>
    <mergeCell ref="D63:D64"/>
    <mergeCell ref="D53:D54"/>
    <mergeCell ref="D55:D56"/>
    <mergeCell ref="D57:D58"/>
    <mergeCell ref="D59:D60"/>
    <mergeCell ref="D61:D62"/>
  </mergeCells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242B0-68E9-4E7E-9C29-C4DE869C9C39}">
  <sheetPr codeName="Sheet15">
    <tabColor rgb="FF00B0F0"/>
    <pageSetUpPr fitToPage="1"/>
  </sheetPr>
  <dimension ref="B1:K67"/>
  <sheetViews>
    <sheetView showGridLines="0" showZeros="0" zoomScaleNormal="100" workbookViewId="0">
      <selection activeCell="K16" sqref="K16"/>
    </sheetView>
  </sheetViews>
  <sheetFormatPr defaultRowHeight="13.5" x14ac:dyDescent="0.15"/>
  <cols>
    <col min="1" max="1" width="1.25" style="1" customWidth="1"/>
    <col min="2" max="2" width="7.25" style="1" customWidth="1"/>
    <col min="3" max="3" width="11.5" style="1" customWidth="1"/>
    <col min="4" max="4" width="11.125" style="1" customWidth="1"/>
    <col min="5" max="5" width="29.25" style="1" customWidth="1"/>
    <col min="6" max="6" width="9.75" style="1" customWidth="1"/>
    <col min="7" max="7" width="7.25" style="1" customWidth="1"/>
    <col min="8" max="8" width="7.25" style="2" customWidth="1"/>
    <col min="9" max="9" width="6.5" style="2" customWidth="1"/>
    <col min="10" max="10" width="10" style="1" customWidth="1"/>
    <col min="11" max="11" width="15.125" style="1" customWidth="1"/>
    <col min="12" max="256" width="9" style="1"/>
    <col min="257" max="257" width="1.25" style="1" customWidth="1"/>
    <col min="258" max="258" width="7.25" style="1" customWidth="1"/>
    <col min="259" max="259" width="11.5" style="1" customWidth="1"/>
    <col min="260" max="260" width="11.125" style="1" customWidth="1"/>
    <col min="261" max="261" width="29.25" style="1" customWidth="1"/>
    <col min="262" max="262" width="9.75" style="1" customWidth="1"/>
    <col min="263" max="264" width="7.25" style="1" customWidth="1"/>
    <col min="265" max="265" width="6.5" style="1" customWidth="1"/>
    <col min="266" max="266" width="10" style="1" customWidth="1"/>
    <col min="267" max="267" width="15.125" style="1" customWidth="1"/>
    <col min="268" max="512" width="9" style="1"/>
    <col min="513" max="513" width="1.25" style="1" customWidth="1"/>
    <col min="514" max="514" width="7.25" style="1" customWidth="1"/>
    <col min="515" max="515" width="11.5" style="1" customWidth="1"/>
    <col min="516" max="516" width="11.125" style="1" customWidth="1"/>
    <col min="517" max="517" width="29.25" style="1" customWidth="1"/>
    <col min="518" max="518" width="9.75" style="1" customWidth="1"/>
    <col min="519" max="520" width="7.25" style="1" customWidth="1"/>
    <col min="521" max="521" width="6.5" style="1" customWidth="1"/>
    <col min="522" max="522" width="10" style="1" customWidth="1"/>
    <col min="523" max="523" width="15.125" style="1" customWidth="1"/>
    <col min="524" max="768" width="9" style="1"/>
    <col min="769" max="769" width="1.25" style="1" customWidth="1"/>
    <col min="770" max="770" width="7.25" style="1" customWidth="1"/>
    <col min="771" max="771" width="11.5" style="1" customWidth="1"/>
    <col min="772" max="772" width="11.125" style="1" customWidth="1"/>
    <col min="773" max="773" width="29.25" style="1" customWidth="1"/>
    <col min="774" max="774" width="9.75" style="1" customWidth="1"/>
    <col min="775" max="776" width="7.25" style="1" customWidth="1"/>
    <col min="777" max="777" width="6.5" style="1" customWidth="1"/>
    <col min="778" max="778" width="10" style="1" customWidth="1"/>
    <col min="779" max="779" width="15.125" style="1" customWidth="1"/>
    <col min="780" max="1024" width="9" style="1"/>
    <col min="1025" max="1025" width="1.25" style="1" customWidth="1"/>
    <col min="1026" max="1026" width="7.25" style="1" customWidth="1"/>
    <col min="1027" max="1027" width="11.5" style="1" customWidth="1"/>
    <col min="1028" max="1028" width="11.125" style="1" customWidth="1"/>
    <col min="1029" max="1029" width="29.25" style="1" customWidth="1"/>
    <col min="1030" max="1030" width="9.75" style="1" customWidth="1"/>
    <col min="1031" max="1032" width="7.25" style="1" customWidth="1"/>
    <col min="1033" max="1033" width="6.5" style="1" customWidth="1"/>
    <col min="1034" max="1034" width="10" style="1" customWidth="1"/>
    <col min="1035" max="1035" width="15.125" style="1" customWidth="1"/>
    <col min="1036" max="1280" width="9" style="1"/>
    <col min="1281" max="1281" width="1.25" style="1" customWidth="1"/>
    <col min="1282" max="1282" width="7.25" style="1" customWidth="1"/>
    <col min="1283" max="1283" width="11.5" style="1" customWidth="1"/>
    <col min="1284" max="1284" width="11.125" style="1" customWidth="1"/>
    <col min="1285" max="1285" width="29.25" style="1" customWidth="1"/>
    <col min="1286" max="1286" width="9.75" style="1" customWidth="1"/>
    <col min="1287" max="1288" width="7.25" style="1" customWidth="1"/>
    <col min="1289" max="1289" width="6.5" style="1" customWidth="1"/>
    <col min="1290" max="1290" width="10" style="1" customWidth="1"/>
    <col min="1291" max="1291" width="15.125" style="1" customWidth="1"/>
    <col min="1292" max="1536" width="9" style="1"/>
    <col min="1537" max="1537" width="1.25" style="1" customWidth="1"/>
    <col min="1538" max="1538" width="7.25" style="1" customWidth="1"/>
    <col min="1539" max="1539" width="11.5" style="1" customWidth="1"/>
    <col min="1540" max="1540" width="11.125" style="1" customWidth="1"/>
    <col min="1541" max="1541" width="29.25" style="1" customWidth="1"/>
    <col min="1542" max="1542" width="9.75" style="1" customWidth="1"/>
    <col min="1543" max="1544" width="7.25" style="1" customWidth="1"/>
    <col min="1545" max="1545" width="6.5" style="1" customWidth="1"/>
    <col min="1546" max="1546" width="10" style="1" customWidth="1"/>
    <col min="1547" max="1547" width="15.125" style="1" customWidth="1"/>
    <col min="1548" max="1792" width="9" style="1"/>
    <col min="1793" max="1793" width="1.25" style="1" customWidth="1"/>
    <col min="1794" max="1794" width="7.25" style="1" customWidth="1"/>
    <col min="1795" max="1795" width="11.5" style="1" customWidth="1"/>
    <col min="1796" max="1796" width="11.125" style="1" customWidth="1"/>
    <col min="1797" max="1797" width="29.25" style="1" customWidth="1"/>
    <col min="1798" max="1798" width="9.75" style="1" customWidth="1"/>
    <col min="1799" max="1800" width="7.25" style="1" customWidth="1"/>
    <col min="1801" max="1801" width="6.5" style="1" customWidth="1"/>
    <col min="1802" max="1802" width="10" style="1" customWidth="1"/>
    <col min="1803" max="1803" width="15.125" style="1" customWidth="1"/>
    <col min="1804" max="2048" width="9" style="1"/>
    <col min="2049" max="2049" width="1.25" style="1" customWidth="1"/>
    <col min="2050" max="2050" width="7.25" style="1" customWidth="1"/>
    <col min="2051" max="2051" width="11.5" style="1" customWidth="1"/>
    <col min="2052" max="2052" width="11.125" style="1" customWidth="1"/>
    <col min="2053" max="2053" width="29.25" style="1" customWidth="1"/>
    <col min="2054" max="2054" width="9.75" style="1" customWidth="1"/>
    <col min="2055" max="2056" width="7.25" style="1" customWidth="1"/>
    <col min="2057" max="2057" width="6.5" style="1" customWidth="1"/>
    <col min="2058" max="2058" width="10" style="1" customWidth="1"/>
    <col min="2059" max="2059" width="15.125" style="1" customWidth="1"/>
    <col min="2060" max="2304" width="9" style="1"/>
    <col min="2305" max="2305" width="1.25" style="1" customWidth="1"/>
    <col min="2306" max="2306" width="7.25" style="1" customWidth="1"/>
    <col min="2307" max="2307" width="11.5" style="1" customWidth="1"/>
    <col min="2308" max="2308" width="11.125" style="1" customWidth="1"/>
    <col min="2309" max="2309" width="29.25" style="1" customWidth="1"/>
    <col min="2310" max="2310" width="9.75" style="1" customWidth="1"/>
    <col min="2311" max="2312" width="7.25" style="1" customWidth="1"/>
    <col min="2313" max="2313" width="6.5" style="1" customWidth="1"/>
    <col min="2314" max="2314" width="10" style="1" customWidth="1"/>
    <col min="2315" max="2315" width="15.125" style="1" customWidth="1"/>
    <col min="2316" max="2560" width="9" style="1"/>
    <col min="2561" max="2561" width="1.25" style="1" customWidth="1"/>
    <col min="2562" max="2562" width="7.25" style="1" customWidth="1"/>
    <col min="2563" max="2563" width="11.5" style="1" customWidth="1"/>
    <col min="2564" max="2564" width="11.125" style="1" customWidth="1"/>
    <col min="2565" max="2565" width="29.25" style="1" customWidth="1"/>
    <col min="2566" max="2566" width="9.75" style="1" customWidth="1"/>
    <col min="2567" max="2568" width="7.25" style="1" customWidth="1"/>
    <col min="2569" max="2569" width="6.5" style="1" customWidth="1"/>
    <col min="2570" max="2570" width="10" style="1" customWidth="1"/>
    <col min="2571" max="2571" width="15.125" style="1" customWidth="1"/>
    <col min="2572" max="2816" width="9" style="1"/>
    <col min="2817" max="2817" width="1.25" style="1" customWidth="1"/>
    <col min="2818" max="2818" width="7.25" style="1" customWidth="1"/>
    <col min="2819" max="2819" width="11.5" style="1" customWidth="1"/>
    <col min="2820" max="2820" width="11.125" style="1" customWidth="1"/>
    <col min="2821" max="2821" width="29.25" style="1" customWidth="1"/>
    <col min="2822" max="2822" width="9.75" style="1" customWidth="1"/>
    <col min="2823" max="2824" width="7.25" style="1" customWidth="1"/>
    <col min="2825" max="2825" width="6.5" style="1" customWidth="1"/>
    <col min="2826" max="2826" width="10" style="1" customWidth="1"/>
    <col min="2827" max="2827" width="15.125" style="1" customWidth="1"/>
    <col min="2828" max="3072" width="9" style="1"/>
    <col min="3073" max="3073" width="1.25" style="1" customWidth="1"/>
    <col min="3074" max="3074" width="7.25" style="1" customWidth="1"/>
    <col min="3075" max="3075" width="11.5" style="1" customWidth="1"/>
    <col min="3076" max="3076" width="11.125" style="1" customWidth="1"/>
    <col min="3077" max="3077" width="29.25" style="1" customWidth="1"/>
    <col min="3078" max="3078" width="9.75" style="1" customWidth="1"/>
    <col min="3079" max="3080" width="7.25" style="1" customWidth="1"/>
    <col min="3081" max="3081" width="6.5" style="1" customWidth="1"/>
    <col min="3082" max="3082" width="10" style="1" customWidth="1"/>
    <col min="3083" max="3083" width="15.125" style="1" customWidth="1"/>
    <col min="3084" max="3328" width="9" style="1"/>
    <col min="3329" max="3329" width="1.25" style="1" customWidth="1"/>
    <col min="3330" max="3330" width="7.25" style="1" customWidth="1"/>
    <col min="3331" max="3331" width="11.5" style="1" customWidth="1"/>
    <col min="3332" max="3332" width="11.125" style="1" customWidth="1"/>
    <col min="3333" max="3333" width="29.25" style="1" customWidth="1"/>
    <col min="3334" max="3334" width="9.75" style="1" customWidth="1"/>
    <col min="3335" max="3336" width="7.25" style="1" customWidth="1"/>
    <col min="3337" max="3337" width="6.5" style="1" customWidth="1"/>
    <col min="3338" max="3338" width="10" style="1" customWidth="1"/>
    <col min="3339" max="3339" width="15.125" style="1" customWidth="1"/>
    <col min="3340" max="3584" width="9" style="1"/>
    <col min="3585" max="3585" width="1.25" style="1" customWidth="1"/>
    <col min="3586" max="3586" width="7.25" style="1" customWidth="1"/>
    <col min="3587" max="3587" width="11.5" style="1" customWidth="1"/>
    <col min="3588" max="3588" width="11.125" style="1" customWidth="1"/>
    <col min="3589" max="3589" width="29.25" style="1" customWidth="1"/>
    <col min="3590" max="3590" width="9.75" style="1" customWidth="1"/>
    <col min="3591" max="3592" width="7.25" style="1" customWidth="1"/>
    <col min="3593" max="3593" width="6.5" style="1" customWidth="1"/>
    <col min="3594" max="3594" width="10" style="1" customWidth="1"/>
    <col min="3595" max="3595" width="15.125" style="1" customWidth="1"/>
    <col min="3596" max="3840" width="9" style="1"/>
    <col min="3841" max="3841" width="1.25" style="1" customWidth="1"/>
    <col min="3842" max="3842" width="7.25" style="1" customWidth="1"/>
    <col min="3843" max="3843" width="11.5" style="1" customWidth="1"/>
    <col min="3844" max="3844" width="11.125" style="1" customWidth="1"/>
    <col min="3845" max="3845" width="29.25" style="1" customWidth="1"/>
    <col min="3846" max="3846" width="9.75" style="1" customWidth="1"/>
    <col min="3847" max="3848" width="7.25" style="1" customWidth="1"/>
    <col min="3849" max="3849" width="6.5" style="1" customWidth="1"/>
    <col min="3850" max="3850" width="10" style="1" customWidth="1"/>
    <col min="3851" max="3851" width="15.125" style="1" customWidth="1"/>
    <col min="3852" max="4096" width="9" style="1"/>
    <col min="4097" max="4097" width="1.25" style="1" customWidth="1"/>
    <col min="4098" max="4098" width="7.25" style="1" customWidth="1"/>
    <col min="4099" max="4099" width="11.5" style="1" customWidth="1"/>
    <col min="4100" max="4100" width="11.125" style="1" customWidth="1"/>
    <col min="4101" max="4101" width="29.25" style="1" customWidth="1"/>
    <col min="4102" max="4102" width="9.75" style="1" customWidth="1"/>
    <col min="4103" max="4104" width="7.25" style="1" customWidth="1"/>
    <col min="4105" max="4105" width="6.5" style="1" customWidth="1"/>
    <col min="4106" max="4106" width="10" style="1" customWidth="1"/>
    <col min="4107" max="4107" width="15.125" style="1" customWidth="1"/>
    <col min="4108" max="4352" width="9" style="1"/>
    <col min="4353" max="4353" width="1.25" style="1" customWidth="1"/>
    <col min="4354" max="4354" width="7.25" style="1" customWidth="1"/>
    <col min="4355" max="4355" width="11.5" style="1" customWidth="1"/>
    <col min="4356" max="4356" width="11.125" style="1" customWidth="1"/>
    <col min="4357" max="4357" width="29.25" style="1" customWidth="1"/>
    <col min="4358" max="4358" width="9.75" style="1" customWidth="1"/>
    <col min="4359" max="4360" width="7.25" style="1" customWidth="1"/>
    <col min="4361" max="4361" width="6.5" style="1" customWidth="1"/>
    <col min="4362" max="4362" width="10" style="1" customWidth="1"/>
    <col min="4363" max="4363" width="15.125" style="1" customWidth="1"/>
    <col min="4364" max="4608" width="9" style="1"/>
    <col min="4609" max="4609" width="1.25" style="1" customWidth="1"/>
    <col min="4610" max="4610" width="7.25" style="1" customWidth="1"/>
    <col min="4611" max="4611" width="11.5" style="1" customWidth="1"/>
    <col min="4612" max="4612" width="11.125" style="1" customWidth="1"/>
    <col min="4613" max="4613" width="29.25" style="1" customWidth="1"/>
    <col min="4614" max="4614" width="9.75" style="1" customWidth="1"/>
    <col min="4615" max="4616" width="7.25" style="1" customWidth="1"/>
    <col min="4617" max="4617" width="6.5" style="1" customWidth="1"/>
    <col min="4618" max="4618" width="10" style="1" customWidth="1"/>
    <col min="4619" max="4619" width="15.125" style="1" customWidth="1"/>
    <col min="4620" max="4864" width="9" style="1"/>
    <col min="4865" max="4865" width="1.25" style="1" customWidth="1"/>
    <col min="4866" max="4866" width="7.25" style="1" customWidth="1"/>
    <col min="4867" max="4867" width="11.5" style="1" customWidth="1"/>
    <col min="4868" max="4868" width="11.125" style="1" customWidth="1"/>
    <col min="4869" max="4869" width="29.25" style="1" customWidth="1"/>
    <col min="4870" max="4870" width="9.75" style="1" customWidth="1"/>
    <col min="4871" max="4872" width="7.25" style="1" customWidth="1"/>
    <col min="4873" max="4873" width="6.5" style="1" customWidth="1"/>
    <col min="4874" max="4874" width="10" style="1" customWidth="1"/>
    <col min="4875" max="4875" width="15.125" style="1" customWidth="1"/>
    <col min="4876" max="5120" width="9" style="1"/>
    <col min="5121" max="5121" width="1.25" style="1" customWidth="1"/>
    <col min="5122" max="5122" width="7.25" style="1" customWidth="1"/>
    <col min="5123" max="5123" width="11.5" style="1" customWidth="1"/>
    <col min="5124" max="5124" width="11.125" style="1" customWidth="1"/>
    <col min="5125" max="5125" width="29.25" style="1" customWidth="1"/>
    <col min="5126" max="5126" width="9.75" style="1" customWidth="1"/>
    <col min="5127" max="5128" width="7.25" style="1" customWidth="1"/>
    <col min="5129" max="5129" width="6.5" style="1" customWidth="1"/>
    <col min="5130" max="5130" width="10" style="1" customWidth="1"/>
    <col min="5131" max="5131" width="15.125" style="1" customWidth="1"/>
    <col min="5132" max="5376" width="9" style="1"/>
    <col min="5377" max="5377" width="1.25" style="1" customWidth="1"/>
    <col min="5378" max="5378" width="7.25" style="1" customWidth="1"/>
    <col min="5379" max="5379" width="11.5" style="1" customWidth="1"/>
    <col min="5380" max="5380" width="11.125" style="1" customWidth="1"/>
    <col min="5381" max="5381" width="29.25" style="1" customWidth="1"/>
    <col min="5382" max="5382" width="9.75" style="1" customWidth="1"/>
    <col min="5383" max="5384" width="7.25" style="1" customWidth="1"/>
    <col min="5385" max="5385" width="6.5" style="1" customWidth="1"/>
    <col min="5386" max="5386" width="10" style="1" customWidth="1"/>
    <col min="5387" max="5387" width="15.125" style="1" customWidth="1"/>
    <col min="5388" max="5632" width="9" style="1"/>
    <col min="5633" max="5633" width="1.25" style="1" customWidth="1"/>
    <col min="5634" max="5634" width="7.25" style="1" customWidth="1"/>
    <col min="5635" max="5635" width="11.5" style="1" customWidth="1"/>
    <col min="5636" max="5636" width="11.125" style="1" customWidth="1"/>
    <col min="5637" max="5637" width="29.25" style="1" customWidth="1"/>
    <col min="5638" max="5638" width="9.75" style="1" customWidth="1"/>
    <col min="5639" max="5640" width="7.25" style="1" customWidth="1"/>
    <col min="5641" max="5641" width="6.5" style="1" customWidth="1"/>
    <col min="5642" max="5642" width="10" style="1" customWidth="1"/>
    <col min="5643" max="5643" width="15.125" style="1" customWidth="1"/>
    <col min="5644" max="5888" width="9" style="1"/>
    <col min="5889" max="5889" width="1.25" style="1" customWidth="1"/>
    <col min="5890" max="5890" width="7.25" style="1" customWidth="1"/>
    <col min="5891" max="5891" width="11.5" style="1" customWidth="1"/>
    <col min="5892" max="5892" width="11.125" style="1" customWidth="1"/>
    <col min="5893" max="5893" width="29.25" style="1" customWidth="1"/>
    <col min="5894" max="5894" width="9.75" style="1" customWidth="1"/>
    <col min="5895" max="5896" width="7.25" style="1" customWidth="1"/>
    <col min="5897" max="5897" width="6.5" style="1" customWidth="1"/>
    <col min="5898" max="5898" width="10" style="1" customWidth="1"/>
    <col min="5899" max="5899" width="15.125" style="1" customWidth="1"/>
    <col min="5900" max="6144" width="9" style="1"/>
    <col min="6145" max="6145" width="1.25" style="1" customWidth="1"/>
    <col min="6146" max="6146" width="7.25" style="1" customWidth="1"/>
    <col min="6147" max="6147" width="11.5" style="1" customWidth="1"/>
    <col min="6148" max="6148" width="11.125" style="1" customWidth="1"/>
    <col min="6149" max="6149" width="29.25" style="1" customWidth="1"/>
    <col min="6150" max="6150" width="9.75" style="1" customWidth="1"/>
    <col min="6151" max="6152" width="7.25" style="1" customWidth="1"/>
    <col min="6153" max="6153" width="6.5" style="1" customWidth="1"/>
    <col min="6154" max="6154" width="10" style="1" customWidth="1"/>
    <col min="6155" max="6155" width="15.125" style="1" customWidth="1"/>
    <col min="6156" max="6400" width="9" style="1"/>
    <col min="6401" max="6401" width="1.25" style="1" customWidth="1"/>
    <col min="6402" max="6402" width="7.25" style="1" customWidth="1"/>
    <col min="6403" max="6403" width="11.5" style="1" customWidth="1"/>
    <col min="6404" max="6404" width="11.125" style="1" customWidth="1"/>
    <col min="6405" max="6405" width="29.25" style="1" customWidth="1"/>
    <col min="6406" max="6406" width="9.75" style="1" customWidth="1"/>
    <col min="6407" max="6408" width="7.25" style="1" customWidth="1"/>
    <col min="6409" max="6409" width="6.5" style="1" customWidth="1"/>
    <col min="6410" max="6410" width="10" style="1" customWidth="1"/>
    <col min="6411" max="6411" width="15.125" style="1" customWidth="1"/>
    <col min="6412" max="6656" width="9" style="1"/>
    <col min="6657" max="6657" width="1.25" style="1" customWidth="1"/>
    <col min="6658" max="6658" width="7.25" style="1" customWidth="1"/>
    <col min="6659" max="6659" width="11.5" style="1" customWidth="1"/>
    <col min="6660" max="6660" width="11.125" style="1" customWidth="1"/>
    <col min="6661" max="6661" width="29.25" style="1" customWidth="1"/>
    <col min="6662" max="6662" width="9.75" style="1" customWidth="1"/>
    <col min="6663" max="6664" width="7.25" style="1" customWidth="1"/>
    <col min="6665" max="6665" width="6.5" style="1" customWidth="1"/>
    <col min="6666" max="6666" width="10" style="1" customWidth="1"/>
    <col min="6667" max="6667" width="15.125" style="1" customWidth="1"/>
    <col min="6668" max="6912" width="9" style="1"/>
    <col min="6913" max="6913" width="1.25" style="1" customWidth="1"/>
    <col min="6914" max="6914" width="7.25" style="1" customWidth="1"/>
    <col min="6915" max="6915" width="11.5" style="1" customWidth="1"/>
    <col min="6916" max="6916" width="11.125" style="1" customWidth="1"/>
    <col min="6917" max="6917" width="29.25" style="1" customWidth="1"/>
    <col min="6918" max="6918" width="9.75" style="1" customWidth="1"/>
    <col min="6919" max="6920" width="7.25" style="1" customWidth="1"/>
    <col min="6921" max="6921" width="6.5" style="1" customWidth="1"/>
    <col min="6922" max="6922" width="10" style="1" customWidth="1"/>
    <col min="6923" max="6923" width="15.125" style="1" customWidth="1"/>
    <col min="6924" max="7168" width="9" style="1"/>
    <col min="7169" max="7169" width="1.25" style="1" customWidth="1"/>
    <col min="7170" max="7170" width="7.25" style="1" customWidth="1"/>
    <col min="7171" max="7171" width="11.5" style="1" customWidth="1"/>
    <col min="7172" max="7172" width="11.125" style="1" customWidth="1"/>
    <col min="7173" max="7173" width="29.25" style="1" customWidth="1"/>
    <col min="7174" max="7174" width="9.75" style="1" customWidth="1"/>
    <col min="7175" max="7176" width="7.25" style="1" customWidth="1"/>
    <col min="7177" max="7177" width="6.5" style="1" customWidth="1"/>
    <col min="7178" max="7178" width="10" style="1" customWidth="1"/>
    <col min="7179" max="7179" width="15.125" style="1" customWidth="1"/>
    <col min="7180" max="7424" width="9" style="1"/>
    <col min="7425" max="7425" width="1.25" style="1" customWidth="1"/>
    <col min="7426" max="7426" width="7.25" style="1" customWidth="1"/>
    <col min="7427" max="7427" width="11.5" style="1" customWidth="1"/>
    <col min="7428" max="7428" width="11.125" style="1" customWidth="1"/>
    <col min="7429" max="7429" width="29.25" style="1" customWidth="1"/>
    <col min="7430" max="7430" width="9.75" style="1" customWidth="1"/>
    <col min="7431" max="7432" width="7.25" style="1" customWidth="1"/>
    <col min="7433" max="7433" width="6.5" style="1" customWidth="1"/>
    <col min="7434" max="7434" width="10" style="1" customWidth="1"/>
    <col min="7435" max="7435" width="15.125" style="1" customWidth="1"/>
    <col min="7436" max="7680" width="9" style="1"/>
    <col min="7681" max="7681" width="1.25" style="1" customWidth="1"/>
    <col min="7682" max="7682" width="7.25" style="1" customWidth="1"/>
    <col min="7683" max="7683" width="11.5" style="1" customWidth="1"/>
    <col min="7684" max="7684" width="11.125" style="1" customWidth="1"/>
    <col min="7685" max="7685" width="29.25" style="1" customWidth="1"/>
    <col min="7686" max="7686" width="9.75" style="1" customWidth="1"/>
    <col min="7687" max="7688" width="7.25" style="1" customWidth="1"/>
    <col min="7689" max="7689" width="6.5" style="1" customWidth="1"/>
    <col min="7690" max="7690" width="10" style="1" customWidth="1"/>
    <col min="7691" max="7691" width="15.125" style="1" customWidth="1"/>
    <col min="7692" max="7936" width="9" style="1"/>
    <col min="7937" max="7937" width="1.25" style="1" customWidth="1"/>
    <col min="7938" max="7938" width="7.25" style="1" customWidth="1"/>
    <col min="7939" max="7939" width="11.5" style="1" customWidth="1"/>
    <col min="7940" max="7940" width="11.125" style="1" customWidth="1"/>
    <col min="7941" max="7941" width="29.25" style="1" customWidth="1"/>
    <col min="7942" max="7942" width="9.75" style="1" customWidth="1"/>
    <col min="7943" max="7944" width="7.25" style="1" customWidth="1"/>
    <col min="7945" max="7945" width="6.5" style="1" customWidth="1"/>
    <col min="7946" max="7946" width="10" style="1" customWidth="1"/>
    <col min="7947" max="7947" width="15.125" style="1" customWidth="1"/>
    <col min="7948" max="8192" width="9" style="1"/>
    <col min="8193" max="8193" width="1.25" style="1" customWidth="1"/>
    <col min="8194" max="8194" width="7.25" style="1" customWidth="1"/>
    <col min="8195" max="8195" width="11.5" style="1" customWidth="1"/>
    <col min="8196" max="8196" width="11.125" style="1" customWidth="1"/>
    <col min="8197" max="8197" width="29.25" style="1" customWidth="1"/>
    <col min="8198" max="8198" width="9.75" style="1" customWidth="1"/>
    <col min="8199" max="8200" width="7.25" style="1" customWidth="1"/>
    <col min="8201" max="8201" width="6.5" style="1" customWidth="1"/>
    <col min="8202" max="8202" width="10" style="1" customWidth="1"/>
    <col min="8203" max="8203" width="15.125" style="1" customWidth="1"/>
    <col min="8204" max="8448" width="9" style="1"/>
    <col min="8449" max="8449" width="1.25" style="1" customWidth="1"/>
    <col min="8450" max="8450" width="7.25" style="1" customWidth="1"/>
    <col min="8451" max="8451" width="11.5" style="1" customWidth="1"/>
    <col min="8452" max="8452" width="11.125" style="1" customWidth="1"/>
    <col min="8453" max="8453" width="29.25" style="1" customWidth="1"/>
    <col min="8454" max="8454" width="9.75" style="1" customWidth="1"/>
    <col min="8455" max="8456" width="7.25" style="1" customWidth="1"/>
    <col min="8457" max="8457" width="6.5" style="1" customWidth="1"/>
    <col min="8458" max="8458" width="10" style="1" customWidth="1"/>
    <col min="8459" max="8459" width="15.125" style="1" customWidth="1"/>
    <col min="8460" max="8704" width="9" style="1"/>
    <col min="8705" max="8705" width="1.25" style="1" customWidth="1"/>
    <col min="8706" max="8706" width="7.25" style="1" customWidth="1"/>
    <col min="8707" max="8707" width="11.5" style="1" customWidth="1"/>
    <col min="8708" max="8708" width="11.125" style="1" customWidth="1"/>
    <col min="8709" max="8709" width="29.25" style="1" customWidth="1"/>
    <col min="8710" max="8710" width="9.75" style="1" customWidth="1"/>
    <col min="8711" max="8712" width="7.25" style="1" customWidth="1"/>
    <col min="8713" max="8713" width="6.5" style="1" customWidth="1"/>
    <col min="8714" max="8714" width="10" style="1" customWidth="1"/>
    <col min="8715" max="8715" width="15.125" style="1" customWidth="1"/>
    <col min="8716" max="8960" width="9" style="1"/>
    <col min="8961" max="8961" width="1.25" style="1" customWidth="1"/>
    <col min="8962" max="8962" width="7.25" style="1" customWidth="1"/>
    <col min="8963" max="8963" width="11.5" style="1" customWidth="1"/>
    <col min="8964" max="8964" width="11.125" style="1" customWidth="1"/>
    <col min="8965" max="8965" width="29.25" style="1" customWidth="1"/>
    <col min="8966" max="8966" width="9.75" style="1" customWidth="1"/>
    <col min="8967" max="8968" width="7.25" style="1" customWidth="1"/>
    <col min="8969" max="8969" width="6.5" style="1" customWidth="1"/>
    <col min="8970" max="8970" width="10" style="1" customWidth="1"/>
    <col min="8971" max="8971" width="15.125" style="1" customWidth="1"/>
    <col min="8972" max="9216" width="9" style="1"/>
    <col min="9217" max="9217" width="1.25" style="1" customWidth="1"/>
    <col min="9218" max="9218" width="7.25" style="1" customWidth="1"/>
    <col min="9219" max="9219" width="11.5" style="1" customWidth="1"/>
    <col min="9220" max="9220" width="11.125" style="1" customWidth="1"/>
    <col min="9221" max="9221" width="29.25" style="1" customWidth="1"/>
    <col min="9222" max="9222" width="9.75" style="1" customWidth="1"/>
    <col min="9223" max="9224" width="7.25" style="1" customWidth="1"/>
    <col min="9225" max="9225" width="6.5" style="1" customWidth="1"/>
    <col min="9226" max="9226" width="10" style="1" customWidth="1"/>
    <col min="9227" max="9227" width="15.125" style="1" customWidth="1"/>
    <col min="9228" max="9472" width="9" style="1"/>
    <col min="9473" max="9473" width="1.25" style="1" customWidth="1"/>
    <col min="9474" max="9474" width="7.25" style="1" customWidth="1"/>
    <col min="9475" max="9475" width="11.5" style="1" customWidth="1"/>
    <col min="9476" max="9476" width="11.125" style="1" customWidth="1"/>
    <col min="9477" max="9477" width="29.25" style="1" customWidth="1"/>
    <col min="9478" max="9478" width="9.75" style="1" customWidth="1"/>
    <col min="9479" max="9480" width="7.25" style="1" customWidth="1"/>
    <col min="9481" max="9481" width="6.5" style="1" customWidth="1"/>
    <col min="9482" max="9482" width="10" style="1" customWidth="1"/>
    <col min="9483" max="9483" width="15.125" style="1" customWidth="1"/>
    <col min="9484" max="9728" width="9" style="1"/>
    <col min="9729" max="9729" width="1.25" style="1" customWidth="1"/>
    <col min="9730" max="9730" width="7.25" style="1" customWidth="1"/>
    <col min="9731" max="9731" width="11.5" style="1" customWidth="1"/>
    <col min="9732" max="9732" width="11.125" style="1" customWidth="1"/>
    <col min="9733" max="9733" width="29.25" style="1" customWidth="1"/>
    <col min="9734" max="9734" width="9.75" style="1" customWidth="1"/>
    <col min="9735" max="9736" width="7.25" style="1" customWidth="1"/>
    <col min="9737" max="9737" width="6.5" style="1" customWidth="1"/>
    <col min="9738" max="9738" width="10" style="1" customWidth="1"/>
    <col min="9739" max="9739" width="15.125" style="1" customWidth="1"/>
    <col min="9740" max="9984" width="9" style="1"/>
    <col min="9985" max="9985" width="1.25" style="1" customWidth="1"/>
    <col min="9986" max="9986" width="7.25" style="1" customWidth="1"/>
    <col min="9987" max="9987" width="11.5" style="1" customWidth="1"/>
    <col min="9988" max="9988" width="11.125" style="1" customWidth="1"/>
    <col min="9989" max="9989" width="29.25" style="1" customWidth="1"/>
    <col min="9990" max="9990" width="9.75" style="1" customWidth="1"/>
    <col min="9991" max="9992" width="7.25" style="1" customWidth="1"/>
    <col min="9993" max="9993" width="6.5" style="1" customWidth="1"/>
    <col min="9994" max="9994" width="10" style="1" customWidth="1"/>
    <col min="9995" max="9995" width="15.125" style="1" customWidth="1"/>
    <col min="9996" max="10240" width="9" style="1"/>
    <col min="10241" max="10241" width="1.25" style="1" customWidth="1"/>
    <col min="10242" max="10242" width="7.25" style="1" customWidth="1"/>
    <col min="10243" max="10243" width="11.5" style="1" customWidth="1"/>
    <col min="10244" max="10244" width="11.125" style="1" customWidth="1"/>
    <col min="10245" max="10245" width="29.25" style="1" customWidth="1"/>
    <col min="10246" max="10246" width="9.75" style="1" customWidth="1"/>
    <col min="10247" max="10248" width="7.25" style="1" customWidth="1"/>
    <col min="10249" max="10249" width="6.5" style="1" customWidth="1"/>
    <col min="10250" max="10250" width="10" style="1" customWidth="1"/>
    <col min="10251" max="10251" width="15.125" style="1" customWidth="1"/>
    <col min="10252" max="10496" width="9" style="1"/>
    <col min="10497" max="10497" width="1.25" style="1" customWidth="1"/>
    <col min="10498" max="10498" width="7.25" style="1" customWidth="1"/>
    <col min="10499" max="10499" width="11.5" style="1" customWidth="1"/>
    <col min="10500" max="10500" width="11.125" style="1" customWidth="1"/>
    <col min="10501" max="10501" width="29.25" style="1" customWidth="1"/>
    <col min="10502" max="10502" width="9.75" style="1" customWidth="1"/>
    <col min="10503" max="10504" width="7.25" style="1" customWidth="1"/>
    <col min="10505" max="10505" width="6.5" style="1" customWidth="1"/>
    <col min="10506" max="10506" width="10" style="1" customWidth="1"/>
    <col min="10507" max="10507" width="15.125" style="1" customWidth="1"/>
    <col min="10508" max="10752" width="9" style="1"/>
    <col min="10753" max="10753" width="1.25" style="1" customWidth="1"/>
    <col min="10754" max="10754" width="7.25" style="1" customWidth="1"/>
    <col min="10755" max="10755" width="11.5" style="1" customWidth="1"/>
    <col min="10756" max="10756" width="11.125" style="1" customWidth="1"/>
    <col min="10757" max="10757" width="29.25" style="1" customWidth="1"/>
    <col min="10758" max="10758" width="9.75" style="1" customWidth="1"/>
    <col min="10759" max="10760" width="7.25" style="1" customWidth="1"/>
    <col min="10761" max="10761" width="6.5" style="1" customWidth="1"/>
    <col min="10762" max="10762" width="10" style="1" customWidth="1"/>
    <col min="10763" max="10763" width="15.125" style="1" customWidth="1"/>
    <col min="10764" max="11008" width="9" style="1"/>
    <col min="11009" max="11009" width="1.25" style="1" customWidth="1"/>
    <col min="11010" max="11010" width="7.25" style="1" customWidth="1"/>
    <col min="11011" max="11011" width="11.5" style="1" customWidth="1"/>
    <col min="11012" max="11012" width="11.125" style="1" customWidth="1"/>
    <col min="11013" max="11013" width="29.25" style="1" customWidth="1"/>
    <col min="11014" max="11014" width="9.75" style="1" customWidth="1"/>
    <col min="11015" max="11016" width="7.25" style="1" customWidth="1"/>
    <col min="11017" max="11017" width="6.5" style="1" customWidth="1"/>
    <col min="11018" max="11018" width="10" style="1" customWidth="1"/>
    <col min="11019" max="11019" width="15.125" style="1" customWidth="1"/>
    <col min="11020" max="11264" width="9" style="1"/>
    <col min="11265" max="11265" width="1.25" style="1" customWidth="1"/>
    <col min="11266" max="11266" width="7.25" style="1" customWidth="1"/>
    <col min="11267" max="11267" width="11.5" style="1" customWidth="1"/>
    <col min="11268" max="11268" width="11.125" style="1" customWidth="1"/>
    <col min="11269" max="11269" width="29.25" style="1" customWidth="1"/>
    <col min="11270" max="11270" width="9.75" style="1" customWidth="1"/>
    <col min="11271" max="11272" width="7.25" style="1" customWidth="1"/>
    <col min="11273" max="11273" width="6.5" style="1" customWidth="1"/>
    <col min="11274" max="11274" width="10" style="1" customWidth="1"/>
    <col min="11275" max="11275" width="15.125" style="1" customWidth="1"/>
    <col min="11276" max="11520" width="9" style="1"/>
    <col min="11521" max="11521" width="1.25" style="1" customWidth="1"/>
    <col min="11522" max="11522" width="7.25" style="1" customWidth="1"/>
    <col min="11523" max="11523" width="11.5" style="1" customWidth="1"/>
    <col min="11524" max="11524" width="11.125" style="1" customWidth="1"/>
    <col min="11525" max="11525" width="29.25" style="1" customWidth="1"/>
    <col min="11526" max="11526" width="9.75" style="1" customWidth="1"/>
    <col min="11527" max="11528" width="7.25" style="1" customWidth="1"/>
    <col min="11529" max="11529" width="6.5" style="1" customWidth="1"/>
    <col min="11530" max="11530" width="10" style="1" customWidth="1"/>
    <col min="11531" max="11531" width="15.125" style="1" customWidth="1"/>
    <col min="11532" max="11776" width="9" style="1"/>
    <col min="11777" max="11777" width="1.25" style="1" customWidth="1"/>
    <col min="11778" max="11778" width="7.25" style="1" customWidth="1"/>
    <col min="11779" max="11779" width="11.5" style="1" customWidth="1"/>
    <col min="11780" max="11780" width="11.125" style="1" customWidth="1"/>
    <col min="11781" max="11781" width="29.25" style="1" customWidth="1"/>
    <col min="11782" max="11782" width="9.75" style="1" customWidth="1"/>
    <col min="11783" max="11784" width="7.25" style="1" customWidth="1"/>
    <col min="11785" max="11785" width="6.5" style="1" customWidth="1"/>
    <col min="11786" max="11786" width="10" style="1" customWidth="1"/>
    <col min="11787" max="11787" width="15.125" style="1" customWidth="1"/>
    <col min="11788" max="12032" width="9" style="1"/>
    <col min="12033" max="12033" width="1.25" style="1" customWidth="1"/>
    <col min="12034" max="12034" width="7.25" style="1" customWidth="1"/>
    <col min="12035" max="12035" width="11.5" style="1" customWidth="1"/>
    <col min="12036" max="12036" width="11.125" style="1" customWidth="1"/>
    <col min="12037" max="12037" width="29.25" style="1" customWidth="1"/>
    <col min="12038" max="12038" width="9.75" style="1" customWidth="1"/>
    <col min="12039" max="12040" width="7.25" style="1" customWidth="1"/>
    <col min="12041" max="12041" width="6.5" style="1" customWidth="1"/>
    <col min="12042" max="12042" width="10" style="1" customWidth="1"/>
    <col min="12043" max="12043" width="15.125" style="1" customWidth="1"/>
    <col min="12044" max="12288" width="9" style="1"/>
    <col min="12289" max="12289" width="1.25" style="1" customWidth="1"/>
    <col min="12290" max="12290" width="7.25" style="1" customWidth="1"/>
    <col min="12291" max="12291" width="11.5" style="1" customWidth="1"/>
    <col min="12292" max="12292" width="11.125" style="1" customWidth="1"/>
    <col min="12293" max="12293" width="29.25" style="1" customWidth="1"/>
    <col min="12294" max="12294" width="9.75" style="1" customWidth="1"/>
    <col min="12295" max="12296" width="7.25" style="1" customWidth="1"/>
    <col min="12297" max="12297" width="6.5" style="1" customWidth="1"/>
    <col min="12298" max="12298" width="10" style="1" customWidth="1"/>
    <col min="12299" max="12299" width="15.125" style="1" customWidth="1"/>
    <col min="12300" max="12544" width="9" style="1"/>
    <col min="12545" max="12545" width="1.25" style="1" customWidth="1"/>
    <col min="12546" max="12546" width="7.25" style="1" customWidth="1"/>
    <col min="12547" max="12547" width="11.5" style="1" customWidth="1"/>
    <col min="12548" max="12548" width="11.125" style="1" customWidth="1"/>
    <col min="12549" max="12549" width="29.25" style="1" customWidth="1"/>
    <col min="12550" max="12550" width="9.75" style="1" customWidth="1"/>
    <col min="12551" max="12552" width="7.25" style="1" customWidth="1"/>
    <col min="12553" max="12553" width="6.5" style="1" customWidth="1"/>
    <col min="12554" max="12554" width="10" style="1" customWidth="1"/>
    <col min="12555" max="12555" width="15.125" style="1" customWidth="1"/>
    <col min="12556" max="12800" width="9" style="1"/>
    <col min="12801" max="12801" width="1.25" style="1" customWidth="1"/>
    <col min="12802" max="12802" width="7.25" style="1" customWidth="1"/>
    <col min="12803" max="12803" width="11.5" style="1" customWidth="1"/>
    <col min="12804" max="12804" width="11.125" style="1" customWidth="1"/>
    <col min="12805" max="12805" width="29.25" style="1" customWidth="1"/>
    <col min="12806" max="12806" width="9.75" style="1" customWidth="1"/>
    <col min="12807" max="12808" width="7.25" style="1" customWidth="1"/>
    <col min="12809" max="12809" width="6.5" style="1" customWidth="1"/>
    <col min="12810" max="12810" width="10" style="1" customWidth="1"/>
    <col min="12811" max="12811" width="15.125" style="1" customWidth="1"/>
    <col min="12812" max="13056" width="9" style="1"/>
    <col min="13057" max="13057" width="1.25" style="1" customWidth="1"/>
    <col min="13058" max="13058" width="7.25" style="1" customWidth="1"/>
    <col min="13059" max="13059" width="11.5" style="1" customWidth="1"/>
    <col min="13060" max="13060" width="11.125" style="1" customWidth="1"/>
    <col min="13061" max="13061" width="29.25" style="1" customWidth="1"/>
    <col min="13062" max="13062" width="9.75" style="1" customWidth="1"/>
    <col min="13063" max="13064" width="7.25" style="1" customWidth="1"/>
    <col min="13065" max="13065" width="6.5" style="1" customWidth="1"/>
    <col min="13066" max="13066" width="10" style="1" customWidth="1"/>
    <col min="13067" max="13067" width="15.125" style="1" customWidth="1"/>
    <col min="13068" max="13312" width="9" style="1"/>
    <col min="13313" max="13313" width="1.25" style="1" customWidth="1"/>
    <col min="13314" max="13314" width="7.25" style="1" customWidth="1"/>
    <col min="13315" max="13315" width="11.5" style="1" customWidth="1"/>
    <col min="13316" max="13316" width="11.125" style="1" customWidth="1"/>
    <col min="13317" max="13317" width="29.25" style="1" customWidth="1"/>
    <col min="13318" max="13318" width="9.75" style="1" customWidth="1"/>
    <col min="13319" max="13320" width="7.25" style="1" customWidth="1"/>
    <col min="13321" max="13321" width="6.5" style="1" customWidth="1"/>
    <col min="13322" max="13322" width="10" style="1" customWidth="1"/>
    <col min="13323" max="13323" width="15.125" style="1" customWidth="1"/>
    <col min="13324" max="13568" width="9" style="1"/>
    <col min="13569" max="13569" width="1.25" style="1" customWidth="1"/>
    <col min="13570" max="13570" width="7.25" style="1" customWidth="1"/>
    <col min="13571" max="13571" width="11.5" style="1" customWidth="1"/>
    <col min="13572" max="13572" width="11.125" style="1" customWidth="1"/>
    <col min="13573" max="13573" width="29.25" style="1" customWidth="1"/>
    <col min="13574" max="13574" width="9.75" style="1" customWidth="1"/>
    <col min="13575" max="13576" width="7.25" style="1" customWidth="1"/>
    <col min="13577" max="13577" width="6.5" style="1" customWidth="1"/>
    <col min="13578" max="13578" width="10" style="1" customWidth="1"/>
    <col min="13579" max="13579" width="15.125" style="1" customWidth="1"/>
    <col min="13580" max="13824" width="9" style="1"/>
    <col min="13825" max="13825" width="1.25" style="1" customWidth="1"/>
    <col min="13826" max="13826" width="7.25" style="1" customWidth="1"/>
    <col min="13827" max="13827" width="11.5" style="1" customWidth="1"/>
    <col min="13828" max="13828" width="11.125" style="1" customWidth="1"/>
    <col min="13829" max="13829" width="29.25" style="1" customWidth="1"/>
    <col min="13830" max="13830" width="9.75" style="1" customWidth="1"/>
    <col min="13831" max="13832" width="7.25" style="1" customWidth="1"/>
    <col min="13833" max="13833" width="6.5" style="1" customWidth="1"/>
    <col min="13834" max="13834" width="10" style="1" customWidth="1"/>
    <col min="13835" max="13835" width="15.125" style="1" customWidth="1"/>
    <col min="13836" max="14080" width="9" style="1"/>
    <col min="14081" max="14081" width="1.25" style="1" customWidth="1"/>
    <col min="14082" max="14082" width="7.25" style="1" customWidth="1"/>
    <col min="14083" max="14083" width="11.5" style="1" customWidth="1"/>
    <col min="14084" max="14084" width="11.125" style="1" customWidth="1"/>
    <col min="14085" max="14085" width="29.25" style="1" customWidth="1"/>
    <col min="14086" max="14086" width="9.75" style="1" customWidth="1"/>
    <col min="14087" max="14088" width="7.25" style="1" customWidth="1"/>
    <col min="14089" max="14089" width="6.5" style="1" customWidth="1"/>
    <col min="14090" max="14090" width="10" style="1" customWidth="1"/>
    <col min="14091" max="14091" width="15.125" style="1" customWidth="1"/>
    <col min="14092" max="14336" width="9" style="1"/>
    <col min="14337" max="14337" width="1.25" style="1" customWidth="1"/>
    <col min="14338" max="14338" width="7.25" style="1" customWidth="1"/>
    <col min="14339" max="14339" width="11.5" style="1" customWidth="1"/>
    <col min="14340" max="14340" width="11.125" style="1" customWidth="1"/>
    <col min="14341" max="14341" width="29.25" style="1" customWidth="1"/>
    <col min="14342" max="14342" width="9.75" style="1" customWidth="1"/>
    <col min="14343" max="14344" width="7.25" style="1" customWidth="1"/>
    <col min="14345" max="14345" width="6.5" style="1" customWidth="1"/>
    <col min="14346" max="14346" width="10" style="1" customWidth="1"/>
    <col min="14347" max="14347" width="15.125" style="1" customWidth="1"/>
    <col min="14348" max="14592" width="9" style="1"/>
    <col min="14593" max="14593" width="1.25" style="1" customWidth="1"/>
    <col min="14594" max="14594" width="7.25" style="1" customWidth="1"/>
    <col min="14595" max="14595" width="11.5" style="1" customWidth="1"/>
    <col min="14596" max="14596" width="11.125" style="1" customWidth="1"/>
    <col min="14597" max="14597" width="29.25" style="1" customWidth="1"/>
    <col min="14598" max="14598" width="9.75" style="1" customWidth="1"/>
    <col min="14599" max="14600" width="7.25" style="1" customWidth="1"/>
    <col min="14601" max="14601" width="6.5" style="1" customWidth="1"/>
    <col min="14602" max="14602" width="10" style="1" customWidth="1"/>
    <col min="14603" max="14603" width="15.125" style="1" customWidth="1"/>
    <col min="14604" max="14848" width="9" style="1"/>
    <col min="14849" max="14849" width="1.25" style="1" customWidth="1"/>
    <col min="14850" max="14850" width="7.25" style="1" customWidth="1"/>
    <col min="14851" max="14851" width="11.5" style="1" customWidth="1"/>
    <col min="14852" max="14852" width="11.125" style="1" customWidth="1"/>
    <col min="14853" max="14853" width="29.25" style="1" customWidth="1"/>
    <col min="14854" max="14854" width="9.75" style="1" customWidth="1"/>
    <col min="14855" max="14856" width="7.25" style="1" customWidth="1"/>
    <col min="14857" max="14857" width="6.5" style="1" customWidth="1"/>
    <col min="14858" max="14858" width="10" style="1" customWidth="1"/>
    <col min="14859" max="14859" width="15.125" style="1" customWidth="1"/>
    <col min="14860" max="15104" width="9" style="1"/>
    <col min="15105" max="15105" width="1.25" style="1" customWidth="1"/>
    <col min="15106" max="15106" width="7.25" style="1" customWidth="1"/>
    <col min="15107" max="15107" width="11.5" style="1" customWidth="1"/>
    <col min="15108" max="15108" width="11.125" style="1" customWidth="1"/>
    <col min="15109" max="15109" width="29.25" style="1" customWidth="1"/>
    <col min="15110" max="15110" width="9.75" style="1" customWidth="1"/>
    <col min="15111" max="15112" width="7.25" style="1" customWidth="1"/>
    <col min="15113" max="15113" width="6.5" style="1" customWidth="1"/>
    <col min="15114" max="15114" width="10" style="1" customWidth="1"/>
    <col min="15115" max="15115" width="15.125" style="1" customWidth="1"/>
    <col min="15116" max="15360" width="9" style="1"/>
    <col min="15361" max="15361" width="1.25" style="1" customWidth="1"/>
    <col min="15362" max="15362" width="7.25" style="1" customWidth="1"/>
    <col min="15363" max="15363" width="11.5" style="1" customWidth="1"/>
    <col min="15364" max="15364" width="11.125" style="1" customWidth="1"/>
    <col min="15365" max="15365" width="29.25" style="1" customWidth="1"/>
    <col min="15366" max="15366" width="9.75" style="1" customWidth="1"/>
    <col min="15367" max="15368" width="7.25" style="1" customWidth="1"/>
    <col min="15369" max="15369" width="6.5" style="1" customWidth="1"/>
    <col min="15370" max="15370" width="10" style="1" customWidth="1"/>
    <col min="15371" max="15371" width="15.125" style="1" customWidth="1"/>
    <col min="15372" max="15616" width="9" style="1"/>
    <col min="15617" max="15617" width="1.25" style="1" customWidth="1"/>
    <col min="15618" max="15618" width="7.25" style="1" customWidth="1"/>
    <col min="15619" max="15619" width="11.5" style="1" customWidth="1"/>
    <col min="15620" max="15620" width="11.125" style="1" customWidth="1"/>
    <col min="15621" max="15621" width="29.25" style="1" customWidth="1"/>
    <col min="15622" max="15622" width="9.75" style="1" customWidth="1"/>
    <col min="15623" max="15624" width="7.25" style="1" customWidth="1"/>
    <col min="15625" max="15625" width="6.5" style="1" customWidth="1"/>
    <col min="15626" max="15626" width="10" style="1" customWidth="1"/>
    <col min="15627" max="15627" width="15.125" style="1" customWidth="1"/>
    <col min="15628" max="15872" width="9" style="1"/>
    <col min="15873" max="15873" width="1.25" style="1" customWidth="1"/>
    <col min="15874" max="15874" width="7.25" style="1" customWidth="1"/>
    <col min="15875" max="15875" width="11.5" style="1" customWidth="1"/>
    <col min="15876" max="15876" width="11.125" style="1" customWidth="1"/>
    <col min="15877" max="15877" width="29.25" style="1" customWidth="1"/>
    <col min="15878" max="15878" width="9.75" style="1" customWidth="1"/>
    <col min="15879" max="15880" width="7.25" style="1" customWidth="1"/>
    <col min="15881" max="15881" width="6.5" style="1" customWidth="1"/>
    <col min="15882" max="15882" width="10" style="1" customWidth="1"/>
    <col min="15883" max="15883" width="15.125" style="1" customWidth="1"/>
    <col min="15884" max="16128" width="9" style="1"/>
    <col min="16129" max="16129" width="1.25" style="1" customWidth="1"/>
    <col min="16130" max="16130" width="7.25" style="1" customWidth="1"/>
    <col min="16131" max="16131" width="11.5" style="1" customWidth="1"/>
    <col min="16132" max="16132" width="11.125" style="1" customWidth="1"/>
    <col min="16133" max="16133" width="29.25" style="1" customWidth="1"/>
    <col min="16134" max="16134" width="9.75" style="1" customWidth="1"/>
    <col min="16135" max="16136" width="7.25" style="1" customWidth="1"/>
    <col min="16137" max="16137" width="6.5" style="1" customWidth="1"/>
    <col min="16138" max="16138" width="10" style="1" customWidth="1"/>
    <col min="16139" max="16139" width="15.125" style="1" customWidth="1"/>
    <col min="16140" max="16384" width="9" style="1"/>
  </cols>
  <sheetData>
    <row r="1" spans="2:11" ht="12.75" customHeight="1" x14ac:dyDescent="0.15"/>
    <row r="2" spans="2:11" ht="13.7" customHeight="1" thickBot="1" x14ac:dyDescent="0.2">
      <c r="J2" s="550" t="s">
        <v>12</v>
      </c>
      <c r="K2" s="551"/>
    </row>
    <row r="3" spans="2:11" ht="22.7" customHeight="1" thickBot="1" x14ac:dyDescent="0.2">
      <c r="B3" s="617" t="s">
        <v>1233</v>
      </c>
      <c r="C3" s="618"/>
      <c r="D3" s="618"/>
      <c r="E3" s="618"/>
      <c r="F3" s="618"/>
      <c r="G3" s="618"/>
      <c r="H3" s="618"/>
      <c r="I3" s="618"/>
      <c r="J3" s="618"/>
      <c r="K3" s="619"/>
    </row>
    <row r="4" spans="2:11" ht="14.45" customHeight="1" x14ac:dyDescent="0.15"/>
    <row r="5" spans="2:11" ht="25.9" customHeight="1" x14ac:dyDescent="0.2">
      <c r="B5" s="620">
        <f>工事カード!C3</f>
        <v>0</v>
      </c>
      <c r="C5" s="620"/>
      <c r="D5" s="620"/>
      <c r="E5" s="620"/>
      <c r="F5" s="620"/>
      <c r="G5" s="3"/>
      <c r="I5" s="336" t="s">
        <v>14</v>
      </c>
      <c r="J5" s="556">
        <f ca="1">TODAY()</f>
        <v>46326</v>
      </c>
      <c r="K5" s="556"/>
    </row>
    <row r="6" spans="2:11" ht="14.45" customHeight="1" x14ac:dyDescent="0.15">
      <c r="B6" s="4" t="s">
        <v>15</v>
      </c>
      <c r="C6" s="4"/>
      <c r="D6" s="4"/>
      <c r="E6" s="4"/>
      <c r="H6" s="5" t="s">
        <v>12</v>
      </c>
    </row>
    <row r="7" spans="2:11" ht="27.75" customHeight="1" x14ac:dyDescent="0.15">
      <c r="B7" s="4"/>
      <c r="C7" s="4"/>
      <c r="D7" s="4"/>
      <c r="E7" s="4"/>
      <c r="H7" s="621" t="s">
        <v>16</v>
      </c>
      <c r="I7" s="621"/>
      <c r="J7" s="622" t="s">
        <v>17</v>
      </c>
      <c r="K7" s="622"/>
    </row>
    <row r="8" spans="2:11" ht="14.45" customHeight="1" x14ac:dyDescent="0.15">
      <c r="B8" s="6" t="s">
        <v>1234</v>
      </c>
      <c r="C8" s="7" t="str">
        <f>見積書!B8</f>
        <v xml:space="preserve"> </v>
      </c>
      <c r="D8" s="6" t="s">
        <v>18</v>
      </c>
      <c r="H8" s="537" t="s">
        <v>19</v>
      </c>
      <c r="I8" s="537"/>
    </row>
    <row r="9" spans="2:11" ht="13.9" customHeight="1" x14ac:dyDescent="0.15">
      <c r="B9" s="8"/>
      <c r="C9" s="8" t="s">
        <v>20</v>
      </c>
      <c r="E9" s="1" t="s">
        <v>12</v>
      </c>
      <c r="H9" s="538" t="s">
        <v>21</v>
      </c>
      <c r="I9" s="538"/>
      <c r="J9" s="538"/>
      <c r="K9" s="538"/>
    </row>
    <row r="10" spans="2:11" ht="6.75" customHeight="1" x14ac:dyDescent="0.15">
      <c r="B10" s="8"/>
      <c r="C10" s="8"/>
      <c r="E10" s="1" t="s">
        <v>12</v>
      </c>
      <c r="H10" s="538"/>
      <c r="I10" s="538"/>
      <c r="J10" s="538"/>
      <c r="K10" s="538"/>
    </row>
    <row r="11" spans="2:11" ht="14.45" customHeight="1" x14ac:dyDescent="0.15">
      <c r="I11" s="2" t="s">
        <v>22</v>
      </c>
      <c r="J11" s="2" t="s">
        <v>23</v>
      </c>
    </row>
    <row r="12" spans="2:11" ht="14.45" customHeight="1" x14ac:dyDescent="0.15">
      <c r="B12" s="1" t="s">
        <v>12</v>
      </c>
      <c r="I12" s="2" t="s">
        <v>24</v>
      </c>
      <c r="J12" s="2" t="s">
        <v>25</v>
      </c>
    </row>
    <row r="13" spans="2:11" ht="14.25" thickBot="1" x14ac:dyDescent="0.2">
      <c r="B13" s="614" t="s">
        <v>26</v>
      </c>
      <c r="C13" s="614"/>
      <c r="D13" s="540">
        <f>見積書!D13</f>
        <v>0</v>
      </c>
      <c r="E13" s="540"/>
      <c r="F13" s="9">
        <f>見積書!F13</f>
        <v>0</v>
      </c>
      <c r="G13" s="10" t="s">
        <v>27</v>
      </c>
      <c r="H13" s="541" t="s">
        <v>12</v>
      </c>
      <c r="I13" s="541"/>
      <c r="J13" s="541"/>
      <c r="K13" s="541"/>
    </row>
    <row r="14" spans="2:11" ht="15" thickTop="1" thickBot="1" x14ac:dyDescent="0.2">
      <c r="B14" s="615" t="s">
        <v>1237</v>
      </c>
      <c r="C14" s="615"/>
      <c r="D14" s="543">
        <f>見積書!D14</f>
        <v>0</v>
      </c>
      <c r="E14" s="543"/>
      <c r="F14" s="543"/>
      <c r="G14" s="543"/>
      <c r="H14" s="541"/>
      <c r="I14" s="541"/>
      <c r="J14" s="541"/>
      <c r="K14" s="541"/>
    </row>
    <row r="15" spans="2:11" ht="9.75" customHeight="1" thickTop="1" x14ac:dyDescent="0.15">
      <c r="B15" s="1" t="s">
        <v>12</v>
      </c>
      <c r="H15" s="2" t="s">
        <v>12</v>
      </c>
      <c r="I15" s="2" t="s">
        <v>12</v>
      </c>
    </row>
    <row r="16" spans="2:11" ht="9.75" customHeight="1" x14ac:dyDescent="0.15"/>
    <row r="17" spans="2:11" x14ac:dyDescent="0.15">
      <c r="B17" s="1" t="s">
        <v>1235</v>
      </c>
      <c r="H17" s="2" t="s">
        <v>12</v>
      </c>
    </row>
    <row r="19" spans="2:11" ht="16.5" x14ac:dyDescent="0.15">
      <c r="B19" s="616" t="s">
        <v>1236</v>
      </c>
      <c r="C19" s="616"/>
      <c r="D19" s="6"/>
      <c r="E19" s="12">
        <f>K67</f>
        <v>0</v>
      </c>
    </row>
    <row r="20" spans="2:11" ht="9.1999999999999993" customHeight="1" x14ac:dyDescent="0.15"/>
    <row r="21" spans="2:11" x14ac:dyDescent="0.15">
      <c r="K21" s="13" t="s">
        <v>31</v>
      </c>
    </row>
    <row r="22" spans="2:11" ht="13.15" customHeight="1" x14ac:dyDescent="0.15">
      <c r="B22" s="14"/>
      <c r="C22" s="545" t="s">
        <v>32</v>
      </c>
      <c r="D22" s="546"/>
      <c r="E22" s="546"/>
      <c r="F22" s="545" t="s">
        <v>33</v>
      </c>
      <c r="G22" s="547"/>
      <c r="H22" s="16" t="s">
        <v>34</v>
      </c>
      <c r="I22" s="16" t="s">
        <v>35</v>
      </c>
      <c r="J22" s="15" t="s">
        <v>36</v>
      </c>
      <c r="K22" s="17" t="s">
        <v>37</v>
      </c>
    </row>
    <row r="23" spans="2:11" ht="13.15" customHeight="1" x14ac:dyDescent="0.15">
      <c r="B23" s="18"/>
      <c r="C23" s="19"/>
      <c r="D23" s="20"/>
      <c r="E23" s="21"/>
      <c r="F23" s="20"/>
      <c r="G23" s="22"/>
      <c r="H23" s="23"/>
      <c r="I23" s="24"/>
      <c r="J23" s="25"/>
      <c r="K23" s="26">
        <f>SUM(H23*J23)</f>
        <v>0</v>
      </c>
    </row>
    <row r="24" spans="2:11" ht="13.15" customHeight="1" x14ac:dyDescent="0.15">
      <c r="B24" s="27"/>
      <c r="C24" s="19"/>
      <c r="D24" s="20"/>
      <c r="E24" s="21"/>
      <c r="F24" s="20"/>
      <c r="G24" s="22"/>
      <c r="H24" s="29"/>
      <c r="I24" s="24"/>
      <c r="J24" s="25"/>
      <c r="K24" s="25">
        <f>SUM(H24*J24)</f>
        <v>0</v>
      </c>
    </row>
    <row r="25" spans="2:11" ht="13.15" customHeight="1" x14ac:dyDescent="0.15">
      <c r="B25" s="27"/>
      <c r="C25" s="19"/>
      <c r="D25" s="20"/>
      <c r="E25" s="21"/>
      <c r="F25" s="20"/>
      <c r="G25" s="22"/>
      <c r="H25" s="29"/>
      <c r="I25" s="24"/>
      <c r="J25" s="25"/>
      <c r="K25" s="25">
        <f t="shared" ref="K25:K64" si="0">SUM(H25*J25)</f>
        <v>0</v>
      </c>
    </row>
    <row r="26" spans="2:11" ht="13.15" customHeight="1" x14ac:dyDescent="0.15">
      <c r="B26" s="27"/>
      <c r="C26" s="19"/>
      <c r="D26" s="20"/>
      <c r="E26" s="21"/>
      <c r="F26" s="20"/>
      <c r="G26" s="22"/>
      <c r="H26" s="29"/>
      <c r="I26" s="24"/>
      <c r="J26" s="25"/>
      <c r="K26" s="25">
        <f t="shared" si="0"/>
        <v>0</v>
      </c>
    </row>
    <row r="27" spans="2:11" ht="13.15" customHeight="1" x14ac:dyDescent="0.15">
      <c r="B27" s="27"/>
      <c r="C27" s="19"/>
      <c r="D27" s="20"/>
      <c r="E27" s="21"/>
      <c r="F27" s="20"/>
      <c r="G27" s="22"/>
      <c r="H27" s="29"/>
      <c r="I27" s="24"/>
      <c r="J27" s="25"/>
      <c r="K27" s="25">
        <f t="shared" si="0"/>
        <v>0</v>
      </c>
    </row>
    <row r="28" spans="2:11" ht="13.15" customHeight="1" x14ac:dyDescent="0.15">
      <c r="B28" s="27"/>
      <c r="C28" s="19"/>
      <c r="D28" s="20"/>
      <c r="E28" s="21"/>
      <c r="F28" s="20"/>
      <c r="G28" s="22"/>
      <c r="H28" s="29"/>
      <c r="I28" s="24"/>
      <c r="J28" s="25"/>
      <c r="K28" s="25">
        <f t="shared" si="0"/>
        <v>0</v>
      </c>
    </row>
    <row r="29" spans="2:11" ht="13.15" customHeight="1" x14ac:dyDescent="0.15">
      <c r="B29" s="27"/>
      <c r="C29" s="19"/>
      <c r="D29" s="20"/>
      <c r="E29" s="21"/>
      <c r="F29" s="20"/>
      <c r="G29" s="22"/>
      <c r="H29" s="29"/>
      <c r="I29" s="24"/>
      <c r="J29" s="25"/>
      <c r="K29" s="25">
        <f t="shared" si="0"/>
        <v>0</v>
      </c>
    </row>
    <row r="30" spans="2:11" ht="13.15" customHeight="1" x14ac:dyDescent="0.15">
      <c r="B30" s="27"/>
      <c r="C30" s="19"/>
      <c r="D30" s="20"/>
      <c r="E30" s="21"/>
      <c r="F30" s="20"/>
      <c r="G30" s="22"/>
      <c r="H30" s="29"/>
      <c r="I30" s="24"/>
      <c r="J30" s="25"/>
      <c r="K30" s="25">
        <f t="shared" si="0"/>
        <v>0</v>
      </c>
    </row>
    <row r="31" spans="2:11" ht="13.15" customHeight="1" x14ac:dyDescent="0.15">
      <c r="B31" s="27"/>
      <c r="C31" s="19"/>
      <c r="D31" s="20"/>
      <c r="E31" s="21"/>
      <c r="F31" s="20"/>
      <c r="G31" s="22"/>
      <c r="H31" s="29"/>
      <c r="I31" s="24"/>
      <c r="J31" s="25"/>
      <c r="K31" s="25">
        <f t="shared" si="0"/>
        <v>0</v>
      </c>
    </row>
    <row r="32" spans="2:11" ht="13.15" customHeight="1" x14ac:dyDescent="0.15">
      <c r="B32" s="27"/>
      <c r="C32" s="19"/>
      <c r="D32" s="20"/>
      <c r="E32" s="21"/>
      <c r="F32" s="20"/>
      <c r="G32" s="22"/>
      <c r="H32" s="29"/>
      <c r="I32" s="24"/>
      <c r="J32" s="25"/>
      <c r="K32" s="25">
        <f t="shared" si="0"/>
        <v>0</v>
      </c>
    </row>
    <row r="33" spans="2:11" ht="13.15" customHeight="1" x14ac:dyDescent="0.15">
      <c r="B33" s="27"/>
      <c r="C33" s="19"/>
      <c r="D33" s="21"/>
      <c r="E33" s="20"/>
      <c r="F33" s="21"/>
      <c r="G33" s="22"/>
      <c r="H33" s="23"/>
      <c r="I33" s="24"/>
      <c r="J33" s="26"/>
      <c r="K33" s="25">
        <f t="shared" si="0"/>
        <v>0</v>
      </c>
    </row>
    <row r="34" spans="2:11" ht="13.15" customHeight="1" x14ac:dyDescent="0.15">
      <c r="B34" s="27"/>
      <c r="C34" s="19"/>
      <c r="D34" s="20"/>
      <c r="E34" s="21"/>
      <c r="F34" s="20"/>
      <c r="G34" s="22"/>
      <c r="H34" s="29"/>
      <c r="I34" s="24"/>
      <c r="J34" s="26"/>
      <c r="K34" s="25">
        <f t="shared" si="0"/>
        <v>0</v>
      </c>
    </row>
    <row r="35" spans="2:11" ht="13.15" customHeight="1" x14ac:dyDescent="0.15">
      <c r="B35" s="27"/>
      <c r="C35" s="19"/>
      <c r="D35" s="21"/>
      <c r="E35" s="21"/>
      <c r="F35" s="20"/>
      <c r="G35" s="22"/>
      <c r="H35" s="29"/>
      <c r="I35" s="24"/>
      <c r="J35" s="26"/>
      <c r="K35" s="25">
        <f t="shared" si="0"/>
        <v>0</v>
      </c>
    </row>
    <row r="36" spans="2:11" ht="13.15" customHeight="1" x14ac:dyDescent="0.15">
      <c r="B36" s="27"/>
      <c r="C36" s="19"/>
      <c r="D36" s="20"/>
      <c r="E36" s="21"/>
      <c r="F36" s="20"/>
      <c r="G36" s="22"/>
      <c r="H36" s="29"/>
      <c r="I36" s="28"/>
      <c r="J36" s="25"/>
      <c r="K36" s="25">
        <f t="shared" si="0"/>
        <v>0</v>
      </c>
    </row>
    <row r="37" spans="2:11" ht="13.15" customHeight="1" x14ac:dyDescent="0.15">
      <c r="B37" s="27"/>
      <c r="C37" s="19"/>
      <c r="D37" s="20"/>
      <c r="E37" s="21"/>
      <c r="F37" s="20"/>
      <c r="G37" s="22"/>
      <c r="H37" s="29"/>
      <c r="I37" s="28"/>
      <c r="J37" s="25"/>
      <c r="K37" s="25">
        <f t="shared" si="0"/>
        <v>0</v>
      </c>
    </row>
    <row r="38" spans="2:11" ht="13.15" customHeight="1" x14ac:dyDescent="0.15">
      <c r="B38" s="27"/>
      <c r="C38" s="19"/>
      <c r="D38" s="20"/>
      <c r="E38" s="21"/>
      <c r="F38" s="20"/>
      <c r="G38" s="22"/>
      <c r="H38" s="29"/>
      <c r="I38" s="28"/>
      <c r="J38" s="25"/>
      <c r="K38" s="25">
        <f t="shared" si="0"/>
        <v>0</v>
      </c>
    </row>
    <row r="39" spans="2:11" ht="13.15" customHeight="1" x14ac:dyDescent="0.15">
      <c r="B39" s="27"/>
      <c r="C39" s="19"/>
      <c r="D39" s="20"/>
      <c r="E39" s="21"/>
      <c r="F39" s="20"/>
      <c r="G39" s="22"/>
      <c r="H39" s="29"/>
      <c r="I39" s="28"/>
      <c r="J39" s="25"/>
      <c r="K39" s="25">
        <f t="shared" si="0"/>
        <v>0</v>
      </c>
    </row>
    <row r="40" spans="2:11" ht="13.15" customHeight="1" x14ac:dyDescent="0.15">
      <c r="B40" s="27"/>
      <c r="C40" s="19"/>
      <c r="D40" s="20"/>
      <c r="E40" s="21"/>
      <c r="F40" s="20"/>
      <c r="G40" s="22"/>
      <c r="H40" s="29"/>
      <c r="I40" s="28"/>
      <c r="J40" s="25"/>
      <c r="K40" s="25">
        <f t="shared" si="0"/>
        <v>0</v>
      </c>
    </row>
    <row r="41" spans="2:11" ht="13.15" customHeight="1" x14ac:dyDescent="0.15">
      <c r="B41" s="27"/>
      <c r="C41" s="19"/>
      <c r="D41" s="20"/>
      <c r="E41" s="21"/>
      <c r="F41" s="20"/>
      <c r="G41" s="22"/>
      <c r="H41" s="29"/>
      <c r="I41" s="28"/>
      <c r="J41" s="25"/>
      <c r="K41" s="25">
        <f t="shared" si="0"/>
        <v>0</v>
      </c>
    </row>
    <row r="42" spans="2:11" ht="13.15" customHeight="1" x14ac:dyDescent="0.15">
      <c r="B42" s="27"/>
      <c r="C42" s="19"/>
      <c r="D42" s="20"/>
      <c r="E42" s="21"/>
      <c r="F42" s="20"/>
      <c r="G42" s="22"/>
      <c r="H42" s="29"/>
      <c r="I42" s="28"/>
      <c r="J42" s="25"/>
      <c r="K42" s="25">
        <f t="shared" si="0"/>
        <v>0</v>
      </c>
    </row>
    <row r="43" spans="2:11" ht="13.15" customHeight="1" x14ac:dyDescent="0.15">
      <c r="B43" s="27"/>
      <c r="C43" s="19"/>
      <c r="D43" s="20"/>
      <c r="E43" s="21"/>
      <c r="F43" s="20"/>
      <c r="G43" s="22"/>
      <c r="H43" s="29"/>
      <c r="I43" s="28"/>
      <c r="J43" s="25"/>
      <c r="K43" s="25">
        <f t="shared" si="0"/>
        <v>0</v>
      </c>
    </row>
    <row r="44" spans="2:11" ht="13.15" customHeight="1" x14ac:dyDescent="0.15">
      <c r="B44" s="27"/>
      <c r="C44" s="19"/>
      <c r="D44" s="20"/>
      <c r="E44" s="21"/>
      <c r="F44" s="20"/>
      <c r="G44" s="22"/>
      <c r="H44" s="29"/>
      <c r="I44" s="28"/>
      <c r="J44" s="25"/>
      <c r="K44" s="25">
        <f t="shared" si="0"/>
        <v>0</v>
      </c>
    </row>
    <row r="45" spans="2:11" ht="13.15" customHeight="1" x14ac:dyDescent="0.15">
      <c r="B45" s="27"/>
      <c r="C45" s="19"/>
      <c r="D45" s="20"/>
      <c r="E45" s="21"/>
      <c r="F45" s="20"/>
      <c r="G45" s="22"/>
      <c r="H45" s="29"/>
      <c r="I45" s="28"/>
      <c r="J45" s="25"/>
      <c r="K45" s="25">
        <f t="shared" si="0"/>
        <v>0</v>
      </c>
    </row>
    <row r="46" spans="2:11" ht="13.15" customHeight="1" x14ac:dyDescent="0.15">
      <c r="B46" s="27"/>
      <c r="C46" s="19"/>
      <c r="D46" s="20"/>
      <c r="E46" s="21"/>
      <c r="F46" s="20"/>
      <c r="G46" s="22"/>
      <c r="H46" s="29"/>
      <c r="I46" s="28"/>
      <c r="J46" s="25"/>
      <c r="K46" s="25">
        <f t="shared" si="0"/>
        <v>0</v>
      </c>
    </row>
    <row r="47" spans="2:11" ht="13.15" customHeight="1" x14ac:dyDescent="0.15">
      <c r="B47" s="27"/>
      <c r="C47" s="19"/>
      <c r="D47" s="20"/>
      <c r="E47" s="21"/>
      <c r="F47" s="20"/>
      <c r="G47" s="22"/>
      <c r="H47" s="29"/>
      <c r="I47" s="28"/>
      <c r="J47" s="25"/>
      <c r="K47" s="25">
        <f t="shared" si="0"/>
        <v>0</v>
      </c>
    </row>
    <row r="48" spans="2:11" ht="13.15" customHeight="1" x14ac:dyDescent="0.15">
      <c r="B48" s="27"/>
      <c r="C48" s="19"/>
      <c r="D48" s="20"/>
      <c r="E48" s="21"/>
      <c r="F48" s="20"/>
      <c r="G48" s="22"/>
      <c r="H48" s="29"/>
      <c r="I48" s="28"/>
      <c r="J48" s="25"/>
      <c r="K48" s="25">
        <f t="shared" si="0"/>
        <v>0</v>
      </c>
    </row>
    <row r="49" spans="2:11" ht="13.15" customHeight="1" x14ac:dyDescent="0.15">
      <c r="B49" s="27"/>
      <c r="C49" s="19"/>
      <c r="D49" s="20"/>
      <c r="E49" s="21"/>
      <c r="F49" s="20"/>
      <c r="G49" s="22"/>
      <c r="H49" s="29"/>
      <c r="I49" s="28"/>
      <c r="J49" s="25"/>
      <c r="K49" s="25">
        <f t="shared" si="0"/>
        <v>0</v>
      </c>
    </row>
    <row r="50" spans="2:11" ht="13.15" customHeight="1" x14ac:dyDescent="0.15">
      <c r="B50" s="27"/>
      <c r="C50" s="19"/>
      <c r="D50" s="20"/>
      <c r="E50" s="21"/>
      <c r="F50" s="20"/>
      <c r="G50" s="22"/>
      <c r="H50" s="29"/>
      <c r="I50" s="28"/>
      <c r="J50" s="25"/>
      <c r="K50" s="25">
        <f t="shared" si="0"/>
        <v>0</v>
      </c>
    </row>
    <row r="51" spans="2:11" ht="13.15" customHeight="1" x14ac:dyDescent="0.15">
      <c r="B51" s="27"/>
      <c r="C51" s="19"/>
      <c r="D51" s="20"/>
      <c r="E51" s="21"/>
      <c r="F51" s="20"/>
      <c r="G51" s="22"/>
      <c r="H51" s="29"/>
      <c r="I51" s="28"/>
      <c r="J51" s="25"/>
      <c r="K51" s="25">
        <f t="shared" si="0"/>
        <v>0</v>
      </c>
    </row>
    <row r="52" spans="2:11" ht="13.15" customHeight="1" x14ac:dyDescent="0.15">
      <c r="B52" s="27"/>
      <c r="C52" s="19"/>
      <c r="D52" s="20"/>
      <c r="E52" s="21"/>
      <c r="F52" s="20"/>
      <c r="G52" s="22"/>
      <c r="H52" s="29"/>
      <c r="I52" s="28"/>
      <c r="J52" s="25"/>
      <c r="K52" s="25">
        <f t="shared" si="0"/>
        <v>0</v>
      </c>
    </row>
    <row r="53" spans="2:11" ht="13.15" customHeight="1" x14ac:dyDescent="0.15">
      <c r="B53" s="27"/>
      <c r="C53" s="19"/>
      <c r="D53" s="20"/>
      <c r="E53" s="21"/>
      <c r="F53" s="20"/>
      <c r="G53" s="22"/>
      <c r="H53" s="29"/>
      <c r="I53" s="28"/>
      <c r="J53" s="25"/>
      <c r="K53" s="25">
        <f t="shared" si="0"/>
        <v>0</v>
      </c>
    </row>
    <row r="54" spans="2:11" ht="13.15" customHeight="1" x14ac:dyDescent="0.15">
      <c r="B54" s="27"/>
      <c r="C54" s="19"/>
      <c r="D54" s="20"/>
      <c r="E54" s="21"/>
      <c r="F54" s="20"/>
      <c r="G54" s="22"/>
      <c r="H54" s="29"/>
      <c r="I54" s="28"/>
      <c r="J54" s="25"/>
      <c r="K54" s="25">
        <f t="shared" si="0"/>
        <v>0</v>
      </c>
    </row>
    <row r="55" spans="2:11" ht="13.15" customHeight="1" x14ac:dyDescent="0.15">
      <c r="B55" s="27"/>
      <c r="C55" s="19"/>
      <c r="D55" s="20"/>
      <c r="E55" s="20"/>
      <c r="F55" s="20"/>
      <c r="G55" s="22"/>
      <c r="H55" s="29"/>
      <c r="I55" s="28"/>
      <c r="J55" s="25"/>
      <c r="K55" s="25">
        <f t="shared" si="0"/>
        <v>0</v>
      </c>
    </row>
    <row r="56" spans="2:11" ht="13.15" customHeight="1" x14ac:dyDescent="0.15">
      <c r="B56" s="27"/>
      <c r="C56" s="19"/>
      <c r="D56" s="20"/>
      <c r="E56" s="20"/>
      <c r="F56" s="20"/>
      <c r="G56" s="22"/>
      <c r="H56" s="29"/>
      <c r="I56" s="28"/>
      <c r="J56" s="25"/>
      <c r="K56" s="25">
        <f t="shared" si="0"/>
        <v>0</v>
      </c>
    </row>
    <row r="57" spans="2:11" ht="13.15" customHeight="1" x14ac:dyDescent="0.15">
      <c r="B57" s="27"/>
      <c r="C57" s="19"/>
      <c r="D57" s="20"/>
      <c r="E57" s="20"/>
      <c r="F57" s="20"/>
      <c r="G57" s="22"/>
      <c r="H57" s="29"/>
      <c r="I57" s="28"/>
      <c r="J57" s="25"/>
      <c r="K57" s="25">
        <f t="shared" si="0"/>
        <v>0</v>
      </c>
    </row>
    <row r="58" spans="2:11" ht="13.15" customHeight="1" x14ac:dyDescent="0.15">
      <c r="B58" s="27"/>
      <c r="C58" s="19"/>
      <c r="D58" s="20"/>
      <c r="E58" s="20"/>
      <c r="F58" s="20"/>
      <c r="G58" s="22"/>
      <c r="H58" s="29"/>
      <c r="I58" s="28"/>
      <c r="J58" s="25"/>
      <c r="K58" s="25">
        <f t="shared" si="0"/>
        <v>0</v>
      </c>
    </row>
    <row r="59" spans="2:11" ht="13.15" customHeight="1" x14ac:dyDescent="0.15">
      <c r="B59" s="27"/>
      <c r="C59" s="19"/>
      <c r="D59" s="20"/>
      <c r="E59" s="20"/>
      <c r="F59" s="20"/>
      <c r="G59" s="22"/>
      <c r="H59" s="29"/>
      <c r="I59" s="28"/>
      <c r="J59" s="25"/>
      <c r="K59" s="25">
        <f t="shared" si="0"/>
        <v>0</v>
      </c>
    </row>
    <row r="60" spans="2:11" ht="13.15" customHeight="1" x14ac:dyDescent="0.15">
      <c r="B60" s="27"/>
      <c r="C60" s="19"/>
      <c r="D60" s="20"/>
      <c r="E60" s="20"/>
      <c r="F60" s="20"/>
      <c r="G60" s="22"/>
      <c r="H60" s="29"/>
      <c r="I60" s="28"/>
      <c r="J60" s="25"/>
      <c r="K60" s="25">
        <f t="shared" si="0"/>
        <v>0</v>
      </c>
    </row>
    <row r="61" spans="2:11" ht="13.15" customHeight="1" x14ac:dyDescent="0.15">
      <c r="B61" s="27"/>
      <c r="C61" s="19"/>
      <c r="D61" s="20"/>
      <c r="E61" s="20"/>
      <c r="F61" s="20"/>
      <c r="G61" s="22"/>
      <c r="H61" s="29"/>
      <c r="I61" s="28"/>
      <c r="J61" s="25"/>
      <c r="K61" s="25">
        <f t="shared" si="0"/>
        <v>0</v>
      </c>
    </row>
    <row r="62" spans="2:11" ht="13.15" customHeight="1" x14ac:dyDescent="0.15">
      <c r="B62" s="27"/>
      <c r="C62" s="19"/>
      <c r="D62" s="20"/>
      <c r="E62" s="20"/>
      <c r="F62" s="20"/>
      <c r="G62" s="22"/>
      <c r="H62" s="29"/>
      <c r="I62" s="28"/>
      <c r="J62" s="25"/>
      <c r="K62" s="25">
        <f t="shared" si="0"/>
        <v>0</v>
      </c>
    </row>
    <row r="63" spans="2:11" ht="13.15" customHeight="1" x14ac:dyDescent="0.15">
      <c r="B63" s="27"/>
      <c r="C63" s="30"/>
      <c r="D63" s="21"/>
      <c r="E63" s="20"/>
      <c r="F63" s="21"/>
      <c r="G63" s="31"/>
      <c r="H63" s="29"/>
      <c r="I63" s="28"/>
      <c r="J63" s="25"/>
      <c r="K63" s="25">
        <f t="shared" si="0"/>
        <v>0</v>
      </c>
    </row>
    <row r="64" spans="2:11" ht="12.75" customHeight="1" thickBot="1" x14ac:dyDescent="0.2">
      <c r="B64" s="32"/>
      <c r="C64" s="33"/>
      <c r="D64" s="34"/>
      <c r="E64" s="35"/>
      <c r="F64" s="36"/>
      <c r="G64" s="37"/>
      <c r="H64" s="38"/>
      <c r="I64" s="39"/>
      <c r="J64" s="40"/>
      <c r="K64" s="25">
        <f t="shared" si="0"/>
        <v>0</v>
      </c>
    </row>
    <row r="65" spans="2:11" ht="12.75" customHeight="1" x14ac:dyDescent="0.15">
      <c r="B65" s="41" t="s">
        <v>38</v>
      </c>
      <c r="C65" s="42"/>
      <c r="D65" s="42"/>
      <c r="E65" s="42"/>
      <c r="F65" s="42"/>
      <c r="G65" s="42"/>
      <c r="H65" s="43"/>
      <c r="I65" s="548" t="s">
        <v>39</v>
      </c>
      <c r="J65" s="549"/>
      <c r="K65" s="44">
        <f>SUM(K23:K64)</f>
        <v>0</v>
      </c>
    </row>
    <row r="66" spans="2:11" ht="12.75" customHeight="1" x14ac:dyDescent="0.15">
      <c r="B66" s="45" t="s">
        <v>12</v>
      </c>
      <c r="C66" s="46"/>
      <c r="D66" s="46"/>
      <c r="E66" s="46"/>
      <c r="F66" s="46"/>
      <c r="G66" s="46"/>
      <c r="H66" s="47"/>
      <c r="I66" s="533" t="s">
        <v>40</v>
      </c>
      <c r="J66" s="534"/>
      <c r="K66" s="48">
        <f>SUM(K65*0.1)</f>
        <v>0</v>
      </c>
    </row>
    <row r="67" spans="2:11" ht="12.75" customHeight="1" thickBot="1" x14ac:dyDescent="0.2">
      <c r="B67" s="49" t="s">
        <v>12</v>
      </c>
      <c r="C67" s="50"/>
      <c r="D67" s="50"/>
      <c r="E67" s="50"/>
      <c r="F67" s="50"/>
      <c r="G67" s="50"/>
      <c r="H67" s="51"/>
      <c r="I67" s="535" t="s">
        <v>41</v>
      </c>
      <c r="J67" s="536"/>
      <c r="K67" s="52">
        <f>SUM(K65:K66)</f>
        <v>0</v>
      </c>
    </row>
  </sheetData>
  <mergeCells count="19">
    <mergeCell ref="J2:K2"/>
    <mergeCell ref="B3:K3"/>
    <mergeCell ref="B5:F5"/>
    <mergeCell ref="J5:K5"/>
    <mergeCell ref="H7:I7"/>
    <mergeCell ref="J7:K7"/>
    <mergeCell ref="I67:J67"/>
    <mergeCell ref="H8:I8"/>
    <mergeCell ref="H9:K10"/>
    <mergeCell ref="B13:C13"/>
    <mergeCell ref="D13:E13"/>
    <mergeCell ref="H13:K14"/>
    <mergeCell ref="B14:C14"/>
    <mergeCell ref="D14:G14"/>
    <mergeCell ref="B19:C19"/>
    <mergeCell ref="C22:E22"/>
    <mergeCell ref="F22:G22"/>
    <mergeCell ref="I65:J65"/>
    <mergeCell ref="I66:J66"/>
  </mergeCells>
  <phoneticPr fontId="3"/>
  <printOptions horizontalCentered="1" verticalCentered="1"/>
  <pageMargins left="0.25" right="0.25" top="0.75" bottom="0.75" header="0.3" footer="0.3"/>
  <pageSetup paperSize="9" scale="87" orientation="portrait" verticalDpi="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3D14-8677-4B1B-8C34-54B30BF44E0F}">
  <sheetPr codeName="Sheet24"/>
  <dimension ref="A1:K7"/>
  <sheetViews>
    <sheetView workbookViewId="0">
      <selection activeCell="A3" sqref="A3"/>
    </sheetView>
  </sheetViews>
  <sheetFormatPr defaultColWidth="9" defaultRowHeight="21.2" customHeight="1" x14ac:dyDescent="0.4"/>
  <cols>
    <col min="1" max="1" width="23.75" style="365" customWidth="1"/>
    <col min="2" max="2" width="39.5" style="365" customWidth="1"/>
    <col min="3" max="3" width="33.25" style="365" customWidth="1"/>
    <col min="4" max="4" width="9.75" style="365" customWidth="1"/>
    <col min="5" max="5" width="21.375" style="365" customWidth="1"/>
    <col min="6" max="6" width="20.75" style="415" customWidth="1"/>
    <col min="7" max="7" width="23.75" style="416" customWidth="1"/>
    <col min="8" max="8" width="29.25" style="365" customWidth="1"/>
    <col min="9" max="16384" width="9" style="365"/>
  </cols>
  <sheetData>
    <row r="1" spans="1:11" ht="39.75" customHeight="1" x14ac:dyDescent="0.4">
      <c r="A1" s="623" t="s">
        <v>2429</v>
      </c>
      <c r="B1" s="623"/>
      <c r="C1" s="623"/>
      <c r="D1" s="623"/>
      <c r="E1" s="623"/>
      <c r="F1" s="623"/>
      <c r="G1" s="623"/>
      <c r="H1" s="623"/>
    </row>
    <row r="3" spans="1:11" ht="21.2" customHeight="1" x14ac:dyDescent="0.4">
      <c r="A3" s="417" t="s">
        <v>2430</v>
      </c>
      <c r="B3" s="417" t="s">
        <v>2431</v>
      </c>
      <c r="C3" s="417" t="s">
        <v>2432</v>
      </c>
      <c r="D3" s="417" t="s">
        <v>2433</v>
      </c>
      <c r="E3" s="417" t="s">
        <v>2434</v>
      </c>
      <c r="F3" s="418" t="s">
        <v>2435</v>
      </c>
      <c r="G3" s="419" t="s">
        <v>2436</v>
      </c>
      <c r="H3" s="417" t="s">
        <v>2437</v>
      </c>
    </row>
    <row r="4" spans="1:11" ht="21.2" customHeight="1" x14ac:dyDescent="0.4">
      <c r="A4" s="420"/>
      <c r="B4" s="420"/>
      <c r="C4" s="420"/>
      <c r="D4" s="420"/>
      <c r="E4" s="420"/>
      <c r="F4" s="421"/>
      <c r="G4" s="422"/>
      <c r="H4" s="423"/>
    </row>
    <row r="7" spans="1:11" ht="21.2" customHeight="1" x14ac:dyDescent="0.4">
      <c r="K7" s="365" t="s">
        <v>11</v>
      </c>
    </row>
  </sheetData>
  <mergeCells count="1">
    <mergeCell ref="A1:H1"/>
  </mergeCells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2BE5-5F15-46B0-A748-A2185B558955}">
  <sheetPr codeName="Sheet6">
    <tabColor theme="3" tint="-0.499984740745262"/>
    <pageSetUpPr fitToPage="1"/>
  </sheetPr>
  <dimension ref="A1:L83"/>
  <sheetViews>
    <sheetView showGridLines="0" showZeros="0" zoomScaleNormal="100" workbookViewId="0">
      <selection activeCell="B31" sqref="B31:G31"/>
    </sheetView>
  </sheetViews>
  <sheetFormatPr defaultColWidth="8.75" defaultRowHeight="13.5" x14ac:dyDescent="0.4"/>
  <cols>
    <col min="1" max="1" width="3" style="99" customWidth="1"/>
    <col min="2" max="2" width="28.5" style="95" customWidth="1"/>
    <col min="3" max="3" width="9.5" style="95" customWidth="1"/>
    <col min="4" max="4" width="15.375" style="100" customWidth="1"/>
    <col min="5" max="5" width="8.75" style="95"/>
    <col min="6" max="7" width="10.5" style="95" customWidth="1"/>
    <col min="8" max="8" width="16.75" style="95" customWidth="1"/>
    <col min="9" max="9" width="3.5" style="95" customWidth="1"/>
    <col min="10" max="10" width="14.25" style="95" customWidth="1"/>
    <col min="11" max="11" width="8.75" style="95"/>
    <col min="12" max="12" width="14.75" style="95" customWidth="1"/>
    <col min="13" max="256" width="8.75" style="95"/>
    <col min="257" max="257" width="3" style="95" customWidth="1"/>
    <col min="258" max="258" width="28.5" style="95" customWidth="1"/>
    <col min="259" max="259" width="9.5" style="95" customWidth="1"/>
    <col min="260" max="260" width="15.375" style="95" customWidth="1"/>
    <col min="261" max="261" width="8.75" style="95"/>
    <col min="262" max="263" width="10.5" style="95" customWidth="1"/>
    <col min="264" max="264" width="16.75" style="95" customWidth="1"/>
    <col min="265" max="265" width="3.5" style="95" customWidth="1"/>
    <col min="266" max="266" width="14.25" style="95" customWidth="1"/>
    <col min="267" max="267" width="8.75" style="95"/>
    <col min="268" max="268" width="14.75" style="95" customWidth="1"/>
    <col min="269" max="512" width="8.75" style="95"/>
    <col min="513" max="513" width="3" style="95" customWidth="1"/>
    <col min="514" max="514" width="28.5" style="95" customWidth="1"/>
    <col min="515" max="515" width="9.5" style="95" customWidth="1"/>
    <col min="516" max="516" width="15.375" style="95" customWidth="1"/>
    <col min="517" max="517" width="8.75" style="95"/>
    <col min="518" max="519" width="10.5" style="95" customWidth="1"/>
    <col min="520" max="520" width="16.75" style="95" customWidth="1"/>
    <col min="521" max="521" width="3.5" style="95" customWidth="1"/>
    <col min="522" max="522" width="14.25" style="95" customWidth="1"/>
    <col min="523" max="523" width="8.75" style="95"/>
    <col min="524" max="524" width="14.75" style="95" customWidth="1"/>
    <col min="525" max="768" width="8.75" style="95"/>
    <col min="769" max="769" width="3" style="95" customWidth="1"/>
    <col min="770" max="770" width="28.5" style="95" customWidth="1"/>
    <col min="771" max="771" width="9.5" style="95" customWidth="1"/>
    <col min="772" max="772" width="15.375" style="95" customWidth="1"/>
    <col min="773" max="773" width="8.75" style="95"/>
    <col min="774" max="775" width="10.5" style="95" customWidth="1"/>
    <col min="776" max="776" width="16.75" style="95" customWidth="1"/>
    <col min="777" max="777" width="3.5" style="95" customWidth="1"/>
    <col min="778" max="778" width="14.25" style="95" customWidth="1"/>
    <col min="779" max="779" width="8.75" style="95"/>
    <col min="780" max="780" width="14.75" style="95" customWidth="1"/>
    <col min="781" max="1024" width="8.75" style="95"/>
    <col min="1025" max="1025" width="3" style="95" customWidth="1"/>
    <col min="1026" max="1026" width="28.5" style="95" customWidth="1"/>
    <col min="1027" max="1027" width="9.5" style="95" customWidth="1"/>
    <col min="1028" max="1028" width="15.375" style="95" customWidth="1"/>
    <col min="1029" max="1029" width="8.75" style="95"/>
    <col min="1030" max="1031" width="10.5" style="95" customWidth="1"/>
    <col min="1032" max="1032" width="16.75" style="95" customWidth="1"/>
    <col min="1033" max="1033" width="3.5" style="95" customWidth="1"/>
    <col min="1034" max="1034" width="14.25" style="95" customWidth="1"/>
    <col min="1035" max="1035" width="8.75" style="95"/>
    <col min="1036" max="1036" width="14.75" style="95" customWidth="1"/>
    <col min="1037" max="1280" width="8.75" style="95"/>
    <col min="1281" max="1281" width="3" style="95" customWidth="1"/>
    <col min="1282" max="1282" width="28.5" style="95" customWidth="1"/>
    <col min="1283" max="1283" width="9.5" style="95" customWidth="1"/>
    <col min="1284" max="1284" width="15.375" style="95" customWidth="1"/>
    <col min="1285" max="1285" width="8.75" style="95"/>
    <col min="1286" max="1287" width="10.5" style="95" customWidth="1"/>
    <col min="1288" max="1288" width="16.75" style="95" customWidth="1"/>
    <col min="1289" max="1289" width="3.5" style="95" customWidth="1"/>
    <col min="1290" max="1290" width="14.25" style="95" customWidth="1"/>
    <col min="1291" max="1291" width="8.75" style="95"/>
    <col min="1292" max="1292" width="14.75" style="95" customWidth="1"/>
    <col min="1293" max="1536" width="8.75" style="95"/>
    <col min="1537" max="1537" width="3" style="95" customWidth="1"/>
    <col min="1538" max="1538" width="28.5" style="95" customWidth="1"/>
    <col min="1539" max="1539" width="9.5" style="95" customWidth="1"/>
    <col min="1540" max="1540" width="15.375" style="95" customWidth="1"/>
    <col min="1541" max="1541" width="8.75" style="95"/>
    <col min="1542" max="1543" width="10.5" style="95" customWidth="1"/>
    <col min="1544" max="1544" width="16.75" style="95" customWidth="1"/>
    <col min="1545" max="1545" width="3.5" style="95" customWidth="1"/>
    <col min="1546" max="1546" width="14.25" style="95" customWidth="1"/>
    <col min="1547" max="1547" width="8.75" style="95"/>
    <col min="1548" max="1548" width="14.75" style="95" customWidth="1"/>
    <col min="1549" max="1792" width="8.75" style="95"/>
    <col min="1793" max="1793" width="3" style="95" customWidth="1"/>
    <col min="1794" max="1794" width="28.5" style="95" customWidth="1"/>
    <col min="1795" max="1795" width="9.5" style="95" customWidth="1"/>
    <col min="1796" max="1796" width="15.375" style="95" customWidth="1"/>
    <col min="1797" max="1797" width="8.75" style="95"/>
    <col min="1798" max="1799" width="10.5" style="95" customWidth="1"/>
    <col min="1800" max="1800" width="16.75" style="95" customWidth="1"/>
    <col min="1801" max="1801" width="3.5" style="95" customWidth="1"/>
    <col min="1802" max="1802" width="14.25" style="95" customWidth="1"/>
    <col min="1803" max="1803" width="8.75" style="95"/>
    <col min="1804" max="1804" width="14.75" style="95" customWidth="1"/>
    <col min="1805" max="2048" width="8.75" style="95"/>
    <col min="2049" max="2049" width="3" style="95" customWidth="1"/>
    <col min="2050" max="2050" width="28.5" style="95" customWidth="1"/>
    <col min="2051" max="2051" width="9.5" style="95" customWidth="1"/>
    <col min="2052" max="2052" width="15.375" style="95" customWidth="1"/>
    <col min="2053" max="2053" width="8.75" style="95"/>
    <col min="2054" max="2055" width="10.5" style="95" customWidth="1"/>
    <col min="2056" max="2056" width="16.75" style="95" customWidth="1"/>
    <col min="2057" max="2057" width="3.5" style="95" customWidth="1"/>
    <col min="2058" max="2058" width="14.25" style="95" customWidth="1"/>
    <col min="2059" max="2059" width="8.75" style="95"/>
    <col min="2060" max="2060" width="14.75" style="95" customWidth="1"/>
    <col min="2061" max="2304" width="8.75" style="95"/>
    <col min="2305" max="2305" width="3" style="95" customWidth="1"/>
    <col min="2306" max="2306" width="28.5" style="95" customWidth="1"/>
    <col min="2307" max="2307" width="9.5" style="95" customWidth="1"/>
    <col min="2308" max="2308" width="15.375" style="95" customWidth="1"/>
    <col min="2309" max="2309" width="8.75" style="95"/>
    <col min="2310" max="2311" width="10.5" style="95" customWidth="1"/>
    <col min="2312" max="2312" width="16.75" style="95" customWidth="1"/>
    <col min="2313" max="2313" width="3.5" style="95" customWidth="1"/>
    <col min="2314" max="2314" width="14.25" style="95" customWidth="1"/>
    <col min="2315" max="2315" width="8.75" style="95"/>
    <col min="2316" max="2316" width="14.75" style="95" customWidth="1"/>
    <col min="2317" max="2560" width="8.75" style="95"/>
    <col min="2561" max="2561" width="3" style="95" customWidth="1"/>
    <col min="2562" max="2562" width="28.5" style="95" customWidth="1"/>
    <col min="2563" max="2563" width="9.5" style="95" customWidth="1"/>
    <col min="2564" max="2564" width="15.375" style="95" customWidth="1"/>
    <col min="2565" max="2565" width="8.75" style="95"/>
    <col min="2566" max="2567" width="10.5" style="95" customWidth="1"/>
    <col min="2568" max="2568" width="16.75" style="95" customWidth="1"/>
    <col min="2569" max="2569" width="3.5" style="95" customWidth="1"/>
    <col min="2570" max="2570" width="14.25" style="95" customWidth="1"/>
    <col min="2571" max="2571" width="8.75" style="95"/>
    <col min="2572" max="2572" width="14.75" style="95" customWidth="1"/>
    <col min="2573" max="2816" width="8.75" style="95"/>
    <col min="2817" max="2817" width="3" style="95" customWidth="1"/>
    <col min="2818" max="2818" width="28.5" style="95" customWidth="1"/>
    <col min="2819" max="2819" width="9.5" style="95" customWidth="1"/>
    <col min="2820" max="2820" width="15.375" style="95" customWidth="1"/>
    <col min="2821" max="2821" width="8.75" style="95"/>
    <col min="2822" max="2823" width="10.5" style="95" customWidth="1"/>
    <col min="2824" max="2824" width="16.75" style="95" customWidth="1"/>
    <col min="2825" max="2825" width="3.5" style="95" customWidth="1"/>
    <col min="2826" max="2826" width="14.25" style="95" customWidth="1"/>
    <col min="2827" max="2827" width="8.75" style="95"/>
    <col min="2828" max="2828" width="14.75" style="95" customWidth="1"/>
    <col min="2829" max="3072" width="8.75" style="95"/>
    <col min="3073" max="3073" width="3" style="95" customWidth="1"/>
    <col min="3074" max="3074" width="28.5" style="95" customWidth="1"/>
    <col min="3075" max="3075" width="9.5" style="95" customWidth="1"/>
    <col min="3076" max="3076" width="15.375" style="95" customWidth="1"/>
    <col min="3077" max="3077" width="8.75" style="95"/>
    <col min="3078" max="3079" width="10.5" style="95" customWidth="1"/>
    <col min="3080" max="3080" width="16.75" style="95" customWidth="1"/>
    <col min="3081" max="3081" width="3.5" style="95" customWidth="1"/>
    <col min="3082" max="3082" width="14.25" style="95" customWidth="1"/>
    <col min="3083" max="3083" width="8.75" style="95"/>
    <col min="3084" max="3084" width="14.75" style="95" customWidth="1"/>
    <col min="3085" max="3328" width="8.75" style="95"/>
    <col min="3329" max="3329" width="3" style="95" customWidth="1"/>
    <col min="3330" max="3330" width="28.5" style="95" customWidth="1"/>
    <col min="3331" max="3331" width="9.5" style="95" customWidth="1"/>
    <col min="3332" max="3332" width="15.375" style="95" customWidth="1"/>
    <col min="3333" max="3333" width="8.75" style="95"/>
    <col min="3334" max="3335" width="10.5" style="95" customWidth="1"/>
    <col min="3336" max="3336" width="16.75" style="95" customWidth="1"/>
    <col min="3337" max="3337" width="3.5" style="95" customWidth="1"/>
    <col min="3338" max="3338" width="14.25" style="95" customWidth="1"/>
    <col min="3339" max="3339" width="8.75" style="95"/>
    <col min="3340" max="3340" width="14.75" style="95" customWidth="1"/>
    <col min="3341" max="3584" width="8.75" style="95"/>
    <col min="3585" max="3585" width="3" style="95" customWidth="1"/>
    <col min="3586" max="3586" width="28.5" style="95" customWidth="1"/>
    <col min="3587" max="3587" width="9.5" style="95" customWidth="1"/>
    <col min="3588" max="3588" width="15.375" style="95" customWidth="1"/>
    <col min="3589" max="3589" width="8.75" style="95"/>
    <col min="3590" max="3591" width="10.5" style="95" customWidth="1"/>
    <col min="3592" max="3592" width="16.75" style="95" customWidth="1"/>
    <col min="3593" max="3593" width="3.5" style="95" customWidth="1"/>
    <col min="3594" max="3594" width="14.25" style="95" customWidth="1"/>
    <col min="3595" max="3595" width="8.75" style="95"/>
    <col min="3596" max="3596" width="14.75" style="95" customWidth="1"/>
    <col min="3597" max="3840" width="8.75" style="95"/>
    <col min="3841" max="3841" width="3" style="95" customWidth="1"/>
    <col min="3842" max="3842" width="28.5" style="95" customWidth="1"/>
    <col min="3843" max="3843" width="9.5" style="95" customWidth="1"/>
    <col min="3844" max="3844" width="15.375" style="95" customWidth="1"/>
    <col min="3845" max="3845" width="8.75" style="95"/>
    <col min="3846" max="3847" width="10.5" style="95" customWidth="1"/>
    <col min="3848" max="3848" width="16.75" style="95" customWidth="1"/>
    <col min="3849" max="3849" width="3.5" style="95" customWidth="1"/>
    <col min="3850" max="3850" width="14.25" style="95" customWidth="1"/>
    <col min="3851" max="3851" width="8.75" style="95"/>
    <col min="3852" max="3852" width="14.75" style="95" customWidth="1"/>
    <col min="3853" max="4096" width="8.75" style="95"/>
    <col min="4097" max="4097" width="3" style="95" customWidth="1"/>
    <col min="4098" max="4098" width="28.5" style="95" customWidth="1"/>
    <col min="4099" max="4099" width="9.5" style="95" customWidth="1"/>
    <col min="4100" max="4100" width="15.375" style="95" customWidth="1"/>
    <col min="4101" max="4101" width="8.75" style="95"/>
    <col min="4102" max="4103" width="10.5" style="95" customWidth="1"/>
    <col min="4104" max="4104" width="16.75" style="95" customWidth="1"/>
    <col min="4105" max="4105" width="3.5" style="95" customWidth="1"/>
    <col min="4106" max="4106" width="14.25" style="95" customWidth="1"/>
    <col min="4107" max="4107" width="8.75" style="95"/>
    <col min="4108" max="4108" width="14.75" style="95" customWidth="1"/>
    <col min="4109" max="4352" width="8.75" style="95"/>
    <col min="4353" max="4353" width="3" style="95" customWidth="1"/>
    <col min="4354" max="4354" width="28.5" style="95" customWidth="1"/>
    <col min="4355" max="4355" width="9.5" style="95" customWidth="1"/>
    <col min="4356" max="4356" width="15.375" style="95" customWidth="1"/>
    <col min="4357" max="4357" width="8.75" style="95"/>
    <col min="4358" max="4359" width="10.5" style="95" customWidth="1"/>
    <col min="4360" max="4360" width="16.75" style="95" customWidth="1"/>
    <col min="4361" max="4361" width="3.5" style="95" customWidth="1"/>
    <col min="4362" max="4362" width="14.25" style="95" customWidth="1"/>
    <col min="4363" max="4363" width="8.75" style="95"/>
    <col min="4364" max="4364" width="14.75" style="95" customWidth="1"/>
    <col min="4365" max="4608" width="8.75" style="95"/>
    <col min="4609" max="4609" width="3" style="95" customWidth="1"/>
    <col min="4610" max="4610" width="28.5" style="95" customWidth="1"/>
    <col min="4611" max="4611" width="9.5" style="95" customWidth="1"/>
    <col min="4612" max="4612" width="15.375" style="95" customWidth="1"/>
    <col min="4613" max="4613" width="8.75" style="95"/>
    <col min="4614" max="4615" width="10.5" style="95" customWidth="1"/>
    <col min="4616" max="4616" width="16.75" style="95" customWidth="1"/>
    <col min="4617" max="4617" width="3.5" style="95" customWidth="1"/>
    <col min="4618" max="4618" width="14.25" style="95" customWidth="1"/>
    <col min="4619" max="4619" width="8.75" style="95"/>
    <col min="4620" max="4620" width="14.75" style="95" customWidth="1"/>
    <col min="4621" max="4864" width="8.75" style="95"/>
    <col min="4865" max="4865" width="3" style="95" customWidth="1"/>
    <col min="4866" max="4866" width="28.5" style="95" customWidth="1"/>
    <col min="4867" max="4867" width="9.5" style="95" customWidth="1"/>
    <col min="4868" max="4868" width="15.375" style="95" customWidth="1"/>
    <col min="4869" max="4869" width="8.75" style="95"/>
    <col min="4870" max="4871" width="10.5" style="95" customWidth="1"/>
    <col min="4872" max="4872" width="16.75" style="95" customWidth="1"/>
    <col min="4873" max="4873" width="3.5" style="95" customWidth="1"/>
    <col min="4874" max="4874" width="14.25" style="95" customWidth="1"/>
    <col min="4875" max="4875" width="8.75" style="95"/>
    <col min="4876" max="4876" width="14.75" style="95" customWidth="1"/>
    <col min="4877" max="5120" width="8.75" style="95"/>
    <col min="5121" max="5121" width="3" style="95" customWidth="1"/>
    <col min="5122" max="5122" width="28.5" style="95" customWidth="1"/>
    <col min="5123" max="5123" width="9.5" style="95" customWidth="1"/>
    <col min="5124" max="5124" width="15.375" style="95" customWidth="1"/>
    <col min="5125" max="5125" width="8.75" style="95"/>
    <col min="5126" max="5127" width="10.5" style="95" customWidth="1"/>
    <col min="5128" max="5128" width="16.75" style="95" customWidth="1"/>
    <col min="5129" max="5129" width="3.5" style="95" customWidth="1"/>
    <col min="5130" max="5130" width="14.25" style="95" customWidth="1"/>
    <col min="5131" max="5131" width="8.75" style="95"/>
    <col min="5132" max="5132" width="14.75" style="95" customWidth="1"/>
    <col min="5133" max="5376" width="8.75" style="95"/>
    <col min="5377" max="5377" width="3" style="95" customWidth="1"/>
    <col min="5378" max="5378" width="28.5" style="95" customWidth="1"/>
    <col min="5379" max="5379" width="9.5" style="95" customWidth="1"/>
    <col min="5380" max="5380" width="15.375" style="95" customWidth="1"/>
    <col min="5381" max="5381" width="8.75" style="95"/>
    <col min="5382" max="5383" width="10.5" style="95" customWidth="1"/>
    <col min="5384" max="5384" width="16.75" style="95" customWidth="1"/>
    <col min="5385" max="5385" width="3.5" style="95" customWidth="1"/>
    <col min="5386" max="5386" width="14.25" style="95" customWidth="1"/>
    <col min="5387" max="5387" width="8.75" style="95"/>
    <col min="5388" max="5388" width="14.75" style="95" customWidth="1"/>
    <col min="5389" max="5632" width="8.75" style="95"/>
    <col min="5633" max="5633" width="3" style="95" customWidth="1"/>
    <col min="5634" max="5634" width="28.5" style="95" customWidth="1"/>
    <col min="5635" max="5635" width="9.5" style="95" customWidth="1"/>
    <col min="5636" max="5636" width="15.375" style="95" customWidth="1"/>
    <col min="5637" max="5637" width="8.75" style="95"/>
    <col min="5638" max="5639" width="10.5" style="95" customWidth="1"/>
    <col min="5640" max="5640" width="16.75" style="95" customWidth="1"/>
    <col min="5641" max="5641" width="3.5" style="95" customWidth="1"/>
    <col min="5642" max="5642" width="14.25" style="95" customWidth="1"/>
    <col min="5643" max="5643" width="8.75" style="95"/>
    <col min="5644" max="5644" width="14.75" style="95" customWidth="1"/>
    <col min="5645" max="5888" width="8.75" style="95"/>
    <col min="5889" max="5889" width="3" style="95" customWidth="1"/>
    <col min="5890" max="5890" width="28.5" style="95" customWidth="1"/>
    <col min="5891" max="5891" width="9.5" style="95" customWidth="1"/>
    <col min="5892" max="5892" width="15.375" style="95" customWidth="1"/>
    <col min="5893" max="5893" width="8.75" style="95"/>
    <col min="5894" max="5895" width="10.5" style="95" customWidth="1"/>
    <col min="5896" max="5896" width="16.75" style="95" customWidth="1"/>
    <col min="5897" max="5897" width="3.5" style="95" customWidth="1"/>
    <col min="5898" max="5898" width="14.25" style="95" customWidth="1"/>
    <col min="5899" max="5899" width="8.75" style="95"/>
    <col min="5900" max="5900" width="14.75" style="95" customWidth="1"/>
    <col min="5901" max="6144" width="8.75" style="95"/>
    <col min="6145" max="6145" width="3" style="95" customWidth="1"/>
    <col min="6146" max="6146" width="28.5" style="95" customWidth="1"/>
    <col min="6147" max="6147" width="9.5" style="95" customWidth="1"/>
    <col min="6148" max="6148" width="15.375" style="95" customWidth="1"/>
    <col min="6149" max="6149" width="8.75" style="95"/>
    <col min="6150" max="6151" width="10.5" style="95" customWidth="1"/>
    <col min="6152" max="6152" width="16.75" style="95" customWidth="1"/>
    <col min="6153" max="6153" width="3.5" style="95" customWidth="1"/>
    <col min="6154" max="6154" width="14.25" style="95" customWidth="1"/>
    <col min="6155" max="6155" width="8.75" style="95"/>
    <col min="6156" max="6156" width="14.75" style="95" customWidth="1"/>
    <col min="6157" max="6400" width="8.75" style="95"/>
    <col min="6401" max="6401" width="3" style="95" customWidth="1"/>
    <col min="6402" max="6402" width="28.5" style="95" customWidth="1"/>
    <col min="6403" max="6403" width="9.5" style="95" customWidth="1"/>
    <col min="6404" max="6404" width="15.375" style="95" customWidth="1"/>
    <col min="6405" max="6405" width="8.75" style="95"/>
    <col min="6406" max="6407" width="10.5" style="95" customWidth="1"/>
    <col min="6408" max="6408" width="16.75" style="95" customWidth="1"/>
    <col min="6409" max="6409" width="3.5" style="95" customWidth="1"/>
    <col min="6410" max="6410" width="14.25" style="95" customWidth="1"/>
    <col min="6411" max="6411" width="8.75" style="95"/>
    <col min="6412" max="6412" width="14.75" style="95" customWidth="1"/>
    <col min="6413" max="6656" width="8.75" style="95"/>
    <col min="6657" max="6657" width="3" style="95" customWidth="1"/>
    <col min="6658" max="6658" width="28.5" style="95" customWidth="1"/>
    <col min="6659" max="6659" width="9.5" style="95" customWidth="1"/>
    <col min="6660" max="6660" width="15.375" style="95" customWidth="1"/>
    <col min="6661" max="6661" width="8.75" style="95"/>
    <col min="6662" max="6663" width="10.5" style="95" customWidth="1"/>
    <col min="6664" max="6664" width="16.75" style="95" customWidth="1"/>
    <col min="6665" max="6665" width="3.5" style="95" customWidth="1"/>
    <col min="6666" max="6666" width="14.25" style="95" customWidth="1"/>
    <col min="6667" max="6667" width="8.75" style="95"/>
    <col min="6668" max="6668" width="14.75" style="95" customWidth="1"/>
    <col min="6669" max="6912" width="8.75" style="95"/>
    <col min="6913" max="6913" width="3" style="95" customWidth="1"/>
    <col min="6914" max="6914" width="28.5" style="95" customWidth="1"/>
    <col min="6915" max="6915" width="9.5" style="95" customWidth="1"/>
    <col min="6916" max="6916" width="15.375" style="95" customWidth="1"/>
    <col min="6917" max="6917" width="8.75" style="95"/>
    <col min="6918" max="6919" width="10.5" style="95" customWidth="1"/>
    <col min="6920" max="6920" width="16.75" style="95" customWidth="1"/>
    <col min="6921" max="6921" width="3.5" style="95" customWidth="1"/>
    <col min="6922" max="6922" width="14.25" style="95" customWidth="1"/>
    <col min="6923" max="6923" width="8.75" style="95"/>
    <col min="6924" max="6924" width="14.75" style="95" customWidth="1"/>
    <col min="6925" max="7168" width="8.75" style="95"/>
    <col min="7169" max="7169" width="3" style="95" customWidth="1"/>
    <col min="7170" max="7170" width="28.5" style="95" customWidth="1"/>
    <col min="7171" max="7171" width="9.5" style="95" customWidth="1"/>
    <col min="7172" max="7172" width="15.375" style="95" customWidth="1"/>
    <col min="7173" max="7173" width="8.75" style="95"/>
    <col min="7174" max="7175" width="10.5" style="95" customWidth="1"/>
    <col min="7176" max="7176" width="16.75" style="95" customWidth="1"/>
    <col min="7177" max="7177" width="3.5" style="95" customWidth="1"/>
    <col min="7178" max="7178" width="14.25" style="95" customWidth="1"/>
    <col min="7179" max="7179" width="8.75" style="95"/>
    <col min="7180" max="7180" width="14.75" style="95" customWidth="1"/>
    <col min="7181" max="7424" width="8.75" style="95"/>
    <col min="7425" max="7425" width="3" style="95" customWidth="1"/>
    <col min="7426" max="7426" width="28.5" style="95" customWidth="1"/>
    <col min="7427" max="7427" width="9.5" style="95" customWidth="1"/>
    <col min="7428" max="7428" width="15.375" style="95" customWidth="1"/>
    <col min="7429" max="7429" width="8.75" style="95"/>
    <col min="7430" max="7431" width="10.5" style="95" customWidth="1"/>
    <col min="7432" max="7432" width="16.75" style="95" customWidth="1"/>
    <col min="7433" max="7433" width="3.5" style="95" customWidth="1"/>
    <col min="7434" max="7434" width="14.25" style="95" customWidth="1"/>
    <col min="7435" max="7435" width="8.75" style="95"/>
    <col min="7436" max="7436" width="14.75" style="95" customWidth="1"/>
    <col min="7437" max="7680" width="8.75" style="95"/>
    <col min="7681" max="7681" width="3" style="95" customWidth="1"/>
    <col min="7682" max="7682" width="28.5" style="95" customWidth="1"/>
    <col min="7683" max="7683" width="9.5" style="95" customWidth="1"/>
    <col min="7684" max="7684" width="15.375" style="95" customWidth="1"/>
    <col min="7685" max="7685" width="8.75" style="95"/>
    <col min="7686" max="7687" width="10.5" style="95" customWidth="1"/>
    <col min="7688" max="7688" width="16.75" style="95" customWidth="1"/>
    <col min="7689" max="7689" width="3.5" style="95" customWidth="1"/>
    <col min="7690" max="7690" width="14.25" style="95" customWidth="1"/>
    <col min="7691" max="7691" width="8.75" style="95"/>
    <col min="7692" max="7692" width="14.75" style="95" customWidth="1"/>
    <col min="7693" max="7936" width="8.75" style="95"/>
    <col min="7937" max="7937" width="3" style="95" customWidth="1"/>
    <col min="7938" max="7938" width="28.5" style="95" customWidth="1"/>
    <col min="7939" max="7939" width="9.5" style="95" customWidth="1"/>
    <col min="7940" max="7940" width="15.375" style="95" customWidth="1"/>
    <col min="7941" max="7941" width="8.75" style="95"/>
    <col min="7942" max="7943" width="10.5" style="95" customWidth="1"/>
    <col min="7944" max="7944" width="16.75" style="95" customWidth="1"/>
    <col min="7945" max="7945" width="3.5" style="95" customWidth="1"/>
    <col min="7946" max="7946" width="14.25" style="95" customWidth="1"/>
    <col min="7947" max="7947" width="8.75" style="95"/>
    <col min="7948" max="7948" width="14.75" style="95" customWidth="1"/>
    <col min="7949" max="8192" width="8.75" style="95"/>
    <col min="8193" max="8193" width="3" style="95" customWidth="1"/>
    <col min="8194" max="8194" width="28.5" style="95" customWidth="1"/>
    <col min="8195" max="8195" width="9.5" style="95" customWidth="1"/>
    <col min="8196" max="8196" width="15.375" style="95" customWidth="1"/>
    <col min="8197" max="8197" width="8.75" style="95"/>
    <col min="8198" max="8199" width="10.5" style="95" customWidth="1"/>
    <col min="8200" max="8200" width="16.75" style="95" customWidth="1"/>
    <col min="8201" max="8201" width="3.5" style="95" customWidth="1"/>
    <col min="8202" max="8202" width="14.25" style="95" customWidth="1"/>
    <col min="8203" max="8203" width="8.75" style="95"/>
    <col min="8204" max="8204" width="14.75" style="95" customWidth="1"/>
    <col min="8205" max="8448" width="8.75" style="95"/>
    <col min="8449" max="8449" width="3" style="95" customWidth="1"/>
    <col min="8450" max="8450" width="28.5" style="95" customWidth="1"/>
    <col min="8451" max="8451" width="9.5" style="95" customWidth="1"/>
    <col min="8452" max="8452" width="15.375" style="95" customWidth="1"/>
    <col min="8453" max="8453" width="8.75" style="95"/>
    <col min="8454" max="8455" width="10.5" style="95" customWidth="1"/>
    <col min="8456" max="8456" width="16.75" style="95" customWidth="1"/>
    <col min="8457" max="8457" width="3.5" style="95" customWidth="1"/>
    <col min="8458" max="8458" width="14.25" style="95" customWidth="1"/>
    <col min="8459" max="8459" width="8.75" style="95"/>
    <col min="8460" max="8460" width="14.75" style="95" customWidth="1"/>
    <col min="8461" max="8704" width="8.75" style="95"/>
    <col min="8705" max="8705" width="3" style="95" customWidth="1"/>
    <col min="8706" max="8706" width="28.5" style="95" customWidth="1"/>
    <col min="8707" max="8707" width="9.5" style="95" customWidth="1"/>
    <col min="8708" max="8708" width="15.375" style="95" customWidth="1"/>
    <col min="8709" max="8709" width="8.75" style="95"/>
    <col min="8710" max="8711" width="10.5" style="95" customWidth="1"/>
    <col min="8712" max="8712" width="16.75" style="95" customWidth="1"/>
    <col min="8713" max="8713" width="3.5" style="95" customWidth="1"/>
    <col min="8714" max="8714" width="14.25" style="95" customWidth="1"/>
    <col min="8715" max="8715" width="8.75" style="95"/>
    <col min="8716" max="8716" width="14.75" style="95" customWidth="1"/>
    <col min="8717" max="8960" width="8.75" style="95"/>
    <col min="8961" max="8961" width="3" style="95" customWidth="1"/>
    <col min="8962" max="8962" width="28.5" style="95" customWidth="1"/>
    <col min="8963" max="8963" width="9.5" style="95" customWidth="1"/>
    <col min="8964" max="8964" width="15.375" style="95" customWidth="1"/>
    <col min="8965" max="8965" width="8.75" style="95"/>
    <col min="8966" max="8967" width="10.5" style="95" customWidth="1"/>
    <col min="8968" max="8968" width="16.75" style="95" customWidth="1"/>
    <col min="8969" max="8969" width="3.5" style="95" customWidth="1"/>
    <col min="8970" max="8970" width="14.25" style="95" customWidth="1"/>
    <col min="8971" max="8971" width="8.75" style="95"/>
    <col min="8972" max="8972" width="14.75" style="95" customWidth="1"/>
    <col min="8973" max="9216" width="8.75" style="95"/>
    <col min="9217" max="9217" width="3" style="95" customWidth="1"/>
    <col min="9218" max="9218" width="28.5" style="95" customWidth="1"/>
    <col min="9219" max="9219" width="9.5" style="95" customWidth="1"/>
    <col min="9220" max="9220" width="15.375" style="95" customWidth="1"/>
    <col min="9221" max="9221" width="8.75" style="95"/>
    <col min="9222" max="9223" width="10.5" style="95" customWidth="1"/>
    <col min="9224" max="9224" width="16.75" style="95" customWidth="1"/>
    <col min="9225" max="9225" width="3.5" style="95" customWidth="1"/>
    <col min="9226" max="9226" width="14.25" style="95" customWidth="1"/>
    <col min="9227" max="9227" width="8.75" style="95"/>
    <col min="9228" max="9228" width="14.75" style="95" customWidth="1"/>
    <col min="9229" max="9472" width="8.75" style="95"/>
    <col min="9473" max="9473" width="3" style="95" customWidth="1"/>
    <col min="9474" max="9474" width="28.5" style="95" customWidth="1"/>
    <col min="9475" max="9475" width="9.5" style="95" customWidth="1"/>
    <col min="9476" max="9476" width="15.375" style="95" customWidth="1"/>
    <col min="9477" max="9477" width="8.75" style="95"/>
    <col min="9478" max="9479" width="10.5" style="95" customWidth="1"/>
    <col min="9480" max="9480" width="16.75" style="95" customWidth="1"/>
    <col min="9481" max="9481" width="3.5" style="95" customWidth="1"/>
    <col min="9482" max="9482" width="14.25" style="95" customWidth="1"/>
    <col min="9483" max="9483" width="8.75" style="95"/>
    <col min="9484" max="9484" width="14.75" style="95" customWidth="1"/>
    <col min="9485" max="9728" width="8.75" style="95"/>
    <col min="9729" max="9729" width="3" style="95" customWidth="1"/>
    <col min="9730" max="9730" width="28.5" style="95" customWidth="1"/>
    <col min="9731" max="9731" width="9.5" style="95" customWidth="1"/>
    <col min="9732" max="9732" width="15.375" style="95" customWidth="1"/>
    <col min="9733" max="9733" width="8.75" style="95"/>
    <col min="9734" max="9735" width="10.5" style="95" customWidth="1"/>
    <col min="9736" max="9736" width="16.75" style="95" customWidth="1"/>
    <col min="9737" max="9737" width="3.5" style="95" customWidth="1"/>
    <col min="9738" max="9738" width="14.25" style="95" customWidth="1"/>
    <col min="9739" max="9739" width="8.75" style="95"/>
    <col min="9740" max="9740" width="14.75" style="95" customWidth="1"/>
    <col min="9741" max="9984" width="8.75" style="95"/>
    <col min="9985" max="9985" width="3" style="95" customWidth="1"/>
    <col min="9986" max="9986" width="28.5" style="95" customWidth="1"/>
    <col min="9987" max="9987" width="9.5" style="95" customWidth="1"/>
    <col min="9988" max="9988" width="15.375" style="95" customWidth="1"/>
    <col min="9989" max="9989" width="8.75" style="95"/>
    <col min="9990" max="9991" width="10.5" style="95" customWidth="1"/>
    <col min="9992" max="9992" width="16.75" style="95" customWidth="1"/>
    <col min="9993" max="9993" width="3.5" style="95" customWidth="1"/>
    <col min="9994" max="9994" width="14.25" style="95" customWidth="1"/>
    <col min="9995" max="9995" width="8.75" style="95"/>
    <col min="9996" max="9996" width="14.75" style="95" customWidth="1"/>
    <col min="9997" max="10240" width="8.75" style="95"/>
    <col min="10241" max="10241" width="3" style="95" customWidth="1"/>
    <col min="10242" max="10242" width="28.5" style="95" customWidth="1"/>
    <col min="10243" max="10243" width="9.5" style="95" customWidth="1"/>
    <col min="10244" max="10244" width="15.375" style="95" customWidth="1"/>
    <col min="10245" max="10245" width="8.75" style="95"/>
    <col min="10246" max="10247" width="10.5" style="95" customWidth="1"/>
    <col min="10248" max="10248" width="16.75" style="95" customWidth="1"/>
    <col min="10249" max="10249" width="3.5" style="95" customWidth="1"/>
    <col min="10250" max="10250" width="14.25" style="95" customWidth="1"/>
    <col min="10251" max="10251" width="8.75" style="95"/>
    <col min="10252" max="10252" width="14.75" style="95" customWidth="1"/>
    <col min="10253" max="10496" width="8.75" style="95"/>
    <col min="10497" max="10497" width="3" style="95" customWidth="1"/>
    <col min="10498" max="10498" width="28.5" style="95" customWidth="1"/>
    <col min="10499" max="10499" width="9.5" style="95" customWidth="1"/>
    <col min="10500" max="10500" width="15.375" style="95" customWidth="1"/>
    <col min="10501" max="10501" width="8.75" style="95"/>
    <col min="10502" max="10503" width="10.5" style="95" customWidth="1"/>
    <col min="10504" max="10504" width="16.75" style="95" customWidth="1"/>
    <col min="10505" max="10505" width="3.5" style="95" customWidth="1"/>
    <col min="10506" max="10506" width="14.25" style="95" customWidth="1"/>
    <col min="10507" max="10507" width="8.75" style="95"/>
    <col min="10508" max="10508" width="14.75" style="95" customWidth="1"/>
    <col min="10509" max="10752" width="8.75" style="95"/>
    <col min="10753" max="10753" width="3" style="95" customWidth="1"/>
    <col min="10754" max="10754" width="28.5" style="95" customWidth="1"/>
    <col min="10755" max="10755" width="9.5" style="95" customWidth="1"/>
    <col min="10756" max="10756" width="15.375" style="95" customWidth="1"/>
    <col min="10757" max="10757" width="8.75" style="95"/>
    <col min="10758" max="10759" width="10.5" style="95" customWidth="1"/>
    <col min="10760" max="10760" width="16.75" style="95" customWidth="1"/>
    <col min="10761" max="10761" width="3.5" style="95" customWidth="1"/>
    <col min="10762" max="10762" width="14.25" style="95" customWidth="1"/>
    <col min="10763" max="10763" width="8.75" style="95"/>
    <col min="10764" max="10764" width="14.75" style="95" customWidth="1"/>
    <col min="10765" max="11008" width="8.75" style="95"/>
    <col min="11009" max="11009" width="3" style="95" customWidth="1"/>
    <col min="11010" max="11010" width="28.5" style="95" customWidth="1"/>
    <col min="11011" max="11011" width="9.5" style="95" customWidth="1"/>
    <col min="11012" max="11012" width="15.375" style="95" customWidth="1"/>
    <col min="11013" max="11013" width="8.75" style="95"/>
    <col min="11014" max="11015" width="10.5" style="95" customWidth="1"/>
    <col min="11016" max="11016" width="16.75" style="95" customWidth="1"/>
    <col min="11017" max="11017" width="3.5" style="95" customWidth="1"/>
    <col min="11018" max="11018" width="14.25" style="95" customWidth="1"/>
    <col min="11019" max="11019" width="8.75" style="95"/>
    <col min="11020" max="11020" width="14.75" style="95" customWidth="1"/>
    <col min="11021" max="11264" width="8.75" style="95"/>
    <col min="11265" max="11265" width="3" style="95" customWidth="1"/>
    <col min="11266" max="11266" width="28.5" style="95" customWidth="1"/>
    <col min="11267" max="11267" width="9.5" style="95" customWidth="1"/>
    <col min="11268" max="11268" width="15.375" style="95" customWidth="1"/>
    <col min="11269" max="11269" width="8.75" style="95"/>
    <col min="11270" max="11271" width="10.5" style="95" customWidth="1"/>
    <col min="11272" max="11272" width="16.75" style="95" customWidth="1"/>
    <col min="11273" max="11273" width="3.5" style="95" customWidth="1"/>
    <col min="11274" max="11274" width="14.25" style="95" customWidth="1"/>
    <col min="11275" max="11275" width="8.75" style="95"/>
    <col min="11276" max="11276" width="14.75" style="95" customWidth="1"/>
    <col min="11277" max="11520" width="8.75" style="95"/>
    <col min="11521" max="11521" width="3" style="95" customWidth="1"/>
    <col min="11522" max="11522" width="28.5" style="95" customWidth="1"/>
    <col min="11523" max="11523" width="9.5" style="95" customWidth="1"/>
    <col min="11524" max="11524" width="15.375" style="95" customWidth="1"/>
    <col min="11525" max="11525" width="8.75" style="95"/>
    <col min="11526" max="11527" width="10.5" style="95" customWidth="1"/>
    <col min="11528" max="11528" width="16.75" style="95" customWidth="1"/>
    <col min="11529" max="11529" width="3.5" style="95" customWidth="1"/>
    <col min="11530" max="11530" width="14.25" style="95" customWidth="1"/>
    <col min="11531" max="11531" width="8.75" style="95"/>
    <col min="11532" max="11532" width="14.75" style="95" customWidth="1"/>
    <col min="11533" max="11776" width="8.75" style="95"/>
    <col min="11777" max="11777" width="3" style="95" customWidth="1"/>
    <col min="11778" max="11778" width="28.5" style="95" customWidth="1"/>
    <col min="11779" max="11779" width="9.5" style="95" customWidth="1"/>
    <col min="11780" max="11780" width="15.375" style="95" customWidth="1"/>
    <col min="11781" max="11781" width="8.75" style="95"/>
    <col min="11782" max="11783" width="10.5" style="95" customWidth="1"/>
    <col min="11784" max="11784" width="16.75" style="95" customWidth="1"/>
    <col min="11785" max="11785" width="3.5" style="95" customWidth="1"/>
    <col min="11786" max="11786" width="14.25" style="95" customWidth="1"/>
    <col min="11787" max="11787" width="8.75" style="95"/>
    <col min="11788" max="11788" width="14.75" style="95" customWidth="1"/>
    <col min="11789" max="12032" width="8.75" style="95"/>
    <col min="12033" max="12033" width="3" style="95" customWidth="1"/>
    <col min="12034" max="12034" width="28.5" style="95" customWidth="1"/>
    <col min="12035" max="12035" width="9.5" style="95" customWidth="1"/>
    <col min="12036" max="12036" width="15.375" style="95" customWidth="1"/>
    <col min="12037" max="12037" width="8.75" style="95"/>
    <col min="12038" max="12039" width="10.5" style="95" customWidth="1"/>
    <col min="12040" max="12040" width="16.75" style="95" customWidth="1"/>
    <col min="12041" max="12041" width="3.5" style="95" customWidth="1"/>
    <col min="12042" max="12042" width="14.25" style="95" customWidth="1"/>
    <col min="12043" max="12043" width="8.75" style="95"/>
    <col min="12044" max="12044" width="14.75" style="95" customWidth="1"/>
    <col min="12045" max="12288" width="8.75" style="95"/>
    <col min="12289" max="12289" width="3" style="95" customWidth="1"/>
    <col min="12290" max="12290" width="28.5" style="95" customWidth="1"/>
    <col min="12291" max="12291" width="9.5" style="95" customWidth="1"/>
    <col min="12292" max="12292" width="15.375" style="95" customWidth="1"/>
    <col min="12293" max="12293" width="8.75" style="95"/>
    <col min="12294" max="12295" width="10.5" style="95" customWidth="1"/>
    <col min="12296" max="12296" width="16.75" style="95" customWidth="1"/>
    <col min="12297" max="12297" width="3.5" style="95" customWidth="1"/>
    <col min="12298" max="12298" width="14.25" style="95" customWidth="1"/>
    <col min="12299" max="12299" width="8.75" style="95"/>
    <col min="12300" max="12300" width="14.75" style="95" customWidth="1"/>
    <col min="12301" max="12544" width="8.75" style="95"/>
    <col min="12545" max="12545" width="3" style="95" customWidth="1"/>
    <col min="12546" max="12546" width="28.5" style="95" customWidth="1"/>
    <col min="12547" max="12547" width="9.5" style="95" customWidth="1"/>
    <col min="12548" max="12548" width="15.375" style="95" customWidth="1"/>
    <col min="12549" max="12549" width="8.75" style="95"/>
    <col min="12550" max="12551" width="10.5" style="95" customWidth="1"/>
    <col min="12552" max="12552" width="16.75" style="95" customWidth="1"/>
    <col min="12553" max="12553" width="3.5" style="95" customWidth="1"/>
    <col min="12554" max="12554" width="14.25" style="95" customWidth="1"/>
    <col min="12555" max="12555" width="8.75" style="95"/>
    <col min="12556" max="12556" width="14.75" style="95" customWidth="1"/>
    <col min="12557" max="12800" width="8.75" style="95"/>
    <col min="12801" max="12801" width="3" style="95" customWidth="1"/>
    <col min="12802" max="12802" width="28.5" style="95" customWidth="1"/>
    <col min="12803" max="12803" width="9.5" style="95" customWidth="1"/>
    <col min="12804" max="12804" width="15.375" style="95" customWidth="1"/>
    <col min="12805" max="12805" width="8.75" style="95"/>
    <col min="12806" max="12807" width="10.5" style="95" customWidth="1"/>
    <col min="12808" max="12808" width="16.75" style="95" customWidth="1"/>
    <col min="12809" max="12809" width="3.5" style="95" customWidth="1"/>
    <col min="12810" max="12810" width="14.25" style="95" customWidth="1"/>
    <col min="12811" max="12811" width="8.75" style="95"/>
    <col min="12812" max="12812" width="14.75" style="95" customWidth="1"/>
    <col min="12813" max="13056" width="8.75" style="95"/>
    <col min="13057" max="13057" width="3" style="95" customWidth="1"/>
    <col min="13058" max="13058" width="28.5" style="95" customWidth="1"/>
    <col min="13059" max="13059" width="9.5" style="95" customWidth="1"/>
    <col min="13060" max="13060" width="15.375" style="95" customWidth="1"/>
    <col min="13061" max="13061" width="8.75" style="95"/>
    <col min="13062" max="13063" width="10.5" style="95" customWidth="1"/>
    <col min="13064" max="13064" width="16.75" style="95" customWidth="1"/>
    <col min="13065" max="13065" width="3.5" style="95" customWidth="1"/>
    <col min="13066" max="13066" width="14.25" style="95" customWidth="1"/>
    <col min="13067" max="13067" width="8.75" style="95"/>
    <col min="13068" max="13068" width="14.75" style="95" customWidth="1"/>
    <col min="13069" max="13312" width="8.75" style="95"/>
    <col min="13313" max="13313" width="3" style="95" customWidth="1"/>
    <col min="13314" max="13314" width="28.5" style="95" customWidth="1"/>
    <col min="13315" max="13315" width="9.5" style="95" customWidth="1"/>
    <col min="13316" max="13316" width="15.375" style="95" customWidth="1"/>
    <col min="13317" max="13317" width="8.75" style="95"/>
    <col min="13318" max="13319" width="10.5" style="95" customWidth="1"/>
    <col min="13320" max="13320" width="16.75" style="95" customWidth="1"/>
    <col min="13321" max="13321" width="3.5" style="95" customWidth="1"/>
    <col min="13322" max="13322" width="14.25" style="95" customWidth="1"/>
    <col min="13323" max="13323" width="8.75" style="95"/>
    <col min="13324" max="13324" width="14.75" style="95" customWidth="1"/>
    <col min="13325" max="13568" width="8.75" style="95"/>
    <col min="13569" max="13569" width="3" style="95" customWidth="1"/>
    <col min="13570" max="13570" width="28.5" style="95" customWidth="1"/>
    <col min="13571" max="13571" width="9.5" style="95" customWidth="1"/>
    <col min="13572" max="13572" width="15.375" style="95" customWidth="1"/>
    <col min="13573" max="13573" width="8.75" style="95"/>
    <col min="13574" max="13575" width="10.5" style="95" customWidth="1"/>
    <col min="13576" max="13576" width="16.75" style="95" customWidth="1"/>
    <col min="13577" max="13577" width="3.5" style="95" customWidth="1"/>
    <col min="13578" max="13578" width="14.25" style="95" customWidth="1"/>
    <col min="13579" max="13579" width="8.75" style="95"/>
    <col min="13580" max="13580" width="14.75" style="95" customWidth="1"/>
    <col min="13581" max="13824" width="8.75" style="95"/>
    <col min="13825" max="13825" width="3" style="95" customWidth="1"/>
    <col min="13826" max="13826" width="28.5" style="95" customWidth="1"/>
    <col min="13827" max="13827" width="9.5" style="95" customWidth="1"/>
    <col min="13828" max="13828" width="15.375" style="95" customWidth="1"/>
    <col min="13829" max="13829" width="8.75" style="95"/>
    <col min="13830" max="13831" width="10.5" style="95" customWidth="1"/>
    <col min="13832" max="13832" width="16.75" style="95" customWidth="1"/>
    <col min="13833" max="13833" width="3.5" style="95" customWidth="1"/>
    <col min="13834" max="13834" width="14.25" style="95" customWidth="1"/>
    <col min="13835" max="13835" width="8.75" style="95"/>
    <col min="13836" max="13836" width="14.75" style="95" customWidth="1"/>
    <col min="13837" max="14080" width="8.75" style="95"/>
    <col min="14081" max="14081" width="3" style="95" customWidth="1"/>
    <col min="14082" max="14082" width="28.5" style="95" customWidth="1"/>
    <col min="14083" max="14083" width="9.5" style="95" customWidth="1"/>
    <col min="14084" max="14084" width="15.375" style="95" customWidth="1"/>
    <col min="14085" max="14085" width="8.75" style="95"/>
    <col min="14086" max="14087" width="10.5" style="95" customWidth="1"/>
    <col min="14088" max="14088" width="16.75" style="95" customWidth="1"/>
    <col min="14089" max="14089" width="3.5" style="95" customWidth="1"/>
    <col min="14090" max="14090" width="14.25" style="95" customWidth="1"/>
    <col min="14091" max="14091" width="8.75" style="95"/>
    <col min="14092" max="14092" width="14.75" style="95" customWidth="1"/>
    <col min="14093" max="14336" width="8.75" style="95"/>
    <col min="14337" max="14337" width="3" style="95" customWidth="1"/>
    <col min="14338" max="14338" width="28.5" style="95" customWidth="1"/>
    <col min="14339" max="14339" width="9.5" style="95" customWidth="1"/>
    <col min="14340" max="14340" width="15.375" style="95" customWidth="1"/>
    <col min="14341" max="14341" width="8.75" style="95"/>
    <col min="14342" max="14343" width="10.5" style="95" customWidth="1"/>
    <col min="14344" max="14344" width="16.75" style="95" customWidth="1"/>
    <col min="14345" max="14345" width="3.5" style="95" customWidth="1"/>
    <col min="14346" max="14346" width="14.25" style="95" customWidth="1"/>
    <col min="14347" max="14347" width="8.75" style="95"/>
    <col min="14348" max="14348" width="14.75" style="95" customWidth="1"/>
    <col min="14349" max="14592" width="8.75" style="95"/>
    <col min="14593" max="14593" width="3" style="95" customWidth="1"/>
    <col min="14594" max="14594" width="28.5" style="95" customWidth="1"/>
    <col min="14595" max="14595" width="9.5" style="95" customWidth="1"/>
    <col min="14596" max="14596" width="15.375" style="95" customWidth="1"/>
    <col min="14597" max="14597" width="8.75" style="95"/>
    <col min="14598" max="14599" width="10.5" style="95" customWidth="1"/>
    <col min="14600" max="14600" width="16.75" style="95" customWidth="1"/>
    <col min="14601" max="14601" width="3.5" style="95" customWidth="1"/>
    <col min="14602" max="14602" width="14.25" style="95" customWidth="1"/>
    <col min="14603" max="14603" width="8.75" style="95"/>
    <col min="14604" max="14604" width="14.75" style="95" customWidth="1"/>
    <col min="14605" max="14848" width="8.75" style="95"/>
    <col min="14849" max="14849" width="3" style="95" customWidth="1"/>
    <col min="14850" max="14850" width="28.5" style="95" customWidth="1"/>
    <col min="14851" max="14851" width="9.5" style="95" customWidth="1"/>
    <col min="14852" max="14852" width="15.375" style="95" customWidth="1"/>
    <col min="14853" max="14853" width="8.75" style="95"/>
    <col min="14854" max="14855" width="10.5" style="95" customWidth="1"/>
    <col min="14856" max="14856" width="16.75" style="95" customWidth="1"/>
    <col min="14857" max="14857" width="3.5" style="95" customWidth="1"/>
    <col min="14858" max="14858" width="14.25" style="95" customWidth="1"/>
    <col min="14859" max="14859" width="8.75" style="95"/>
    <col min="14860" max="14860" width="14.75" style="95" customWidth="1"/>
    <col min="14861" max="15104" width="8.75" style="95"/>
    <col min="15105" max="15105" width="3" style="95" customWidth="1"/>
    <col min="15106" max="15106" width="28.5" style="95" customWidth="1"/>
    <col min="15107" max="15107" width="9.5" style="95" customWidth="1"/>
    <col min="15108" max="15108" width="15.375" style="95" customWidth="1"/>
    <col min="15109" max="15109" width="8.75" style="95"/>
    <col min="15110" max="15111" width="10.5" style="95" customWidth="1"/>
    <col min="15112" max="15112" width="16.75" style="95" customWidth="1"/>
    <col min="15113" max="15113" width="3.5" style="95" customWidth="1"/>
    <col min="15114" max="15114" width="14.25" style="95" customWidth="1"/>
    <col min="15115" max="15115" width="8.75" style="95"/>
    <col min="15116" max="15116" width="14.75" style="95" customWidth="1"/>
    <col min="15117" max="15360" width="8.75" style="95"/>
    <col min="15361" max="15361" width="3" style="95" customWidth="1"/>
    <col min="15362" max="15362" width="28.5" style="95" customWidth="1"/>
    <col min="15363" max="15363" width="9.5" style="95" customWidth="1"/>
    <col min="15364" max="15364" width="15.375" style="95" customWidth="1"/>
    <col min="15365" max="15365" width="8.75" style="95"/>
    <col min="15366" max="15367" width="10.5" style="95" customWidth="1"/>
    <col min="15368" max="15368" width="16.75" style="95" customWidth="1"/>
    <col min="15369" max="15369" width="3.5" style="95" customWidth="1"/>
    <col min="15370" max="15370" width="14.25" style="95" customWidth="1"/>
    <col min="15371" max="15371" width="8.75" style="95"/>
    <col min="15372" max="15372" width="14.75" style="95" customWidth="1"/>
    <col min="15373" max="15616" width="8.75" style="95"/>
    <col min="15617" max="15617" width="3" style="95" customWidth="1"/>
    <col min="15618" max="15618" width="28.5" style="95" customWidth="1"/>
    <col min="15619" max="15619" width="9.5" style="95" customWidth="1"/>
    <col min="15620" max="15620" width="15.375" style="95" customWidth="1"/>
    <col min="15621" max="15621" width="8.75" style="95"/>
    <col min="15622" max="15623" width="10.5" style="95" customWidth="1"/>
    <col min="15624" max="15624" width="16.75" style="95" customWidth="1"/>
    <col min="15625" max="15625" width="3.5" style="95" customWidth="1"/>
    <col min="15626" max="15626" width="14.25" style="95" customWidth="1"/>
    <col min="15627" max="15627" width="8.75" style="95"/>
    <col min="15628" max="15628" width="14.75" style="95" customWidth="1"/>
    <col min="15629" max="15872" width="8.75" style="95"/>
    <col min="15873" max="15873" width="3" style="95" customWidth="1"/>
    <col min="15874" max="15874" width="28.5" style="95" customWidth="1"/>
    <col min="15875" max="15875" width="9.5" style="95" customWidth="1"/>
    <col min="15876" max="15876" width="15.375" style="95" customWidth="1"/>
    <col min="15877" max="15877" width="8.75" style="95"/>
    <col min="15878" max="15879" width="10.5" style="95" customWidth="1"/>
    <col min="15880" max="15880" width="16.75" style="95" customWidth="1"/>
    <col min="15881" max="15881" width="3.5" style="95" customWidth="1"/>
    <col min="15882" max="15882" width="14.25" style="95" customWidth="1"/>
    <col min="15883" max="15883" width="8.75" style="95"/>
    <col min="15884" max="15884" width="14.75" style="95" customWidth="1"/>
    <col min="15885" max="16128" width="8.75" style="95"/>
    <col min="16129" max="16129" width="3" style="95" customWidth="1"/>
    <col min="16130" max="16130" width="28.5" style="95" customWidth="1"/>
    <col min="16131" max="16131" width="9.5" style="95" customWidth="1"/>
    <col min="16132" max="16132" width="15.375" style="95" customWidth="1"/>
    <col min="16133" max="16133" width="8.75" style="95"/>
    <col min="16134" max="16135" width="10.5" style="95" customWidth="1"/>
    <col min="16136" max="16136" width="16.75" style="95" customWidth="1"/>
    <col min="16137" max="16137" width="3.5" style="95" customWidth="1"/>
    <col min="16138" max="16138" width="14.25" style="95" customWidth="1"/>
    <col min="16139" max="16139" width="8.75" style="95"/>
    <col min="16140" max="16140" width="14.75" style="95" customWidth="1"/>
    <col min="16141" max="16384" width="8.75" style="95"/>
  </cols>
  <sheetData>
    <row r="1" spans="1:10" ht="23.45" customHeight="1" thickBot="1" x14ac:dyDescent="0.45">
      <c r="A1" s="624" t="s">
        <v>389</v>
      </c>
      <c r="B1" s="624"/>
      <c r="C1" s="624"/>
      <c r="D1" s="624"/>
      <c r="E1" s="624"/>
      <c r="F1" s="624"/>
      <c r="G1" s="624"/>
      <c r="H1" s="625"/>
      <c r="I1" s="94"/>
    </row>
    <row r="2" spans="1:10" ht="22.7" customHeight="1" thickBot="1" x14ac:dyDescent="0.45">
      <c r="A2" s="626" t="s">
        <v>390</v>
      </c>
      <c r="B2" s="626"/>
      <c r="C2" s="627">
        <f>工事カード!C7</f>
        <v>0</v>
      </c>
      <c r="D2" s="627"/>
      <c r="E2" s="627"/>
      <c r="F2" s="627"/>
      <c r="G2" s="96">
        <f>工事カード!C9</f>
        <v>0</v>
      </c>
      <c r="H2" s="97" t="str">
        <f>[4]工事カード!J6</f>
        <v>号室</v>
      </c>
      <c r="I2" s="98"/>
    </row>
    <row r="3" spans="1:10" ht="12.75" customHeight="1" x14ac:dyDescent="0.4">
      <c r="B3" s="628"/>
      <c r="C3" s="629"/>
    </row>
    <row r="4" spans="1:10" ht="16.5" customHeight="1" thickBot="1" x14ac:dyDescent="0.45">
      <c r="B4" s="630"/>
      <c r="C4" s="631"/>
      <c r="D4" s="101"/>
      <c r="F4" s="102" t="s">
        <v>391</v>
      </c>
      <c r="G4" s="638">
        <f>見積書!K55</f>
        <v>0</v>
      </c>
      <c r="H4" s="638"/>
      <c r="I4" s="103"/>
    </row>
    <row r="5" spans="1:10" ht="10.5" customHeight="1" x14ac:dyDescent="0.4"/>
    <row r="6" spans="1:10" ht="18.75" customHeight="1" x14ac:dyDescent="0.4">
      <c r="A6" s="104"/>
      <c r="B6" s="241"/>
      <c r="E6" s="105" t="s">
        <v>392</v>
      </c>
      <c r="F6" s="106">
        <f>工事カード!C3</f>
        <v>0</v>
      </c>
    </row>
    <row r="7" spans="1:10" ht="14.25" x14ac:dyDescent="0.4">
      <c r="A7" s="104" t="s">
        <v>393</v>
      </c>
      <c r="H7" s="107" t="s">
        <v>12</v>
      </c>
      <c r="I7" s="108"/>
    </row>
    <row r="8" spans="1:10" ht="16.5" customHeight="1" x14ac:dyDescent="0.4">
      <c r="B8" s="632" t="s">
        <v>393</v>
      </c>
      <c r="C8" s="633"/>
      <c r="D8" s="425" t="s">
        <v>395</v>
      </c>
      <c r="E8" s="426" t="s">
        <v>34</v>
      </c>
      <c r="F8" s="426" t="s">
        <v>35</v>
      </c>
      <c r="G8" s="426" t="s">
        <v>36</v>
      </c>
      <c r="H8" s="426" t="s">
        <v>396</v>
      </c>
      <c r="I8" s="111"/>
      <c r="J8" s="112" t="s">
        <v>397</v>
      </c>
    </row>
    <row r="9" spans="1:10" ht="14.25" customHeight="1" x14ac:dyDescent="0.4">
      <c r="B9" s="113"/>
      <c r="C9" s="114"/>
      <c r="D9" s="115"/>
      <c r="E9" s="116"/>
      <c r="F9" s="117"/>
      <c r="G9" s="118"/>
      <c r="H9" s="119">
        <f t="shared" ref="H9:H16" si="0">SUM(E9*G9)</f>
        <v>0</v>
      </c>
      <c r="I9" s="120"/>
      <c r="J9" s="112" t="s">
        <v>398</v>
      </c>
    </row>
    <row r="10" spans="1:10" ht="14.25" customHeight="1" x14ac:dyDescent="0.4">
      <c r="B10" s="113"/>
      <c r="C10" s="121"/>
      <c r="D10" s="122"/>
      <c r="E10" s="116"/>
      <c r="F10" s="117"/>
      <c r="G10" s="118"/>
      <c r="H10" s="119">
        <f t="shared" si="0"/>
        <v>0</v>
      </c>
      <c r="I10" s="120"/>
      <c r="J10" s="112" t="s">
        <v>399</v>
      </c>
    </row>
    <row r="11" spans="1:10" ht="14.25" customHeight="1" x14ac:dyDescent="0.4">
      <c r="B11" s="113"/>
      <c r="C11" s="121"/>
      <c r="D11" s="122"/>
      <c r="E11" s="116"/>
      <c r="F11" s="117"/>
      <c r="G11" s="118"/>
      <c r="H11" s="119">
        <f t="shared" si="0"/>
        <v>0</v>
      </c>
      <c r="I11" s="120"/>
      <c r="J11" s="112" t="s">
        <v>400</v>
      </c>
    </row>
    <row r="12" spans="1:10" ht="14.25" customHeight="1" x14ac:dyDescent="0.4">
      <c r="B12" s="113"/>
      <c r="C12" s="121"/>
      <c r="D12" s="122"/>
      <c r="E12" s="116"/>
      <c r="F12" s="117"/>
      <c r="G12" s="118"/>
      <c r="H12" s="119">
        <f t="shared" si="0"/>
        <v>0</v>
      </c>
      <c r="I12" s="120"/>
      <c r="J12" s="112" t="s">
        <v>401</v>
      </c>
    </row>
    <row r="13" spans="1:10" ht="14.25" customHeight="1" x14ac:dyDescent="0.4">
      <c r="B13" s="113"/>
      <c r="C13" s="121"/>
      <c r="D13" s="122"/>
      <c r="E13" s="116"/>
      <c r="F13" s="117"/>
      <c r="G13" s="118"/>
      <c r="H13" s="119">
        <f t="shared" si="0"/>
        <v>0</v>
      </c>
      <c r="I13" s="120"/>
      <c r="J13" s="112" t="s">
        <v>12</v>
      </c>
    </row>
    <row r="14" spans="1:10" ht="14.25" customHeight="1" x14ac:dyDescent="0.4">
      <c r="B14" s="113"/>
      <c r="C14" s="121"/>
      <c r="D14" s="122"/>
      <c r="E14" s="116"/>
      <c r="F14" s="117"/>
      <c r="G14" s="118"/>
      <c r="H14" s="119">
        <f t="shared" si="0"/>
        <v>0</v>
      </c>
      <c r="I14" s="120"/>
    </row>
    <row r="15" spans="1:10" ht="14.25" customHeight="1" x14ac:dyDescent="0.4">
      <c r="B15" s="113"/>
      <c r="C15" s="121"/>
      <c r="D15" s="122"/>
      <c r="E15" s="116"/>
      <c r="F15" s="117"/>
      <c r="G15" s="118"/>
      <c r="H15" s="119">
        <f t="shared" si="0"/>
        <v>0</v>
      </c>
      <c r="I15" s="120"/>
    </row>
    <row r="16" spans="1:10" ht="14.25" customHeight="1" x14ac:dyDescent="0.4">
      <c r="B16" s="113"/>
      <c r="C16" s="121"/>
      <c r="D16" s="122"/>
      <c r="E16" s="116"/>
      <c r="F16" s="117"/>
      <c r="G16" s="118"/>
      <c r="H16" s="119">
        <f t="shared" si="0"/>
        <v>0</v>
      </c>
      <c r="I16" s="120"/>
    </row>
    <row r="17" spans="1:9" ht="16.5" customHeight="1" thickBot="1" x14ac:dyDescent="0.45">
      <c r="F17" s="123" t="s">
        <v>402</v>
      </c>
      <c r="G17" s="123"/>
      <c r="H17" s="123">
        <f>SUM(H9:H16)</f>
        <v>0</v>
      </c>
      <c r="I17" s="98"/>
    </row>
    <row r="18" spans="1:9" ht="16.5" customHeight="1" thickTop="1" x14ac:dyDescent="0.4">
      <c r="A18" s="124"/>
      <c r="F18" s="98"/>
      <c r="G18" s="98"/>
      <c r="H18" s="98"/>
      <c r="I18" s="98"/>
    </row>
    <row r="19" spans="1:9" ht="16.5" customHeight="1" x14ac:dyDescent="0.4">
      <c r="A19" s="124" t="s">
        <v>403</v>
      </c>
    </row>
    <row r="20" spans="1:9" ht="16.5" customHeight="1" x14ac:dyDescent="0.4">
      <c r="A20" s="124"/>
      <c r="B20" s="632" t="s">
        <v>50</v>
      </c>
      <c r="C20" s="633"/>
      <c r="D20" s="425" t="s">
        <v>404</v>
      </c>
      <c r="E20" s="426" t="s">
        <v>34</v>
      </c>
      <c r="F20" s="426" t="s">
        <v>35</v>
      </c>
      <c r="G20" s="426" t="s">
        <v>36</v>
      </c>
      <c r="H20" s="426" t="s">
        <v>396</v>
      </c>
      <c r="I20" s="111"/>
    </row>
    <row r="21" spans="1:9" ht="14.25" customHeight="1" x14ac:dyDescent="0.4">
      <c r="A21" s="124"/>
      <c r="B21" s="113"/>
      <c r="C21" s="114"/>
      <c r="D21" s="122"/>
      <c r="E21" s="116"/>
      <c r="F21" s="117"/>
      <c r="G21" s="118"/>
      <c r="H21" s="119">
        <f t="shared" ref="H21:H26" si="1">SUM(E21*G21)</f>
        <v>0</v>
      </c>
      <c r="I21" s="120"/>
    </row>
    <row r="22" spans="1:9" ht="14.25" customHeight="1" x14ac:dyDescent="0.4">
      <c r="A22" s="124"/>
      <c r="B22" s="113"/>
      <c r="C22" s="114"/>
      <c r="D22" s="122"/>
      <c r="E22" s="116"/>
      <c r="F22" s="125"/>
      <c r="G22" s="118"/>
      <c r="H22" s="119">
        <f t="shared" si="1"/>
        <v>0</v>
      </c>
      <c r="I22" s="120"/>
    </row>
    <row r="23" spans="1:9" ht="14.25" customHeight="1" x14ac:dyDescent="0.4">
      <c r="A23" s="124"/>
      <c r="B23" s="113"/>
      <c r="C23" s="114"/>
      <c r="D23" s="122"/>
      <c r="E23" s="116"/>
      <c r="F23" s="125"/>
      <c r="G23" s="118"/>
      <c r="H23" s="119">
        <f t="shared" si="1"/>
        <v>0</v>
      </c>
      <c r="I23" s="120"/>
    </row>
    <row r="24" spans="1:9" ht="14.25" customHeight="1" x14ac:dyDescent="0.4">
      <c r="A24" s="124"/>
      <c r="B24" s="113"/>
      <c r="C24" s="114"/>
      <c r="D24" s="122"/>
      <c r="E24" s="116"/>
      <c r="F24" s="125"/>
      <c r="G24" s="118"/>
      <c r="H24" s="119">
        <f t="shared" si="1"/>
        <v>0</v>
      </c>
      <c r="I24" s="120"/>
    </row>
    <row r="25" spans="1:9" ht="14.25" customHeight="1" x14ac:dyDescent="0.4">
      <c r="A25" s="124"/>
      <c r="B25" s="113"/>
      <c r="C25" s="114"/>
      <c r="D25" s="122"/>
      <c r="E25" s="116"/>
      <c r="F25" s="125"/>
      <c r="G25" s="118"/>
      <c r="H25" s="119">
        <f t="shared" si="1"/>
        <v>0</v>
      </c>
      <c r="I25" s="120"/>
    </row>
    <row r="26" spans="1:9" ht="14.25" customHeight="1" x14ac:dyDescent="0.4">
      <c r="A26" s="124"/>
      <c r="B26" s="113"/>
      <c r="C26" s="114"/>
      <c r="D26" s="122"/>
      <c r="E26" s="116"/>
      <c r="F26" s="125"/>
      <c r="G26" s="118"/>
      <c r="H26" s="119">
        <f t="shared" si="1"/>
        <v>0</v>
      </c>
      <c r="I26" s="120"/>
    </row>
    <row r="27" spans="1:9" ht="16.5" customHeight="1" thickBot="1" x14ac:dyDescent="0.45">
      <c r="A27" s="124"/>
      <c r="F27" s="126" t="s">
        <v>405</v>
      </c>
      <c r="G27" s="126"/>
      <c r="H27" s="127">
        <f>SUM(H21:H26)</f>
        <v>0</v>
      </c>
      <c r="I27" s="128"/>
    </row>
    <row r="28" spans="1:9" ht="16.5" customHeight="1" thickTop="1" x14ac:dyDescent="0.4">
      <c r="A28" s="124"/>
      <c r="H28" s="128"/>
      <c r="I28" s="128"/>
    </row>
    <row r="29" spans="1:9" ht="16.5" customHeight="1" x14ac:dyDescent="0.4">
      <c r="A29" s="124" t="s">
        <v>406</v>
      </c>
      <c r="I29" s="128"/>
    </row>
    <row r="30" spans="1:9" ht="16.5" customHeight="1" x14ac:dyDescent="0.4">
      <c r="A30" s="124"/>
      <c r="B30" s="632" t="s">
        <v>2441</v>
      </c>
      <c r="C30" s="633"/>
      <c r="D30" s="425" t="s">
        <v>404</v>
      </c>
      <c r="E30" s="426" t="s">
        <v>34</v>
      </c>
      <c r="F30" s="426" t="s">
        <v>35</v>
      </c>
      <c r="G30" s="426" t="s">
        <v>36</v>
      </c>
      <c r="H30" s="426" t="s">
        <v>396</v>
      </c>
      <c r="I30" s="128"/>
    </row>
    <row r="31" spans="1:9" ht="14.25" customHeight="1" x14ac:dyDescent="0.4">
      <c r="A31" s="124"/>
      <c r="B31" s="113"/>
      <c r="C31" s="114"/>
      <c r="D31" s="122"/>
      <c r="E31" s="116"/>
      <c r="F31" s="117"/>
      <c r="G31" s="118"/>
      <c r="H31" s="119">
        <f>SUM(E31*G31)</f>
        <v>0</v>
      </c>
      <c r="I31" s="128"/>
    </row>
    <row r="32" spans="1:9" ht="14.25" customHeight="1" x14ac:dyDescent="0.4">
      <c r="A32" s="124"/>
      <c r="B32" s="113"/>
      <c r="C32" s="114"/>
      <c r="D32" s="122"/>
      <c r="E32" s="116"/>
      <c r="F32" s="125"/>
      <c r="G32" s="118"/>
      <c r="H32" s="119">
        <f>SUM(E32*G32)</f>
        <v>0</v>
      </c>
      <c r="I32" s="128"/>
    </row>
    <row r="33" spans="1:11" ht="14.25" customHeight="1" x14ac:dyDescent="0.4">
      <c r="A33" s="124"/>
      <c r="B33" s="113"/>
      <c r="C33" s="114"/>
      <c r="D33" s="122"/>
      <c r="E33" s="116"/>
      <c r="F33" s="125"/>
      <c r="G33" s="118"/>
      <c r="H33" s="119">
        <f>SUM(E33*G33)</f>
        <v>0</v>
      </c>
      <c r="I33" s="128"/>
    </row>
    <row r="34" spans="1:11" ht="14.25" customHeight="1" x14ac:dyDescent="0.4">
      <c r="A34" s="124"/>
      <c r="B34" s="113"/>
      <c r="C34" s="114"/>
      <c r="D34" s="122"/>
      <c r="E34" s="116"/>
      <c r="F34" s="125"/>
      <c r="G34" s="118"/>
      <c r="H34" s="119">
        <f t="shared" ref="H34:H44" si="2">SUM(E34*G34)</f>
        <v>0</v>
      </c>
      <c r="I34" s="128"/>
    </row>
    <row r="35" spans="1:11" ht="14.25" customHeight="1" x14ac:dyDescent="0.4">
      <c r="A35" s="124"/>
      <c r="B35" s="113"/>
      <c r="C35" s="114"/>
      <c r="D35" s="122"/>
      <c r="E35" s="116"/>
      <c r="F35" s="125"/>
      <c r="G35" s="118"/>
      <c r="H35" s="119">
        <f t="shared" si="2"/>
        <v>0</v>
      </c>
      <c r="I35" s="128"/>
    </row>
    <row r="36" spans="1:11" ht="14.25" customHeight="1" x14ac:dyDescent="0.4">
      <c r="A36" s="124"/>
      <c r="B36" s="113"/>
      <c r="C36" s="114"/>
      <c r="D36" s="122"/>
      <c r="E36" s="116"/>
      <c r="F36" s="125"/>
      <c r="G36" s="118"/>
      <c r="H36" s="119">
        <f t="shared" si="2"/>
        <v>0</v>
      </c>
      <c r="I36" s="128"/>
    </row>
    <row r="37" spans="1:11" ht="14.25" customHeight="1" x14ac:dyDescent="0.4">
      <c r="A37" s="124"/>
      <c r="B37" s="113"/>
      <c r="C37" s="114"/>
      <c r="D37" s="122"/>
      <c r="E37" s="116"/>
      <c r="F37" s="125"/>
      <c r="G37" s="118"/>
      <c r="H37" s="119">
        <f t="shared" si="2"/>
        <v>0</v>
      </c>
      <c r="I37" s="128"/>
    </row>
    <row r="38" spans="1:11" ht="14.25" customHeight="1" x14ac:dyDescent="0.4">
      <c r="A38" s="124"/>
      <c r="B38" s="113"/>
      <c r="C38" s="114"/>
      <c r="D38" s="122"/>
      <c r="E38" s="116"/>
      <c r="F38" s="125"/>
      <c r="G38" s="118"/>
      <c r="H38" s="119">
        <f t="shared" si="2"/>
        <v>0</v>
      </c>
      <c r="I38" s="128"/>
    </row>
    <row r="39" spans="1:11" ht="14.25" customHeight="1" x14ac:dyDescent="0.4">
      <c r="A39" s="124"/>
      <c r="B39" s="113"/>
      <c r="C39" s="114"/>
      <c r="D39" s="122"/>
      <c r="E39" s="116"/>
      <c r="F39" s="125"/>
      <c r="G39" s="118"/>
      <c r="H39" s="119">
        <f t="shared" si="2"/>
        <v>0</v>
      </c>
      <c r="I39" s="128"/>
    </row>
    <row r="40" spans="1:11" ht="14.25" customHeight="1" x14ac:dyDescent="0.4">
      <c r="A40" s="124"/>
      <c r="B40" s="113"/>
      <c r="C40" s="114"/>
      <c r="D40" s="122"/>
      <c r="E40" s="116"/>
      <c r="F40" s="125"/>
      <c r="G40" s="118"/>
      <c r="H40" s="119">
        <f t="shared" si="2"/>
        <v>0</v>
      </c>
      <c r="I40" s="128"/>
    </row>
    <row r="41" spans="1:11" ht="14.25" customHeight="1" x14ac:dyDescent="0.4">
      <c r="A41" s="124"/>
      <c r="B41" s="113"/>
      <c r="C41" s="114"/>
      <c r="D41" s="122"/>
      <c r="E41" s="116"/>
      <c r="F41" s="125"/>
      <c r="G41" s="118"/>
      <c r="H41" s="119">
        <f t="shared" si="2"/>
        <v>0</v>
      </c>
      <c r="I41" s="128"/>
    </row>
    <row r="42" spans="1:11" ht="14.25" customHeight="1" x14ac:dyDescent="0.4">
      <c r="A42" s="124"/>
      <c r="B42" s="113"/>
      <c r="C42" s="114"/>
      <c r="D42" s="122"/>
      <c r="E42" s="116"/>
      <c r="F42" s="125"/>
      <c r="G42" s="118"/>
      <c r="H42" s="119">
        <f t="shared" si="2"/>
        <v>0</v>
      </c>
      <c r="I42" s="128"/>
    </row>
    <row r="43" spans="1:11" ht="14.25" customHeight="1" x14ac:dyDescent="0.4">
      <c r="A43" s="124"/>
      <c r="B43" s="113"/>
      <c r="C43" s="114"/>
      <c r="D43" s="122"/>
      <c r="E43" s="116"/>
      <c r="F43" s="125"/>
      <c r="G43" s="118"/>
      <c r="H43" s="119">
        <f t="shared" si="2"/>
        <v>0</v>
      </c>
      <c r="I43" s="128"/>
    </row>
    <row r="44" spans="1:11" ht="14.25" customHeight="1" x14ac:dyDescent="0.4">
      <c r="A44" s="124"/>
      <c r="B44" s="113"/>
      <c r="C44" s="114"/>
      <c r="D44" s="122"/>
      <c r="E44" s="116"/>
      <c r="F44" s="125"/>
      <c r="G44" s="118"/>
      <c r="H44" s="119">
        <f t="shared" si="2"/>
        <v>0</v>
      </c>
      <c r="I44" s="128"/>
    </row>
    <row r="45" spans="1:11" ht="16.5" customHeight="1" thickBot="1" x14ac:dyDescent="0.45">
      <c r="A45" s="124"/>
      <c r="F45" s="126" t="s">
        <v>405</v>
      </c>
      <c r="G45" s="126"/>
      <c r="H45" s="127">
        <f>SUM(H31:H44)</f>
        <v>0</v>
      </c>
    </row>
    <row r="46" spans="1:11" ht="16.5" customHeight="1" thickTop="1" x14ac:dyDescent="0.4">
      <c r="A46" s="124" t="s">
        <v>407</v>
      </c>
      <c r="F46" s="129"/>
      <c r="G46" s="129"/>
      <c r="H46" s="130"/>
    </row>
    <row r="47" spans="1:11" ht="16.5" customHeight="1" x14ac:dyDescent="0.4">
      <c r="B47" s="426" t="s">
        <v>394</v>
      </c>
      <c r="C47" s="426" t="s">
        <v>408</v>
      </c>
      <c r="D47" s="425" t="s">
        <v>409</v>
      </c>
      <c r="E47" s="426" t="s">
        <v>34</v>
      </c>
      <c r="F47" s="426" t="s">
        <v>35</v>
      </c>
      <c r="G47" s="426" t="s">
        <v>36</v>
      </c>
      <c r="H47" s="424" t="s">
        <v>396</v>
      </c>
      <c r="I47" s="131"/>
      <c r="J47" s="132" t="s">
        <v>410</v>
      </c>
      <c r="K47" s="133" t="s">
        <v>411</v>
      </c>
    </row>
    <row r="48" spans="1:11" ht="14.25" customHeight="1" x14ac:dyDescent="0.4">
      <c r="A48" s="134"/>
      <c r="B48" s="135"/>
      <c r="C48" s="136"/>
      <c r="D48" s="122"/>
      <c r="E48" s="116"/>
      <c r="F48" s="125"/>
      <c r="G48" s="137">
        <f t="shared" ref="G48:G63" si="3">SUM(J48/1.1)</f>
        <v>0</v>
      </c>
      <c r="H48" s="138">
        <f>SUM(E48*G48)</f>
        <v>0</v>
      </c>
      <c r="I48" s="139"/>
      <c r="J48" s="140"/>
    </row>
    <row r="49" spans="1:12" ht="14.25" customHeight="1" x14ac:dyDescent="0.4">
      <c r="A49" s="134"/>
      <c r="B49" s="122"/>
      <c r="C49" s="136"/>
      <c r="D49" s="122"/>
      <c r="E49" s="116"/>
      <c r="F49" s="125"/>
      <c r="G49" s="137">
        <f t="shared" si="3"/>
        <v>0</v>
      </c>
      <c r="H49" s="138">
        <f t="shared" ref="H49:H63" si="4">SUM(E49*G49)</f>
        <v>0</v>
      </c>
      <c r="I49" s="139"/>
      <c r="J49" s="140"/>
    </row>
    <row r="50" spans="1:12" ht="14.25" customHeight="1" x14ac:dyDescent="0.4">
      <c r="A50" s="134"/>
      <c r="B50" s="122"/>
      <c r="C50" s="136"/>
      <c r="D50" s="122"/>
      <c r="E50" s="116"/>
      <c r="F50" s="125"/>
      <c r="G50" s="137">
        <f t="shared" si="3"/>
        <v>0</v>
      </c>
      <c r="H50" s="138">
        <f t="shared" si="4"/>
        <v>0</v>
      </c>
      <c r="I50" s="139"/>
      <c r="J50" s="140"/>
    </row>
    <row r="51" spans="1:12" ht="14.25" customHeight="1" x14ac:dyDescent="0.4">
      <c r="A51" s="134"/>
      <c r="B51" s="135"/>
      <c r="C51" s="136"/>
      <c r="D51" s="122"/>
      <c r="E51" s="116"/>
      <c r="F51" s="125"/>
      <c r="G51" s="137">
        <f t="shared" si="3"/>
        <v>0</v>
      </c>
      <c r="H51" s="138">
        <f t="shared" si="4"/>
        <v>0</v>
      </c>
      <c r="I51" s="139"/>
      <c r="J51" s="140"/>
    </row>
    <row r="52" spans="1:12" ht="14.25" customHeight="1" x14ac:dyDescent="0.4">
      <c r="A52" s="134"/>
      <c r="B52" s="122"/>
      <c r="C52" s="136"/>
      <c r="D52" s="122"/>
      <c r="E52" s="116"/>
      <c r="F52" s="125"/>
      <c r="G52" s="137">
        <f t="shared" si="3"/>
        <v>0</v>
      </c>
      <c r="H52" s="138">
        <f t="shared" si="4"/>
        <v>0</v>
      </c>
      <c r="I52" s="139"/>
      <c r="J52" s="140"/>
    </row>
    <row r="53" spans="1:12" ht="14.25" customHeight="1" x14ac:dyDescent="0.4">
      <c r="A53" s="134"/>
      <c r="B53" s="122"/>
      <c r="C53" s="136"/>
      <c r="D53" s="122"/>
      <c r="E53" s="116"/>
      <c r="F53" s="125"/>
      <c r="G53" s="137">
        <f t="shared" si="3"/>
        <v>0</v>
      </c>
      <c r="H53" s="138">
        <f t="shared" si="4"/>
        <v>0</v>
      </c>
      <c r="I53" s="139"/>
      <c r="J53" s="140"/>
    </row>
    <row r="54" spans="1:12" ht="14.25" customHeight="1" x14ac:dyDescent="0.4">
      <c r="A54" s="134"/>
      <c r="B54" s="135"/>
      <c r="C54" s="136"/>
      <c r="D54" s="122"/>
      <c r="E54" s="116"/>
      <c r="F54" s="125"/>
      <c r="G54" s="137">
        <f t="shared" si="3"/>
        <v>0</v>
      </c>
      <c r="H54" s="138">
        <f t="shared" si="4"/>
        <v>0</v>
      </c>
      <c r="I54" s="139"/>
      <c r="J54" s="140"/>
    </row>
    <row r="55" spans="1:12" ht="14.25" customHeight="1" x14ac:dyDescent="0.4">
      <c r="A55" s="134"/>
      <c r="B55" s="122"/>
      <c r="C55" s="136"/>
      <c r="D55" s="122"/>
      <c r="E55" s="116"/>
      <c r="F55" s="125"/>
      <c r="G55" s="137">
        <f t="shared" si="3"/>
        <v>0</v>
      </c>
      <c r="H55" s="138">
        <f t="shared" si="4"/>
        <v>0</v>
      </c>
      <c r="I55" s="139"/>
      <c r="J55" s="140"/>
    </row>
    <row r="56" spans="1:12" ht="14.25" customHeight="1" x14ac:dyDescent="0.4">
      <c r="A56" s="134"/>
      <c r="B56" s="122"/>
      <c r="C56" s="136"/>
      <c r="D56" s="122"/>
      <c r="E56" s="116"/>
      <c r="F56" s="125"/>
      <c r="G56" s="137">
        <f t="shared" si="3"/>
        <v>0</v>
      </c>
      <c r="H56" s="138">
        <f t="shared" si="4"/>
        <v>0</v>
      </c>
      <c r="I56" s="139"/>
      <c r="J56" s="140"/>
    </row>
    <row r="57" spans="1:12" ht="14.25" customHeight="1" x14ac:dyDescent="0.4">
      <c r="A57" s="134"/>
      <c r="B57" s="135"/>
      <c r="C57" s="136"/>
      <c r="D57" s="122"/>
      <c r="E57" s="116"/>
      <c r="F57" s="125"/>
      <c r="G57" s="137">
        <f t="shared" si="3"/>
        <v>0</v>
      </c>
      <c r="H57" s="138">
        <f t="shared" si="4"/>
        <v>0</v>
      </c>
      <c r="I57" s="139"/>
      <c r="J57" s="140"/>
    </row>
    <row r="58" spans="1:12" ht="14.25" customHeight="1" x14ac:dyDescent="0.4">
      <c r="A58" s="134"/>
      <c r="B58" s="122"/>
      <c r="C58" s="136"/>
      <c r="D58" s="122"/>
      <c r="E58" s="116"/>
      <c r="F58" s="125"/>
      <c r="G58" s="137">
        <f t="shared" si="3"/>
        <v>0</v>
      </c>
      <c r="H58" s="138">
        <f t="shared" si="4"/>
        <v>0</v>
      </c>
      <c r="I58" s="139"/>
      <c r="J58" s="140"/>
    </row>
    <row r="59" spans="1:12" ht="14.25" customHeight="1" x14ac:dyDescent="0.4">
      <c r="A59" s="134"/>
      <c r="B59" s="122"/>
      <c r="C59" s="136"/>
      <c r="D59" s="122"/>
      <c r="E59" s="116"/>
      <c r="F59" s="125"/>
      <c r="G59" s="137">
        <f t="shared" si="3"/>
        <v>0</v>
      </c>
      <c r="H59" s="138">
        <f t="shared" si="4"/>
        <v>0</v>
      </c>
      <c r="I59" s="139"/>
      <c r="J59" s="140"/>
      <c r="L59" s="141"/>
    </row>
    <row r="60" spans="1:12" ht="14.25" customHeight="1" x14ac:dyDescent="0.4">
      <c r="B60" s="122"/>
      <c r="C60" s="142"/>
      <c r="D60" s="122"/>
      <c r="E60" s="116"/>
      <c r="F60" s="125"/>
      <c r="G60" s="137">
        <f t="shared" si="3"/>
        <v>0</v>
      </c>
      <c r="H60" s="138">
        <f t="shared" si="4"/>
        <v>0</v>
      </c>
      <c r="I60" s="139"/>
      <c r="J60" s="140"/>
    </row>
    <row r="61" spans="1:12" ht="14.25" customHeight="1" x14ac:dyDescent="0.4">
      <c r="B61" s="112"/>
      <c r="C61" s="142"/>
      <c r="D61" s="122"/>
      <c r="E61" s="116"/>
      <c r="F61" s="125"/>
      <c r="G61" s="137">
        <f t="shared" si="3"/>
        <v>0</v>
      </c>
      <c r="H61" s="138">
        <f t="shared" si="4"/>
        <v>0</v>
      </c>
      <c r="I61" s="139"/>
      <c r="J61" s="140"/>
    </row>
    <row r="62" spans="1:12" ht="14.25" customHeight="1" x14ac:dyDescent="0.4">
      <c r="B62" s="122"/>
      <c r="C62" s="142"/>
      <c r="D62" s="122"/>
      <c r="E62" s="116"/>
      <c r="F62" s="125"/>
      <c r="G62" s="137">
        <f t="shared" si="3"/>
        <v>0</v>
      </c>
      <c r="H62" s="138">
        <f t="shared" si="4"/>
        <v>0</v>
      </c>
      <c r="I62" s="139"/>
      <c r="J62" s="140"/>
    </row>
    <row r="63" spans="1:12" ht="14.25" customHeight="1" x14ac:dyDescent="0.4">
      <c r="B63" s="122"/>
      <c r="C63" s="142"/>
      <c r="D63" s="122"/>
      <c r="E63" s="116"/>
      <c r="F63" s="125"/>
      <c r="G63" s="137">
        <f t="shared" si="3"/>
        <v>0</v>
      </c>
      <c r="H63" s="138">
        <f t="shared" si="4"/>
        <v>0</v>
      </c>
      <c r="I63" s="139"/>
      <c r="J63" s="140"/>
    </row>
    <row r="64" spans="1:12" ht="16.5" customHeight="1" thickBot="1" x14ac:dyDescent="0.45">
      <c r="F64" s="126" t="s">
        <v>405</v>
      </c>
      <c r="G64" s="126"/>
      <c r="H64" s="127">
        <f>SUM(H48:H63)</f>
        <v>0</v>
      </c>
      <c r="I64" s="128"/>
    </row>
    <row r="65" spans="1:10" ht="16.5" customHeight="1" thickTop="1" x14ac:dyDescent="0.4">
      <c r="A65" s="124" t="s">
        <v>412</v>
      </c>
    </row>
    <row r="66" spans="1:10" ht="16.5" customHeight="1" x14ac:dyDescent="0.4">
      <c r="B66" s="634"/>
      <c r="C66" s="635"/>
      <c r="D66" s="109" t="s">
        <v>404</v>
      </c>
      <c r="E66" s="110" t="s">
        <v>34</v>
      </c>
      <c r="F66" s="110" t="s">
        <v>35</v>
      </c>
      <c r="G66" s="110" t="s">
        <v>36</v>
      </c>
      <c r="H66" s="110" t="s">
        <v>396</v>
      </c>
      <c r="I66" s="111"/>
    </row>
    <row r="67" spans="1:10" ht="14.25" customHeight="1" x14ac:dyDescent="0.4">
      <c r="B67" s="636" t="s">
        <v>413</v>
      </c>
      <c r="C67" s="637"/>
      <c r="D67" s="112"/>
      <c r="E67" s="116">
        <v>1</v>
      </c>
      <c r="F67" s="125" t="s">
        <v>414</v>
      </c>
      <c r="G67" s="118"/>
      <c r="H67" s="119">
        <f>SUM(E67*G67)</f>
        <v>0</v>
      </c>
      <c r="I67" s="120"/>
    </row>
    <row r="68" spans="1:10" ht="14.25" customHeight="1" x14ac:dyDescent="0.4">
      <c r="B68" s="636" t="s">
        <v>415</v>
      </c>
      <c r="C68" s="637"/>
      <c r="D68" s="112"/>
      <c r="E68" s="116">
        <v>1</v>
      </c>
      <c r="F68" s="125" t="s">
        <v>414</v>
      </c>
      <c r="G68" s="118"/>
      <c r="H68" s="119">
        <f>SUM(E68*G68)</f>
        <v>0</v>
      </c>
      <c r="I68" s="120"/>
    </row>
    <row r="69" spans="1:10" ht="16.5" customHeight="1" thickBot="1" x14ac:dyDescent="0.45">
      <c r="F69" s="123" t="s">
        <v>405</v>
      </c>
      <c r="G69" s="123"/>
      <c r="H69" s="123">
        <f>SUM(H67:H68)</f>
        <v>0</v>
      </c>
      <c r="I69" s="98"/>
    </row>
    <row r="70" spans="1:10" ht="3.2" customHeight="1" thickTop="1" x14ac:dyDescent="0.4"/>
    <row r="71" spans="1:10" ht="10.5" customHeight="1" x14ac:dyDescent="0.4"/>
    <row r="72" spans="1:10" ht="15.95" customHeight="1" x14ac:dyDescent="0.4">
      <c r="E72" s="98" t="s">
        <v>416</v>
      </c>
      <c r="F72" s="98"/>
      <c r="G72" s="98"/>
      <c r="H72" s="143">
        <f>H17+H27+H45+H64+H69</f>
        <v>0</v>
      </c>
      <c r="I72" s="143"/>
    </row>
    <row r="73" spans="1:10" ht="15.95" customHeight="1" x14ac:dyDescent="0.4">
      <c r="E73" s="98" t="s">
        <v>391</v>
      </c>
      <c r="F73" s="98"/>
      <c r="G73" s="98"/>
      <c r="H73" s="144">
        <f>SUM(G4)</f>
        <v>0</v>
      </c>
      <c r="I73" s="144"/>
    </row>
    <row r="74" spans="1:10" ht="15.95" customHeight="1" thickBot="1" x14ac:dyDescent="0.45">
      <c r="E74" s="98" t="s">
        <v>417</v>
      </c>
      <c r="F74" s="98"/>
      <c r="G74" s="98"/>
      <c r="H74" s="145">
        <f>G4-H72</f>
        <v>0</v>
      </c>
      <c r="I74" s="146"/>
    </row>
    <row r="75" spans="1:10" ht="14.25" thickTop="1" x14ac:dyDescent="0.4"/>
    <row r="76" spans="1:10" x14ac:dyDescent="0.4">
      <c r="E76" s="98" t="s">
        <v>418</v>
      </c>
      <c r="G76" s="147"/>
      <c r="H76" s="148" t="e">
        <f>SUM(H74/H73*100)</f>
        <v>#DIV/0!</v>
      </c>
      <c r="I76" s="98" t="s">
        <v>419</v>
      </c>
      <c r="J76" s="98"/>
    </row>
    <row r="77" spans="1:10" x14ac:dyDescent="0.4">
      <c r="E77" s="98" t="s">
        <v>420</v>
      </c>
      <c r="G77" s="147" t="e">
        <f>SUM(E78/8)</f>
        <v>#VALUE!</v>
      </c>
      <c r="H77" s="149">
        <f>SUM(H27,H45)</f>
        <v>0</v>
      </c>
    </row>
    <row r="78" spans="1:10" x14ac:dyDescent="0.4">
      <c r="E78" s="98" t="s">
        <v>421</v>
      </c>
      <c r="F78" s="98"/>
      <c r="G78" s="98"/>
      <c r="H78" s="149">
        <f>H64</f>
        <v>0</v>
      </c>
      <c r="I78" s="98"/>
      <c r="J78" s="98"/>
    </row>
    <row r="79" spans="1:10" x14ac:dyDescent="0.4">
      <c r="E79" s="98"/>
      <c r="F79" s="98"/>
      <c r="G79" s="98"/>
      <c r="H79" s="98"/>
      <c r="I79" s="98"/>
      <c r="J79" s="98"/>
    </row>
    <row r="80" spans="1:10" x14ac:dyDescent="0.4">
      <c r="E80" s="98"/>
      <c r="F80" s="98"/>
      <c r="G80" s="98"/>
      <c r="H80" s="144"/>
      <c r="I80" s="144"/>
      <c r="J80" s="98"/>
    </row>
    <row r="81" spans="5:10" x14ac:dyDescent="0.4">
      <c r="E81" s="98"/>
      <c r="F81" s="98"/>
      <c r="G81" s="98"/>
      <c r="H81" s="98"/>
      <c r="I81" s="98"/>
      <c r="J81" s="98"/>
    </row>
    <row r="82" spans="5:10" x14ac:dyDescent="0.4">
      <c r="E82" s="98"/>
      <c r="F82" s="98"/>
      <c r="G82" s="98"/>
      <c r="H82" s="150"/>
      <c r="I82" s="150"/>
      <c r="J82" s="98"/>
    </row>
    <row r="83" spans="5:10" x14ac:dyDescent="0.4">
      <c r="E83" s="98"/>
      <c r="F83" s="98"/>
      <c r="G83" s="98"/>
      <c r="H83" s="98"/>
      <c r="I83" s="98"/>
      <c r="J83" s="98"/>
    </row>
  </sheetData>
  <mergeCells count="11">
    <mergeCell ref="B30:C30"/>
    <mergeCell ref="B66:C66"/>
    <mergeCell ref="B67:C67"/>
    <mergeCell ref="B68:C68"/>
    <mergeCell ref="G4:H4"/>
    <mergeCell ref="B20:C20"/>
    <mergeCell ref="A1:H1"/>
    <mergeCell ref="A2:B2"/>
    <mergeCell ref="C2:F2"/>
    <mergeCell ref="B3:C4"/>
    <mergeCell ref="B8:C8"/>
  </mergeCells>
  <phoneticPr fontId="3"/>
  <pageMargins left="0.43307086614173229" right="0.23622047244094491" top="0" bottom="0" header="0.31496062992125984" footer="0.31496062992125984"/>
  <pageSetup paperSize="9" scale="73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648E4-3DA0-4602-B37A-339784B7DF6D}">
  <sheetPr codeName="Sheet33">
    <tabColor rgb="FFFF0000"/>
    <pageSetUpPr fitToPage="1"/>
  </sheetPr>
  <dimension ref="B1:N32"/>
  <sheetViews>
    <sheetView showGridLines="0" showZeros="0" workbookViewId="0">
      <selection activeCell="B3" sqref="B3:K3"/>
    </sheetView>
  </sheetViews>
  <sheetFormatPr defaultRowHeight="13.5" x14ac:dyDescent="0.15"/>
  <cols>
    <col min="1" max="1" width="1.25" style="1" customWidth="1"/>
    <col min="2" max="2" width="22.125" style="1" customWidth="1"/>
    <col min="3" max="3" width="17.25" style="1" customWidth="1"/>
    <col min="4" max="4" width="14.5" style="1" customWidth="1"/>
    <col min="5" max="5" width="8.75" style="1" customWidth="1"/>
    <col min="6" max="6" width="11.75" style="1" customWidth="1"/>
    <col min="7" max="7" width="18.125" style="1" customWidth="1"/>
    <col min="8" max="8" width="10.5" style="2" customWidth="1"/>
    <col min="9" max="9" width="8.75" style="2" customWidth="1"/>
    <col min="10" max="10" width="10" style="1" customWidth="1"/>
    <col min="11" max="11" width="15.125" style="1" customWidth="1"/>
    <col min="12" max="13" width="9" style="1"/>
    <col min="14" max="14" width="9" style="1" hidden="1" customWidth="1"/>
    <col min="15" max="256" width="9" style="1"/>
    <col min="257" max="257" width="1.25" style="1" customWidth="1"/>
    <col min="258" max="258" width="22.125" style="1" customWidth="1"/>
    <col min="259" max="259" width="17.25" style="1" customWidth="1"/>
    <col min="260" max="260" width="14.5" style="1" customWidth="1"/>
    <col min="261" max="261" width="8.75" style="1" customWidth="1"/>
    <col min="262" max="262" width="11.75" style="1" customWidth="1"/>
    <col min="263" max="263" width="18.125" style="1" customWidth="1"/>
    <col min="264" max="264" width="10.5" style="1" customWidth="1"/>
    <col min="265" max="265" width="8.75" style="1" customWidth="1"/>
    <col min="266" max="266" width="10" style="1" customWidth="1"/>
    <col min="267" max="267" width="15.125" style="1" customWidth="1"/>
    <col min="268" max="269" width="9" style="1"/>
    <col min="270" max="270" width="0" style="1" hidden="1" customWidth="1"/>
    <col min="271" max="512" width="9" style="1"/>
    <col min="513" max="513" width="1.25" style="1" customWidth="1"/>
    <col min="514" max="514" width="22.125" style="1" customWidth="1"/>
    <col min="515" max="515" width="17.25" style="1" customWidth="1"/>
    <col min="516" max="516" width="14.5" style="1" customWidth="1"/>
    <col min="517" max="517" width="8.75" style="1" customWidth="1"/>
    <col min="518" max="518" width="11.75" style="1" customWidth="1"/>
    <col min="519" max="519" width="18.125" style="1" customWidth="1"/>
    <col min="520" max="520" width="10.5" style="1" customWidth="1"/>
    <col min="521" max="521" width="8.75" style="1" customWidth="1"/>
    <col min="522" max="522" width="10" style="1" customWidth="1"/>
    <col min="523" max="523" width="15.125" style="1" customWidth="1"/>
    <col min="524" max="525" width="9" style="1"/>
    <col min="526" max="526" width="0" style="1" hidden="1" customWidth="1"/>
    <col min="527" max="768" width="9" style="1"/>
    <col min="769" max="769" width="1.25" style="1" customWidth="1"/>
    <col min="770" max="770" width="22.125" style="1" customWidth="1"/>
    <col min="771" max="771" width="17.25" style="1" customWidth="1"/>
    <col min="772" max="772" width="14.5" style="1" customWidth="1"/>
    <col min="773" max="773" width="8.75" style="1" customWidth="1"/>
    <col min="774" max="774" width="11.75" style="1" customWidth="1"/>
    <col min="775" max="775" width="18.125" style="1" customWidth="1"/>
    <col min="776" max="776" width="10.5" style="1" customWidth="1"/>
    <col min="777" max="777" width="8.75" style="1" customWidth="1"/>
    <col min="778" max="778" width="10" style="1" customWidth="1"/>
    <col min="779" max="779" width="15.125" style="1" customWidth="1"/>
    <col min="780" max="781" width="9" style="1"/>
    <col min="782" max="782" width="0" style="1" hidden="1" customWidth="1"/>
    <col min="783" max="1024" width="9" style="1"/>
    <col min="1025" max="1025" width="1.25" style="1" customWidth="1"/>
    <col min="1026" max="1026" width="22.125" style="1" customWidth="1"/>
    <col min="1027" max="1027" width="17.25" style="1" customWidth="1"/>
    <col min="1028" max="1028" width="14.5" style="1" customWidth="1"/>
    <col min="1029" max="1029" width="8.75" style="1" customWidth="1"/>
    <col min="1030" max="1030" width="11.75" style="1" customWidth="1"/>
    <col min="1031" max="1031" width="18.125" style="1" customWidth="1"/>
    <col min="1032" max="1032" width="10.5" style="1" customWidth="1"/>
    <col min="1033" max="1033" width="8.75" style="1" customWidth="1"/>
    <col min="1034" max="1034" width="10" style="1" customWidth="1"/>
    <col min="1035" max="1035" width="15.125" style="1" customWidth="1"/>
    <col min="1036" max="1037" width="9" style="1"/>
    <col min="1038" max="1038" width="0" style="1" hidden="1" customWidth="1"/>
    <col min="1039" max="1280" width="9" style="1"/>
    <col min="1281" max="1281" width="1.25" style="1" customWidth="1"/>
    <col min="1282" max="1282" width="22.125" style="1" customWidth="1"/>
    <col min="1283" max="1283" width="17.25" style="1" customWidth="1"/>
    <col min="1284" max="1284" width="14.5" style="1" customWidth="1"/>
    <col min="1285" max="1285" width="8.75" style="1" customWidth="1"/>
    <col min="1286" max="1286" width="11.75" style="1" customWidth="1"/>
    <col min="1287" max="1287" width="18.125" style="1" customWidth="1"/>
    <col min="1288" max="1288" width="10.5" style="1" customWidth="1"/>
    <col min="1289" max="1289" width="8.75" style="1" customWidth="1"/>
    <col min="1290" max="1290" width="10" style="1" customWidth="1"/>
    <col min="1291" max="1291" width="15.125" style="1" customWidth="1"/>
    <col min="1292" max="1293" width="9" style="1"/>
    <col min="1294" max="1294" width="0" style="1" hidden="1" customWidth="1"/>
    <col min="1295" max="1536" width="9" style="1"/>
    <col min="1537" max="1537" width="1.25" style="1" customWidth="1"/>
    <col min="1538" max="1538" width="22.125" style="1" customWidth="1"/>
    <col min="1539" max="1539" width="17.25" style="1" customWidth="1"/>
    <col min="1540" max="1540" width="14.5" style="1" customWidth="1"/>
    <col min="1541" max="1541" width="8.75" style="1" customWidth="1"/>
    <col min="1542" max="1542" width="11.75" style="1" customWidth="1"/>
    <col min="1543" max="1543" width="18.125" style="1" customWidth="1"/>
    <col min="1544" max="1544" width="10.5" style="1" customWidth="1"/>
    <col min="1545" max="1545" width="8.75" style="1" customWidth="1"/>
    <col min="1546" max="1546" width="10" style="1" customWidth="1"/>
    <col min="1547" max="1547" width="15.125" style="1" customWidth="1"/>
    <col min="1548" max="1549" width="9" style="1"/>
    <col min="1550" max="1550" width="0" style="1" hidden="1" customWidth="1"/>
    <col min="1551" max="1792" width="9" style="1"/>
    <col min="1793" max="1793" width="1.25" style="1" customWidth="1"/>
    <col min="1794" max="1794" width="22.125" style="1" customWidth="1"/>
    <col min="1795" max="1795" width="17.25" style="1" customWidth="1"/>
    <col min="1796" max="1796" width="14.5" style="1" customWidth="1"/>
    <col min="1797" max="1797" width="8.75" style="1" customWidth="1"/>
    <col min="1798" max="1798" width="11.75" style="1" customWidth="1"/>
    <col min="1799" max="1799" width="18.125" style="1" customWidth="1"/>
    <col min="1800" max="1800" width="10.5" style="1" customWidth="1"/>
    <col min="1801" max="1801" width="8.75" style="1" customWidth="1"/>
    <col min="1802" max="1802" width="10" style="1" customWidth="1"/>
    <col min="1803" max="1803" width="15.125" style="1" customWidth="1"/>
    <col min="1804" max="1805" width="9" style="1"/>
    <col min="1806" max="1806" width="0" style="1" hidden="1" customWidth="1"/>
    <col min="1807" max="2048" width="9" style="1"/>
    <col min="2049" max="2049" width="1.25" style="1" customWidth="1"/>
    <col min="2050" max="2050" width="22.125" style="1" customWidth="1"/>
    <col min="2051" max="2051" width="17.25" style="1" customWidth="1"/>
    <col min="2052" max="2052" width="14.5" style="1" customWidth="1"/>
    <col min="2053" max="2053" width="8.75" style="1" customWidth="1"/>
    <col min="2054" max="2054" width="11.75" style="1" customWidth="1"/>
    <col min="2055" max="2055" width="18.125" style="1" customWidth="1"/>
    <col min="2056" max="2056" width="10.5" style="1" customWidth="1"/>
    <col min="2057" max="2057" width="8.75" style="1" customWidth="1"/>
    <col min="2058" max="2058" width="10" style="1" customWidth="1"/>
    <col min="2059" max="2059" width="15.125" style="1" customWidth="1"/>
    <col min="2060" max="2061" width="9" style="1"/>
    <col min="2062" max="2062" width="0" style="1" hidden="1" customWidth="1"/>
    <col min="2063" max="2304" width="9" style="1"/>
    <col min="2305" max="2305" width="1.25" style="1" customWidth="1"/>
    <col min="2306" max="2306" width="22.125" style="1" customWidth="1"/>
    <col min="2307" max="2307" width="17.25" style="1" customWidth="1"/>
    <col min="2308" max="2308" width="14.5" style="1" customWidth="1"/>
    <col min="2309" max="2309" width="8.75" style="1" customWidth="1"/>
    <col min="2310" max="2310" width="11.75" style="1" customWidth="1"/>
    <col min="2311" max="2311" width="18.125" style="1" customWidth="1"/>
    <col min="2312" max="2312" width="10.5" style="1" customWidth="1"/>
    <col min="2313" max="2313" width="8.75" style="1" customWidth="1"/>
    <col min="2314" max="2314" width="10" style="1" customWidth="1"/>
    <col min="2315" max="2315" width="15.125" style="1" customWidth="1"/>
    <col min="2316" max="2317" width="9" style="1"/>
    <col min="2318" max="2318" width="0" style="1" hidden="1" customWidth="1"/>
    <col min="2319" max="2560" width="9" style="1"/>
    <col min="2561" max="2561" width="1.25" style="1" customWidth="1"/>
    <col min="2562" max="2562" width="22.125" style="1" customWidth="1"/>
    <col min="2563" max="2563" width="17.25" style="1" customWidth="1"/>
    <col min="2564" max="2564" width="14.5" style="1" customWidth="1"/>
    <col min="2565" max="2565" width="8.75" style="1" customWidth="1"/>
    <col min="2566" max="2566" width="11.75" style="1" customWidth="1"/>
    <col min="2567" max="2567" width="18.125" style="1" customWidth="1"/>
    <col min="2568" max="2568" width="10.5" style="1" customWidth="1"/>
    <col min="2569" max="2569" width="8.75" style="1" customWidth="1"/>
    <col min="2570" max="2570" width="10" style="1" customWidth="1"/>
    <col min="2571" max="2571" width="15.125" style="1" customWidth="1"/>
    <col min="2572" max="2573" width="9" style="1"/>
    <col min="2574" max="2574" width="0" style="1" hidden="1" customWidth="1"/>
    <col min="2575" max="2816" width="9" style="1"/>
    <col min="2817" max="2817" width="1.25" style="1" customWidth="1"/>
    <col min="2818" max="2818" width="22.125" style="1" customWidth="1"/>
    <col min="2819" max="2819" width="17.25" style="1" customWidth="1"/>
    <col min="2820" max="2820" width="14.5" style="1" customWidth="1"/>
    <col min="2821" max="2821" width="8.75" style="1" customWidth="1"/>
    <col min="2822" max="2822" width="11.75" style="1" customWidth="1"/>
    <col min="2823" max="2823" width="18.125" style="1" customWidth="1"/>
    <col min="2824" max="2824" width="10.5" style="1" customWidth="1"/>
    <col min="2825" max="2825" width="8.75" style="1" customWidth="1"/>
    <col min="2826" max="2826" width="10" style="1" customWidth="1"/>
    <col min="2827" max="2827" width="15.125" style="1" customWidth="1"/>
    <col min="2828" max="2829" width="9" style="1"/>
    <col min="2830" max="2830" width="0" style="1" hidden="1" customWidth="1"/>
    <col min="2831" max="3072" width="9" style="1"/>
    <col min="3073" max="3073" width="1.25" style="1" customWidth="1"/>
    <col min="3074" max="3074" width="22.125" style="1" customWidth="1"/>
    <col min="3075" max="3075" width="17.25" style="1" customWidth="1"/>
    <col min="3076" max="3076" width="14.5" style="1" customWidth="1"/>
    <col min="3077" max="3077" width="8.75" style="1" customWidth="1"/>
    <col min="3078" max="3078" width="11.75" style="1" customWidth="1"/>
    <col min="3079" max="3079" width="18.125" style="1" customWidth="1"/>
    <col min="3080" max="3080" width="10.5" style="1" customWidth="1"/>
    <col min="3081" max="3081" width="8.75" style="1" customWidth="1"/>
    <col min="3082" max="3082" width="10" style="1" customWidth="1"/>
    <col min="3083" max="3083" width="15.125" style="1" customWidth="1"/>
    <col min="3084" max="3085" width="9" style="1"/>
    <col min="3086" max="3086" width="0" style="1" hidden="1" customWidth="1"/>
    <col min="3087" max="3328" width="9" style="1"/>
    <col min="3329" max="3329" width="1.25" style="1" customWidth="1"/>
    <col min="3330" max="3330" width="22.125" style="1" customWidth="1"/>
    <col min="3331" max="3331" width="17.25" style="1" customWidth="1"/>
    <col min="3332" max="3332" width="14.5" style="1" customWidth="1"/>
    <col min="3333" max="3333" width="8.75" style="1" customWidth="1"/>
    <col min="3334" max="3334" width="11.75" style="1" customWidth="1"/>
    <col min="3335" max="3335" width="18.125" style="1" customWidth="1"/>
    <col min="3336" max="3336" width="10.5" style="1" customWidth="1"/>
    <col min="3337" max="3337" width="8.75" style="1" customWidth="1"/>
    <col min="3338" max="3338" width="10" style="1" customWidth="1"/>
    <col min="3339" max="3339" width="15.125" style="1" customWidth="1"/>
    <col min="3340" max="3341" width="9" style="1"/>
    <col min="3342" max="3342" width="0" style="1" hidden="1" customWidth="1"/>
    <col min="3343" max="3584" width="9" style="1"/>
    <col min="3585" max="3585" width="1.25" style="1" customWidth="1"/>
    <col min="3586" max="3586" width="22.125" style="1" customWidth="1"/>
    <col min="3587" max="3587" width="17.25" style="1" customWidth="1"/>
    <col min="3588" max="3588" width="14.5" style="1" customWidth="1"/>
    <col min="3589" max="3589" width="8.75" style="1" customWidth="1"/>
    <col min="3590" max="3590" width="11.75" style="1" customWidth="1"/>
    <col min="3591" max="3591" width="18.125" style="1" customWidth="1"/>
    <col min="3592" max="3592" width="10.5" style="1" customWidth="1"/>
    <col min="3593" max="3593" width="8.75" style="1" customWidth="1"/>
    <col min="3594" max="3594" width="10" style="1" customWidth="1"/>
    <col min="3595" max="3595" width="15.125" style="1" customWidth="1"/>
    <col min="3596" max="3597" width="9" style="1"/>
    <col min="3598" max="3598" width="0" style="1" hidden="1" customWidth="1"/>
    <col min="3599" max="3840" width="9" style="1"/>
    <col min="3841" max="3841" width="1.25" style="1" customWidth="1"/>
    <col min="3842" max="3842" width="22.125" style="1" customWidth="1"/>
    <col min="3843" max="3843" width="17.25" style="1" customWidth="1"/>
    <col min="3844" max="3844" width="14.5" style="1" customWidth="1"/>
    <col min="3845" max="3845" width="8.75" style="1" customWidth="1"/>
    <col min="3846" max="3846" width="11.75" style="1" customWidth="1"/>
    <col min="3847" max="3847" width="18.125" style="1" customWidth="1"/>
    <col min="3848" max="3848" width="10.5" style="1" customWidth="1"/>
    <col min="3849" max="3849" width="8.75" style="1" customWidth="1"/>
    <col min="3850" max="3850" width="10" style="1" customWidth="1"/>
    <col min="3851" max="3851" width="15.125" style="1" customWidth="1"/>
    <col min="3852" max="3853" width="9" style="1"/>
    <col min="3854" max="3854" width="0" style="1" hidden="1" customWidth="1"/>
    <col min="3855" max="4096" width="9" style="1"/>
    <col min="4097" max="4097" width="1.25" style="1" customWidth="1"/>
    <col min="4098" max="4098" width="22.125" style="1" customWidth="1"/>
    <col min="4099" max="4099" width="17.25" style="1" customWidth="1"/>
    <col min="4100" max="4100" width="14.5" style="1" customWidth="1"/>
    <col min="4101" max="4101" width="8.75" style="1" customWidth="1"/>
    <col min="4102" max="4102" width="11.75" style="1" customWidth="1"/>
    <col min="4103" max="4103" width="18.125" style="1" customWidth="1"/>
    <col min="4104" max="4104" width="10.5" style="1" customWidth="1"/>
    <col min="4105" max="4105" width="8.75" style="1" customWidth="1"/>
    <col min="4106" max="4106" width="10" style="1" customWidth="1"/>
    <col min="4107" max="4107" width="15.125" style="1" customWidth="1"/>
    <col min="4108" max="4109" width="9" style="1"/>
    <col min="4110" max="4110" width="0" style="1" hidden="1" customWidth="1"/>
    <col min="4111" max="4352" width="9" style="1"/>
    <col min="4353" max="4353" width="1.25" style="1" customWidth="1"/>
    <col min="4354" max="4354" width="22.125" style="1" customWidth="1"/>
    <col min="4355" max="4355" width="17.25" style="1" customWidth="1"/>
    <col min="4356" max="4356" width="14.5" style="1" customWidth="1"/>
    <col min="4357" max="4357" width="8.75" style="1" customWidth="1"/>
    <col min="4358" max="4358" width="11.75" style="1" customWidth="1"/>
    <col min="4359" max="4359" width="18.125" style="1" customWidth="1"/>
    <col min="4360" max="4360" width="10.5" style="1" customWidth="1"/>
    <col min="4361" max="4361" width="8.75" style="1" customWidth="1"/>
    <col min="4362" max="4362" width="10" style="1" customWidth="1"/>
    <col min="4363" max="4363" width="15.125" style="1" customWidth="1"/>
    <col min="4364" max="4365" width="9" style="1"/>
    <col min="4366" max="4366" width="0" style="1" hidden="1" customWidth="1"/>
    <col min="4367" max="4608" width="9" style="1"/>
    <col min="4609" max="4609" width="1.25" style="1" customWidth="1"/>
    <col min="4610" max="4610" width="22.125" style="1" customWidth="1"/>
    <col min="4611" max="4611" width="17.25" style="1" customWidth="1"/>
    <col min="4612" max="4612" width="14.5" style="1" customWidth="1"/>
    <col min="4613" max="4613" width="8.75" style="1" customWidth="1"/>
    <col min="4614" max="4614" width="11.75" style="1" customWidth="1"/>
    <col min="4615" max="4615" width="18.125" style="1" customWidth="1"/>
    <col min="4616" max="4616" width="10.5" style="1" customWidth="1"/>
    <col min="4617" max="4617" width="8.75" style="1" customWidth="1"/>
    <col min="4618" max="4618" width="10" style="1" customWidth="1"/>
    <col min="4619" max="4619" width="15.125" style="1" customWidth="1"/>
    <col min="4620" max="4621" width="9" style="1"/>
    <col min="4622" max="4622" width="0" style="1" hidden="1" customWidth="1"/>
    <col min="4623" max="4864" width="9" style="1"/>
    <col min="4865" max="4865" width="1.25" style="1" customWidth="1"/>
    <col min="4866" max="4866" width="22.125" style="1" customWidth="1"/>
    <col min="4867" max="4867" width="17.25" style="1" customWidth="1"/>
    <col min="4868" max="4868" width="14.5" style="1" customWidth="1"/>
    <col min="4869" max="4869" width="8.75" style="1" customWidth="1"/>
    <col min="4870" max="4870" width="11.75" style="1" customWidth="1"/>
    <col min="4871" max="4871" width="18.125" style="1" customWidth="1"/>
    <col min="4872" max="4872" width="10.5" style="1" customWidth="1"/>
    <col min="4873" max="4873" width="8.75" style="1" customWidth="1"/>
    <col min="4874" max="4874" width="10" style="1" customWidth="1"/>
    <col min="4875" max="4875" width="15.125" style="1" customWidth="1"/>
    <col min="4876" max="4877" width="9" style="1"/>
    <col min="4878" max="4878" width="0" style="1" hidden="1" customWidth="1"/>
    <col min="4879" max="5120" width="9" style="1"/>
    <col min="5121" max="5121" width="1.25" style="1" customWidth="1"/>
    <col min="5122" max="5122" width="22.125" style="1" customWidth="1"/>
    <col min="5123" max="5123" width="17.25" style="1" customWidth="1"/>
    <col min="5124" max="5124" width="14.5" style="1" customWidth="1"/>
    <col min="5125" max="5125" width="8.75" style="1" customWidth="1"/>
    <col min="5126" max="5126" width="11.75" style="1" customWidth="1"/>
    <col min="5127" max="5127" width="18.125" style="1" customWidth="1"/>
    <col min="5128" max="5128" width="10.5" style="1" customWidth="1"/>
    <col min="5129" max="5129" width="8.75" style="1" customWidth="1"/>
    <col min="5130" max="5130" width="10" style="1" customWidth="1"/>
    <col min="5131" max="5131" width="15.125" style="1" customWidth="1"/>
    <col min="5132" max="5133" width="9" style="1"/>
    <col min="5134" max="5134" width="0" style="1" hidden="1" customWidth="1"/>
    <col min="5135" max="5376" width="9" style="1"/>
    <col min="5377" max="5377" width="1.25" style="1" customWidth="1"/>
    <col min="5378" max="5378" width="22.125" style="1" customWidth="1"/>
    <col min="5379" max="5379" width="17.25" style="1" customWidth="1"/>
    <col min="5380" max="5380" width="14.5" style="1" customWidth="1"/>
    <col min="5381" max="5381" width="8.75" style="1" customWidth="1"/>
    <col min="5382" max="5382" width="11.75" style="1" customWidth="1"/>
    <col min="5383" max="5383" width="18.125" style="1" customWidth="1"/>
    <col min="5384" max="5384" width="10.5" style="1" customWidth="1"/>
    <col min="5385" max="5385" width="8.75" style="1" customWidth="1"/>
    <col min="5386" max="5386" width="10" style="1" customWidth="1"/>
    <col min="5387" max="5387" width="15.125" style="1" customWidth="1"/>
    <col min="5388" max="5389" width="9" style="1"/>
    <col min="5390" max="5390" width="0" style="1" hidden="1" customWidth="1"/>
    <col min="5391" max="5632" width="9" style="1"/>
    <col min="5633" max="5633" width="1.25" style="1" customWidth="1"/>
    <col min="5634" max="5634" width="22.125" style="1" customWidth="1"/>
    <col min="5635" max="5635" width="17.25" style="1" customWidth="1"/>
    <col min="5636" max="5636" width="14.5" style="1" customWidth="1"/>
    <col min="5637" max="5637" width="8.75" style="1" customWidth="1"/>
    <col min="5638" max="5638" width="11.75" style="1" customWidth="1"/>
    <col min="5639" max="5639" width="18.125" style="1" customWidth="1"/>
    <col min="5640" max="5640" width="10.5" style="1" customWidth="1"/>
    <col min="5641" max="5641" width="8.75" style="1" customWidth="1"/>
    <col min="5642" max="5642" width="10" style="1" customWidth="1"/>
    <col min="5643" max="5643" width="15.125" style="1" customWidth="1"/>
    <col min="5644" max="5645" width="9" style="1"/>
    <col min="5646" max="5646" width="0" style="1" hidden="1" customWidth="1"/>
    <col min="5647" max="5888" width="9" style="1"/>
    <col min="5889" max="5889" width="1.25" style="1" customWidth="1"/>
    <col min="5890" max="5890" width="22.125" style="1" customWidth="1"/>
    <col min="5891" max="5891" width="17.25" style="1" customWidth="1"/>
    <col min="5892" max="5892" width="14.5" style="1" customWidth="1"/>
    <col min="5893" max="5893" width="8.75" style="1" customWidth="1"/>
    <col min="5894" max="5894" width="11.75" style="1" customWidth="1"/>
    <col min="5895" max="5895" width="18.125" style="1" customWidth="1"/>
    <col min="5896" max="5896" width="10.5" style="1" customWidth="1"/>
    <col min="5897" max="5897" width="8.75" style="1" customWidth="1"/>
    <col min="5898" max="5898" width="10" style="1" customWidth="1"/>
    <col min="5899" max="5899" width="15.125" style="1" customWidth="1"/>
    <col min="5900" max="5901" width="9" style="1"/>
    <col min="5902" max="5902" width="0" style="1" hidden="1" customWidth="1"/>
    <col min="5903" max="6144" width="9" style="1"/>
    <col min="6145" max="6145" width="1.25" style="1" customWidth="1"/>
    <col min="6146" max="6146" width="22.125" style="1" customWidth="1"/>
    <col min="6147" max="6147" width="17.25" style="1" customWidth="1"/>
    <col min="6148" max="6148" width="14.5" style="1" customWidth="1"/>
    <col min="6149" max="6149" width="8.75" style="1" customWidth="1"/>
    <col min="6150" max="6150" width="11.75" style="1" customWidth="1"/>
    <col min="6151" max="6151" width="18.125" style="1" customWidth="1"/>
    <col min="6152" max="6152" width="10.5" style="1" customWidth="1"/>
    <col min="6153" max="6153" width="8.75" style="1" customWidth="1"/>
    <col min="6154" max="6154" width="10" style="1" customWidth="1"/>
    <col min="6155" max="6155" width="15.125" style="1" customWidth="1"/>
    <col min="6156" max="6157" width="9" style="1"/>
    <col min="6158" max="6158" width="0" style="1" hidden="1" customWidth="1"/>
    <col min="6159" max="6400" width="9" style="1"/>
    <col min="6401" max="6401" width="1.25" style="1" customWidth="1"/>
    <col min="6402" max="6402" width="22.125" style="1" customWidth="1"/>
    <col min="6403" max="6403" width="17.25" style="1" customWidth="1"/>
    <col min="6404" max="6404" width="14.5" style="1" customWidth="1"/>
    <col min="6405" max="6405" width="8.75" style="1" customWidth="1"/>
    <col min="6406" max="6406" width="11.75" style="1" customWidth="1"/>
    <col min="6407" max="6407" width="18.125" style="1" customWidth="1"/>
    <col min="6408" max="6408" width="10.5" style="1" customWidth="1"/>
    <col min="6409" max="6409" width="8.75" style="1" customWidth="1"/>
    <col min="6410" max="6410" width="10" style="1" customWidth="1"/>
    <col min="6411" max="6411" width="15.125" style="1" customWidth="1"/>
    <col min="6412" max="6413" width="9" style="1"/>
    <col min="6414" max="6414" width="0" style="1" hidden="1" customWidth="1"/>
    <col min="6415" max="6656" width="9" style="1"/>
    <col min="6657" max="6657" width="1.25" style="1" customWidth="1"/>
    <col min="6658" max="6658" width="22.125" style="1" customWidth="1"/>
    <col min="6659" max="6659" width="17.25" style="1" customWidth="1"/>
    <col min="6660" max="6660" width="14.5" style="1" customWidth="1"/>
    <col min="6661" max="6661" width="8.75" style="1" customWidth="1"/>
    <col min="6662" max="6662" width="11.75" style="1" customWidth="1"/>
    <col min="6663" max="6663" width="18.125" style="1" customWidth="1"/>
    <col min="6664" max="6664" width="10.5" style="1" customWidth="1"/>
    <col min="6665" max="6665" width="8.75" style="1" customWidth="1"/>
    <col min="6666" max="6666" width="10" style="1" customWidth="1"/>
    <col min="6667" max="6667" width="15.125" style="1" customWidth="1"/>
    <col min="6668" max="6669" width="9" style="1"/>
    <col min="6670" max="6670" width="0" style="1" hidden="1" customWidth="1"/>
    <col min="6671" max="6912" width="9" style="1"/>
    <col min="6913" max="6913" width="1.25" style="1" customWidth="1"/>
    <col min="6914" max="6914" width="22.125" style="1" customWidth="1"/>
    <col min="6915" max="6915" width="17.25" style="1" customWidth="1"/>
    <col min="6916" max="6916" width="14.5" style="1" customWidth="1"/>
    <col min="6917" max="6917" width="8.75" style="1" customWidth="1"/>
    <col min="6918" max="6918" width="11.75" style="1" customWidth="1"/>
    <col min="6919" max="6919" width="18.125" style="1" customWidth="1"/>
    <col min="6920" max="6920" width="10.5" style="1" customWidth="1"/>
    <col min="6921" max="6921" width="8.75" style="1" customWidth="1"/>
    <col min="6922" max="6922" width="10" style="1" customWidth="1"/>
    <col min="6923" max="6923" width="15.125" style="1" customWidth="1"/>
    <col min="6924" max="6925" width="9" style="1"/>
    <col min="6926" max="6926" width="0" style="1" hidden="1" customWidth="1"/>
    <col min="6927" max="7168" width="9" style="1"/>
    <col min="7169" max="7169" width="1.25" style="1" customWidth="1"/>
    <col min="7170" max="7170" width="22.125" style="1" customWidth="1"/>
    <col min="7171" max="7171" width="17.25" style="1" customWidth="1"/>
    <col min="7172" max="7172" width="14.5" style="1" customWidth="1"/>
    <col min="7173" max="7173" width="8.75" style="1" customWidth="1"/>
    <col min="7174" max="7174" width="11.75" style="1" customWidth="1"/>
    <col min="7175" max="7175" width="18.125" style="1" customWidth="1"/>
    <col min="7176" max="7176" width="10.5" style="1" customWidth="1"/>
    <col min="7177" max="7177" width="8.75" style="1" customWidth="1"/>
    <col min="7178" max="7178" width="10" style="1" customWidth="1"/>
    <col min="7179" max="7179" width="15.125" style="1" customWidth="1"/>
    <col min="7180" max="7181" width="9" style="1"/>
    <col min="7182" max="7182" width="0" style="1" hidden="1" customWidth="1"/>
    <col min="7183" max="7424" width="9" style="1"/>
    <col min="7425" max="7425" width="1.25" style="1" customWidth="1"/>
    <col min="7426" max="7426" width="22.125" style="1" customWidth="1"/>
    <col min="7427" max="7427" width="17.25" style="1" customWidth="1"/>
    <col min="7428" max="7428" width="14.5" style="1" customWidth="1"/>
    <col min="7429" max="7429" width="8.75" style="1" customWidth="1"/>
    <col min="7430" max="7430" width="11.75" style="1" customWidth="1"/>
    <col min="7431" max="7431" width="18.125" style="1" customWidth="1"/>
    <col min="7432" max="7432" width="10.5" style="1" customWidth="1"/>
    <col min="7433" max="7433" width="8.75" style="1" customWidth="1"/>
    <col min="7434" max="7434" width="10" style="1" customWidth="1"/>
    <col min="7435" max="7435" width="15.125" style="1" customWidth="1"/>
    <col min="7436" max="7437" width="9" style="1"/>
    <col min="7438" max="7438" width="0" style="1" hidden="1" customWidth="1"/>
    <col min="7439" max="7680" width="9" style="1"/>
    <col min="7681" max="7681" width="1.25" style="1" customWidth="1"/>
    <col min="7682" max="7682" width="22.125" style="1" customWidth="1"/>
    <col min="7683" max="7683" width="17.25" style="1" customWidth="1"/>
    <col min="7684" max="7684" width="14.5" style="1" customWidth="1"/>
    <col min="7685" max="7685" width="8.75" style="1" customWidth="1"/>
    <col min="7686" max="7686" width="11.75" style="1" customWidth="1"/>
    <col min="7687" max="7687" width="18.125" style="1" customWidth="1"/>
    <col min="7688" max="7688" width="10.5" style="1" customWidth="1"/>
    <col min="7689" max="7689" width="8.75" style="1" customWidth="1"/>
    <col min="7690" max="7690" width="10" style="1" customWidth="1"/>
    <col min="7691" max="7691" width="15.125" style="1" customWidth="1"/>
    <col min="7692" max="7693" width="9" style="1"/>
    <col min="7694" max="7694" width="0" style="1" hidden="1" customWidth="1"/>
    <col min="7695" max="7936" width="9" style="1"/>
    <col min="7937" max="7937" width="1.25" style="1" customWidth="1"/>
    <col min="7938" max="7938" width="22.125" style="1" customWidth="1"/>
    <col min="7939" max="7939" width="17.25" style="1" customWidth="1"/>
    <col min="7940" max="7940" width="14.5" style="1" customWidth="1"/>
    <col min="7941" max="7941" width="8.75" style="1" customWidth="1"/>
    <col min="7942" max="7942" width="11.75" style="1" customWidth="1"/>
    <col min="7943" max="7943" width="18.125" style="1" customWidth="1"/>
    <col min="7944" max="7944" width="10.5" style="1" customWidth="1"/>
    <col min="7945" max="7945" width="8.75" style="1" customWidth="1"/>
    <col min="7946" max="7946" width="10" style="1" customWidth="1"/>
    <col min="7947" max="7947" width="15.125" style="1" customWidth="1"/>
    <col min="7948" max="7949" width="9" style="1"/>
    <col min="7950" max="7950" width="0" style="1" hidden="1" customWidth="1"/>
    <col min="7951" max="8192" width="9" style="1"/>
    <col min="8193" max="8193" width="1.25" style="1" customWidth="1"/>
    <col min="8194" max="8194" width="22.125" style="1" customWidth="1"/>
    <col min="8195" max="8195" width="17.25" style="1" customWidth="1"/>
    <col min="8196" max="8196" width="14.5" style="1" customWidth="1"/>
    <col min="8197" max="8197" width="8.75" style="1" customWidth="1"/>
    <col min="8198" max="8198" width="11.75" style="1" customWidth="1"/>
    <col min="8199" max="8199" width="18.125" style="1" customWidth="1"/>
    <col min="8200" max="8200" width="10.5" style="1" customWidth="1"/>
    <col min="8201" max="8201" width="8.75" style="1" customWidth="1"/>
    <col min="8202" max="8202" width="10" style="1" customWidth="1"/>
    <col min="8203" max="8203" width="15.125" style="1" customWidth="1"/>
    <col min="8204" max="8205" width="9" style="1"/>
    <col min="8206" max="8206" width="0" style="1" hidden="1" customWidth="1"/>
    <col min="8207" max="8448" width="9" style="1"/>
    <col min="8449" max="8449" width="1.25" style="1" customWidth="1"/>
    <col min="8450" max="8450" width="22.125" style="1" customWidth="1"/>
    <col min="8451" max="8451" width="17.25" style="1" customWidth="1"/>
    <col min="8452" max="8452" width="14.5" style="1" customWidth="1"/>
    <col min="8453" max="8453" width="8.75" style="1" customWidth="1"/>
    <col min="8454" max="8454" width="11.75" style="1" customWidth="1"/>
    <col min="8455" max="8455" width="18.125" style="1" customWidth="1"/>
    <col min="8456" max="8456" width="10.5" style="1" customWidth="1"/>
    <col min="8457" max="8457" width="8.75" style="1" customWidth="1"/>
    <col min="8458" max="8458" width="10" style="1" customWidth="1"/>
    <col min="8459" max="8459" width="15.125" style="1" customWidth="1"/>
    <col min="8460" max="8461" width="9" style="1"/>
    <col min="8462" max="8462" width="0" style="1" hidden="1" customWidth="1"/>
    <col min="8463" max="8704" width="9" style="1"/>
    <col min="8705" max="8705" width="1.25" style="1" customWidth="1"/>
    <col min="8706" max="8706" width="22.125" style="1" customWidth="1"/>
    <col min="8707" max="8707" width="17.25" style="1" customWidth="1"/>
    <col min="8708" max="8708" width="14.5" style="1" customWidth="1"/>
    <col min="8709" max="8709" width="8.75" style="1" customWidth="1"/>
    <col min="8710" max="8710" width="11.75" style="1" customWidth="1"/>
    <col min="8711" max="8711" width="18.125" style="1" customWidth="1"/>
    <col min="8712" max="8712" width="10.5" style="1" customWidth="1"/>
    <col min="8713" max="8713" width="8.75" style="1" customWidth="1"/>
    <col min="8714" max="8714" width="10" style="1" customWidth="1"/>
    <col min="8715" max="8715" width="15.125" style="1" customWidth="1"/>
    <col min="8716" max="8717" width="9" style="1"/>
    <col min="8718" max="8718" width="0" style="1" hidden="1" customWidth="1"/>
    <col min="8719" max="8960" width="9" style="1"/>
    <col min="8961" max="8961" width="1.25" style="1" customWidth="1"/>
    <col min="8962" max="8962" width="22.125" style="1" customWidth="1"/>
    <col min="8963" max="8963" width="17.25" style="1" customWidth="1"/>
    <col min="8964" max="8964" width="14.5" style="1" customWidth="1"/>
    <col min="8965" max="8965" width="8.75" style="1" customWidth="1"/>
    <col min="8966" max="8966" width="11.75" style="1" customWidth="1"/>
    <col min="8967" max="8967" width="18.125" style="1" customWidth="1"/>
    <col min="8968" max="8968" width="10.5" style="1" customWidth="1"/>
    <col min="8969" max="8969" width="8.75" style="1" customWidth="1"/>
    <col min="8970" max="8970" width="10" style="1" customWidth="1"/>
    <col min="8971" max="8971" width="15.125" style="1" customWidth="1"/>
    <col min="8972" max="8973" width="9" style="1"/>
    <col min="8974" max="8974" width="0" style="1" hidden="1" customWidth="1"/>
    <col min="8975" max="9216" width="9" style="1"/>
    <col min="9217" max="9217" width="1.25" style="1" customWidth="1"/>
    <col min="9218" max="9218" width="22.125" style="1" customWidth="1"/>
    <col min="9219" max="9219" width="17.25" style="1" customWidth="1"/>
    <col min="9220" max="9220" width="14.5" style="1" customWidth="1"/>
    <col min="9221" max="9221" width="8.75" style="1" customWidth="1"/>
    <col min="9222" max="9222" width="11.75" style="1" customWidth="1"/>
    <col min="9223" max="9223" width="18.125" style="1" customWidth="1"/>
    <col min="9224" max="9224" width="10.5" style="1" customWidth="1"/>
    <col min="9225" max="9225" width="8.75" style="1" customWidth="1"/>
    <col min="9226" max="9226" width="10" style="1" customWidth="1"/>
    <col min="9227" max="9227" width="15.125" style="1" customWidth="1"/>
    <col min="9228" max="9229" width="9" style="1"/>
    <col min="9230" max="9230" width="0" style="1" hidden="1" customWidth="1"/>
    <col min="9231" max="9472" width="9" style="1"/>
    <col min="9473" max="9473" width="1.25" style="1" customWidth="1"/>
    <col min="9474" max="9474" width="22.125" style="1" customWidth="1"/>
    <col min="9475" max="9475" width="17.25" style="1" customWidth="1"/>
    <col min="9476" max="9476" width="14.5" style="1" customWidth="1"/>
    <col min="9477" max="9477" width="8.75" style="1" customWidth="1"/>
    <col min="9478" max="9478" width="11.75" style="1" customWidth="1"/>
    <col min="9479" max="9479" width="18.125" style="1" customWidth="1"/>
    <col min="9480" max="9480" width="10.5" style="1" customWidth="1"/>
    <col min="9481" max="9481" width="8.75" style="1" customWidth="1"/>
    <col min="9482" max="9482" width="10" style="1" customWidth="1"/>
    <col min="9483" max="9483" width="15.125" style="1" customWidth="1"/>
    <col min="9484" max="9485" width="9" style="1"/>
    <col min="9486" max="9486" width="0" style="1" hidden="1" customWidth="1"/>
    <col min="9487" max="9728" width="9" style="1"/>
    <col min="9729" max="9729" width="1.25" style="1" customWidth="1"/>
    <col min="9730" max="9730" width="22.125" style="1" customWidth="1"/>
    <col min="9731" max="9731" width="17.25" style="1" customWidth="1"/>
    <col min="9732" max="9732" width="14.5" style="1" customWidth="1"/>
    <col min="9733" max="9733" width="8.75" style="1" customWidth="1"/>
    <col min="9734" max="9734" width="11.75" style="1" customWidth="1"/>
    <col min="9735" max="9735" width="18.125" style="1" customWidth="1"/>
    <col min="9736" max="9736" width="10.5" style="1" customWidth="1"/>
    <col min="9737" max="9737" width="8.75" style="1" customWidth="1"/>
    <col min="9738" max="9738" width="10" style="1" customWidth="1"/>
    <col min="9739" max="9739" width="15.125" style="1" customWidth="1"/>
    <col min="9740" max="9741" width="9" style="1"/>
    <col min="9742" max="9742" width="0" style="1" hidden="1" customWidth="1"/>
    <col min="9743" max="9984" width="9" style="1"/>
    <col min="9985" max="9985" width="1.25" style="1" customWidth="1"/>
    <col min="9986" max="9986" width="22.125" style="1" customWidth="1"/>
    <col min="9987" max="9987" width="17.25" style="1" customWidth="1"/>
    <col min="9988" max="9988" width="14.5" style="1" customWidth="1"/>
    <col min="9989" max="9989" width="8.75" style="1" customWidth="1"/>
    <col min="9990" max="9990" width="11.75" style="1" customWidth="1"/>
    <col min="9991" max="9991" width="18.125" style="1" customWidth="1"/>
    <col min="9992" max="9992" width="10.5" style="1" customWidth="1"/>
    <col min="9993" max="9993" width="8.75" style="1" customWidth="1"/>
    <col min="9994" max="9994" width="10" style="1" customWidth="1"/>
    <col min="9995" max="9995" width="15.125" style="1" customWidth="1"/>
    <col min="9996" max="9997" width="9" style="1"/>
    <col min="9998" max="9998" width="0" style="1" hidden="1" customWidth="1"/>
    <col min="9999" max="10240" width="9" style="1"/>
    <col min="10241" max="10241" width="1.25" style="1" customWidth="1"/>
    <col min="10242" max="10242" width="22.125" style="1" customWidth="1"/>
    <col min="10243" max="10243" width="17.25" style="1" customWidth="1"/>
    <col min="10244" max="10244" width="14.5" style="1" customWidth="1"/>
    <col min="10245" max="10245" width="8.75" style="1" customWidth="1"/>
    <col min="10246" max="10246" width="11.75" style="1" customWidth="1"/>
    <col min="10247" max="10247" width="18.125" style="1" customWidth="1"/>
    <col min="10248" max="10248" width="10.5" style="1" customWidth="1"/>
    <col min="10249" max="10249" width="8.75" style="1" customWidth="1"/>
    <col min="10250" max="10250" width="10" style="1" customWidth="1"/>
    <col min="10251" max="10251" width="15.125" style="1" customWidth="1"/>
    <col min="10252" max="10253" width="9" style="1"/>
    <col min="10254" max="10254" width="0" style="1" hidden="1" customWidth="1"/>
    <col min="10255" max="10496" width="9" style="1"/>
    <col min="10497" max="10497" width="1.25" style="1" customWidth="1"/>
    <col min="10498" max="10498" width="22.125" style="1" customWidth="1"/>
    <col min="10499" max="10499" width="17.25" style="1" customWidth="1"/>
    <col min="10500" max="10500" width="14.5" style="1" customWidth="1"/>
    <col min="10501" max="10501" width="8.75" style="1" customWidth="1"/>
    <col min="10502" max="10502" width="11.75" style="1" customWidth="1"/>
    <col min="10503" max="10503" width="18.125" style="1" customWidth="1"/>
    <col min="10504" max="10504" width="10.5" style="1" customWidth="1"/>
    <col min="10505" max="10505" width="8.75" style="1" customWidth="1"/>
    <col min="10506" max="10506" width="10" style="1" customWidth="1"/>
    <col min="10507" max="10507" width="15.125" style="1" customWidth="1"/>
    <col min="10508" max="10509" width="9" style="1"/>
    <col min="10510" max="10510" width="0" style="1" hidden="1" customWidth="1"/>
    <col min="10511" max="10752" width="9" style="1"/>
    <col min="10753" max="10753" width="1.25" style="1" customWidth="1"/>
    <col min="10754" max="10754" width="22.125" style="1" customWidth="1"/>
    <col min="10755" max="10755" width="17.25" style="1" customWidth="1"/>
    <col min="10756" max="10756" width="14.5" style="1" customWidth="1"/>
    <col min="10757" max="10757" width="8.75" style="1" customWidth="1"/>
    <col min="10758" max="10758" width="11.75" style="1" customWidth="1"/>
    <col min="10759" max="10759" width="18.125" style="1" customWidth="1"/>
    <col min="10760" max="10760" width="10.5" style="1" customWidth="1"/>
    <col min="10761" max="10761" width="8.75" style="1" customWidth="1"/>
    <col min="10762" max="10762" width="10" style="1" customWidth="1"/>
    <col min="10763" max="10763" width="15.125" style="1" customWidth="1"/>
    <col min="10764" max="10765" width="9" style="1"/>
    <col min="10766" max="10766" width="0" style="1" hidden="1" customWidth="1"/>
    <col min="10767" max="11008" width="9" style="1"/>
    <col min="11009" max="11009" width="1.25" style="1" customWidth="1"/>
    <col min="11010" max="11010" width="22.125" style="1" customWidth="1"/>
    <col min="11011" max="11011" width="17.25" style="1" customWidth="1"/>
    <col min="11012" max="11012" width="14.5" style="1" customWidth="1"/>
    <col min="11013" max="11013" width="8.75" style="1" customWidth="1"/>
    <col min="11014" max="11014" width="11.75" style="1" customWidth="1"/>
    <col min="11015" max="11015" width="18.125" style="1" customWidth="1"/>
    <col min="11016" max="11016" width="10.5" style="1" customWidth="1"/>
    <col min="11017" max="11017" width="8.75" style="1" customWidth="1"/>
    <col min="11018" max="11018" width="10" style="1" customWidth="1"/>
    <col min="11019" max="11019" width="15.125" style="1" customWidth="1"/>
    <col min="11020" max="11021" width="9" style="1"/>
    <col min="11022" max="11022" width="0" style="1" hidden="1" customWidth="1"/>
    <col min="11023" max="11264" width="9" style="1"/>
    <col min="11265" max="11265" width="1.25" style="1" customWidth="1"/>
    <col min="11266" max="11266" width="22.125" style="1" customWidth="1"/>
    <col min="11267" max="11267" width="17.25" style="1" customWidth="1"/>
    <col min="11268" max="11268" width="14.5" style="1" customWidth="1"/>
    <col min="11269" max="11269" width="8.75" style="1" customWidth="1"/>
    <col min="11270" max="11270" width="11.75" style="1" customWidth="1"/>
    <col min="11271" max="11271" width="18.125" style="1" customWidth="1"/>
    <col min="11272" max="11272" width="10.5" style="1" customWidth="1"/>
    <col min="11273" max="11273" width="8.75" style="1" customWidth="1"/>
    <col min="11274" max="11274" width="10" style="1" customWidth="1"/>
    <col min="11275" max="11275" width="15.125" style="1" customWidth="1"/>
    <col min="11276" max="11277" width="9" style="1"/>
    <col min="11278" max="11278" width="0" style="1" hidden="1" customWidth="1"/>
    <col min="11279" max="11520" width="9" style="1"/>
    <col min="11521" max="11521" width="1.25" style="1" customWidth="1"/>
    <col min="11522" max="11522" width="22.125" style="1" customWidth="1"/>
    <col min="11523" max="11523" width="17.25" style="1" customWidth="1"/>
    <col min="11524" max="11524" width="14.5" style="1" customWidth="1"/>
    <col min="11525" max="11525" width="8.75" style="1" customWidth="1"/>
    <col min="11526" max="11526" width="11.75" style="1" customWidth="1"/>
    <col min="11527" max="11527" width="18.125" style="1" customWidth="1"/>
    <col min="11528" max="11528" width="10.5" style="1" customWidth="1"/>
    <col min="11529" max="11529" width="8.75" style="1" customWidth="1"/>
    <col min="11530" max="11530" width="10" style="1" customWidth="1"/>
    <col min="11531" max="11531" width="15.125" style="1" customWidth="1"/>
    <col min="11532" max="11533" width="9" style="1"/>
    <col min="11534" max="11534" width="0" style="1" hidden="1" customWidth="1"/>
    <col min="11535" max="11776" width="9" style="1"/>
    <col min="11777" max="11777" width="1.25" style="1" customWidth="1"/>
    <col min="11778" max="11778" width="22.125" style="1" customWidth="1"/>
    <col min="11779" max="11779" width="17.25" style="1" customWidth="1"/>
    <col min="11780" max="11780" width="14.5" style="1" customWidth="1"/>
    <col min="11781" max="11781" width="8.75" style="1" customWidth="1"/>
    <col min="11782" max="11782" width="11.75" style="1" customWidth="1"/>
    <col min="11783" max="11783" width="18.125" style="1" customWidth="1"/>
    <col min="11784" max="11784" width="10.5" style="1" customWidth="1"/>
    <col min="11785" max="11785" width="8.75" style="1" customWidth="1"/>
    <col min="11786" max="11786" width="10" style="1" customWidth="1"/>
    <col min="11787" max="11787" width="15.125" style="1" customWidth="1"/>
    <col min="11788" max="11789" width="9" style="1"/>
    <col min="11790" max="11790" width="0" style="1" hidden="1" customWidth="1"/>
    <col min="11791" max="12032" width="9" style="1"/>
    <col min="12033" max="12033" width="1.25" style="1" customWidth="1"/>
    <col min="12034" max="12034" width="22.125" style="1" customWidth="1"/>
    <col min="12035" max="12035" width="17.25" style="1" customWidth="1"/>
    <col min="12036" max="12036" width="14.5" style="1" customWidth="1"/>
    <col min="12037" max="12037" width="8.75" style="1" customWidth="1"/>
    <col min="12038" max="12038" width="11.75" style="1" customWidth="1"/>
    <col min="12039" max="12039" width="18.125" style="1" customWidth="1"/>
    <col min="12040" max="12040" width="10.5" style="1" customWidth="1"/>
    <col min="12041" max="12041" width="8.75" style="1" customWidth="1"/>
    <col min="12042" max="12042" width="10" style="1" customWidth="1"/>
    <col min="12043" max="12043" width="15.125" style="1" customWidth="1"/>
    <col min="12044" max="12045" width="9" style="1"/>
    <col min="12046" max="12046" width="0" style="1" hidden="1" customWidth="1"/>
    <col min="12047" max="12288" width="9" style="1"/>
    <col min="12289" max="12289" width="1.25" style="1" customWidth="1"/>
    <col min="12290" max="12290" width="22.125" style="1" customWidth="1"/>
    <col min="12291" max="12291" width="17.25" style="1" customWidth="1"/>
    <col min="12292" max="12292" width="14.5" style="1" customWidth="1"/>
    <col min="12293" max="12293" width="8.75" style="1" customWidth="1"/>
    <col min="12294" max="12294" width="11.75" style="1" customWidth="1"/>
    <col min="12295" max="12295" width="18.125" style="1" customWidth="1"/>
    <col min="12296" max="12296" width="10.5" style="1" customWidth="1"/>
    <col min="12297" max="12297" width="8.75" style="1" customWidth="1"/>
    <col min="12298" max="12298" width="10" style="1" customWidth="1"/>
    <col min="12299" max="12299" width="15.125" style="1" customWidth="1"/>
    <col min="12300" max="12301" width="9" style="1"/>
    <col min="12302" max="12302" width="0" style="1" hidden="1" customWidth="1"/>
    <col min="12303" max="12544" width="9" style="1"/>
    <col min="12545" max="12545" width="1.25" style="1" customWidth="1"/>
    <col min="12546" max="12546" width="22.125" style="1" customWidth="1"/>
    <col min="12547" max="12547" width="17.25" style="1" customWidth="1"/>
    <col min="12548" max="12548" width="14.5" style="1" customWidth="1"/>
    <col min="12549" max="12549" width="8.75" style="1" customWidth="1"/>
    <col min="12550" max="12550" width="11.75" style="1" customWidth="1"/>
    <col min="12551" max="12551" width="18.125" style="1" customWidth="1"/>
    <col min="12552" max="12552" width="10.5" style="1" customWidth="1"/>
    <col min="12553" max="12553" width="8.75" style="1" customWidth="1"/>
    <col min="12554" max="12554" width="10" style="1" customWidth="1"/>
    <col min="12555" max="12555" width="15.125" style="1" customWidth="1"/>
    <col min="12556" max="12557" width="9" style="1"/>
    <col min="12558" max="12558" width="0" style="1" hidden="1" customWidth="1"/>
    <col min="12559" max="12800" width="9" style="1"/>
    <col min="12801" max="12801" width="1.25" style="1" customWidth="1"/>
    <col min="12802" max="12802" width="22.125" style="1" customWidth="1"/>
    <col min="12803" max="12803" width="17.25" style="1" customWidth="1"/>
    <col min="12804" max="12804" width="14.5" style="1" customWidth="1"/>
    <col min="12805" max="12805" width="8.75" style="1" customWidth="1"/>
    <col min="12806" max="12806" width="11.75" style="1" customWidth="1"/>
    <col min="12807" max="12807" width="18.125" style="1" customWidth="1"/>
    <col min="12808" max="12808" width="10.5" style="1" customWidth="1"/>
    <col min="12809" max="12809" width="8.75" style="1" customWidth="1"/>
    <col min="12810" max="12810" width="10" style="1" customWidth="1"/>
    <col min="12811" max="12811" width="15.125" style="1" customWidth="1"/>
    <col min="12812" max="12813" width="9" style="1"/>
    <col min="12814" max="12814" width="0" style="1" hidden="1" customWidth="1"/>
    <col min="12815" max="13056" width="9" style="1"/>
    <col min="13057" max="13057" width="1.25" style="1" customWidth="1"/>
    <col min="13058" max="13058" width="22.125" style="1" customWidth="1"/>
    <col min="13059" max="13059" width="17.25" style="1" customWidth="1"/>
    <col min="13060" max="13060" width="14.5" style="1" customWidth="1"/>
    <col min="13061" max="13061" width="8.75" style="1" customWidth="1"/>
    <col min="13062" max="13062" width="11.75" style="1" customWidth="1"/>
    <col min="13063" max="13063" width="18.125" style="1" customWidth="1"/>
    <col min="13064" max="13064" width="10.5" style="1" customWidth="1"/>
    <col min="13065" max="13065" width="8.75" style="1" customWidth="1"/>
    <col min="13066" max="13066" width="10" style="1" customWidth="1"/>
    <col min="13067" max="13067" width="15.125" style="1" customWidth="1"/>
    <col min="13068" max="13069" width="9" style="1"/>
    <col min="13070" max="13070" width="0" style="1" hidden="1" customWidth="1"/>
    <col min="13071" max="13312" width="9" style="1"/>
    <col min="13313" max="13313" width="1.25" style="1" customWidth="1"/>
    <col min="13314" max="13314" width="22.125" style="1" customWidth="1"/>
    <col min="13315" max="13315" width="17.25" style="1" customWidth="1"/>
    <col min="13316" max="13316" width="14.5" style="1" customWidth="1"/>
    <col min="13317" max="13317" width="8.75" style="1" customWidth="1"/>
    <col min="13318" max="13318" width="11.75" style="1" customWidth="1"/>
    <col min="13319" max="13319" width="18.125" style="1" customWidth="1"/>
    <col min="13320" max="13320" width="10.5" style="1" customWidth="1"/>
    <col min="13321" max="13321" width="8.75" style="1" customWidth="1"/>
    <col min="13322" max="13322" width="10" style="1" customWidth="1"/>
    <col min="13323" max="13323" width="15.125" style="1" customWidth="1"/>
    <col min="13324" max="13325" width="9" style="1"/>
    <col min="13326" max="13326" width="0" style="1" hidden="1" customWidth="1"/>
    <col min="13327" max="13568" width="9" style="1"/>
    <col min="13569" max="13569" width="1.25" style="1" customWidth="1"/>
    <col min="13570" max="13570" width="22.125" style="1" customWidth="1"/>
    <col min="13571" max="13571" width="17.25" style="1" customWidth="1"/>
    <col min="13572" max="13572" width="14.5" style="1" customWidth="1"/>
    <col min="13573" max="13573" width="8.75" style="1" customWidth="1"/>
    <col min="13574" max="13574" width="11.75" style="1" customWidth="1"/>
    <col min="13575" max="13575" width="18.125" style="1" customWidth="1"/>
    <col min="13576" max="13576" width="10.5" style="1" customWidth="1"/>
    <col min="13577" max="13577" width="8.75" style="1" customWidth="1"/>
    <col min="13578" max="13578" width="10" style="1" customWidth="1"/>
    <col min="13579" max="13579" width="15.125" style="1" customWidth="1"/>
    <col min="13580" max="13581" width="9" style="1"/>
    <col min="13582" max="13582" width="0" style="1" hidden="1" customWidth="1"/>
    <col min="13583" max="13824" width="9" style="1"/>
    <col min="13825" max="13825" width="1.25" style="1" customWidth="1"/>
    <col min="13826" max="13826" width="22.125" style="1" customWidth="1"/>
    <col min="13827" max="13827" width="17.25" style="1" customWidth="1"/>
    <col min="13828" max="13828" width="14.5" style="1" customWidth="1"/>
    <col min="13829" max="13829" width="8.75" style="1" customWidth="1"/>
    <col min="13830" max="13830" width="11.75" style="1" customWidth="1"/>
    <col min="13831" max="13831" width="18.125" style="1" customWidth="1"/>
    <col min="13832" max="13832" width="10.5" style="1" customWidth="1"/>
    <col min="13833" max="13833" width="8.75" style="1" customWidth="1"/>
    <col min="13834" max="13834" width="10" style="1" customWidth="1"/>
    <col min="13835" max="13835" width="15.125" style="1" customWidth="1"/>
    <col min="13836" max="13837" width="9" style="1"/>
    <col min="13838" max="13838" width="0" style="1" hidden="1" customWidth="1"/>
    <col min="13839" max="14080" width="9" style="1"/>
    <col min="14081" max="14081" width="1.25" style="1" customWidth="1"/>
    <col min="14082" max="14082" width="22.125" style="1" customWidth="1"/>
    <col min="14083" max="14083" width="17.25" style="1" customWidth="1"/>
    <col min="14084" max="14084" width="14.5" style="1" customWidth="1"/>
    <col min="14085" max="14085" width="8.75" style="1" customWidth="1"/>
    <col min="14086" max="14086" width="11.75" style="1" customWidth="1"/>
    <col min="14087" max="14087" width="18.125" style="1" customWidth="1"/>
    <col min="14088" max="14088" width="10.5" style="1" customWidth="1"/>
    <col min="14089" max="14089" width="8.75" style="1" customWidth="1"/>
    <col min="14090" max="14090" width="10" style="1" customWidth="1"/>
    <col min="14091" max="14091" width="15.125" style="1" customWidth="1"/>
    <col min="14092" max="14093" width="9" style="1"/>
    <col min="14094" max="14094" width="0" style="1" hidden="1" customWidth="1"/>
    <col min="14095" max="14336" width="9" style="1"/>
    <col min="14337" max="14337" width="1.25" style="1" customWidth="1"/>
    <col min="14338" max="14338" width="22.125" style="1" customWidth="1"/>
    <col min="14339" max="14339" width="17.25" style="1" customWidth="1"/>
    <col min="14340" max="14340" width="14.5" style="1" customWidth="1"/>
    <col min="14341" max="14341" width="8.75" style="1" customWidth="1"/>
    <col min="14342" max="14342" width="11.75" style="1" customWidth="1"/>
    <col min="14343" max="14343" width="18.125" style="1" customWidth="1"/>
    <col min="14344" max="14344" width="10.5" style="1" customWidth="1"/>
    <col min="14345" max="14345" width="8.75" style="1" customWidth="1"/>
    <col min="14346" max="14346" width="10" style="1" customWidth="1"/>
    <col min="14347" max="14347" width="15.125" style="1" customWidth="1"/>
    <col min="14348" max="14349" width="9" style="1"/>
    <col min="14350" max="14350" width="0" style="1" hidden="1" customWidth="1"/>
    <col min="14351" max="14592" width="9" style="1"/>
    <col min="14593" max="14593" width="1.25" style="1" customWidth="1"/>
    <col min="14594" max="14594" width="22.125" style="1" customWidth="1"/>
    <col min="14595" max="14595" width="17.25" style="1" customWidth="1"/>
    <col min="14596" max="14596" width="14.5" style="1" customWidth="1"/>
    <col min="14597" max="14597" width="8.75" style="1" customWidth="1"/>
    <col min="14598" max="14598" width="11.75" style="1" customWidth="1"/>
    <col min="14599" max="14599" width="18.125" style="1" customWidth="1"/>
    <col min="14600" max="14600" width="10.5" style="1" customWidth="1"/>
    <col min="14601" max="14601" width="8.75" style="1" customWidth="1"/>
    <col min="14602" max="14602" width="10" style="1" customWidth="1"/>
    <col min="14603" max="14603" width="15.125" style="1" customWidth="1"/>
    <col min="14604" max="14605" width="9" style="1"/>
    <col min="14606" max="14606" width="0" style="1" hidden="1" customWidth="1"/>
    <col min="14607" max="14848" width="9" style="1"/>
    <col min="14849" max="14849" width="1.25" style="1" customWidth="1"/>
    <col min="14850" max="14850" width="22.125" style="1" customWidth="1"/>
    <col min="14851" max="14851" width="17.25" style="1" customWidth="1"/>
    <col min="14852" max="14852" width="14.5" style="1" customWidth="1"/>
    <col min="14853" max="14853" width="8.75" style="1" customWidth="1"/>
    <col min="14854" max="14854" width="11.75" style="1" customWidth="1"/>
    <col min="14855" max="14855" width="18.125" style="1" customWidth="1"/>
    <col min="14856" max="14856" width="10.5" style="1" customWidth="1"/>
    <col min="14857" max="14857" width="8.75" style="1" customWidth="1"/>
    <col min="14858" max="14858" width="10" style="1" customWidth="1"/>
    <col min="14859" max="14859" width="15.125" style="1" customWidth="1"/>
    <col min="14860" max="14861" width="9" style="1"/>
    <col min="14862" max="14862" width="0" style="1" hidden="1" customWidth="1"/>
    <col min="14863" max="15104" width="9" style="1"/>
    <col min="15105" max="15105" width="1.25" style="1" customWidth="1"/>
    <col min="15106" max="15106" width="22.125" style="1" customWidth="1"/>
    <col min="15107" max="15107" width="17.25" style="1" customWidth="1"/>
    <col min="15108" max="15108" width="14.5" style="1" customWidth="1"/>
    <col min="15109" max="15109" width="8.75" style="1" customWidth="1"/>
    <col min="15110" max="15110" width="11.75" style="1" customWidth="1"/>
    <col min="15111" max="15111" width="18.125" style="1" customWidth="1"/>
    <col min="15112" max="15112" width="10.5" style="1" customWidth="1"/>
    <col min="15113" max="15113" width="8.75" style="1" customWidth="1"/>
    <col min="15114" max="15114" width="10" style="1" customWidth="1"/>
    <col min="15115" max="15115" width="15.125" style="1" customWidth="1"/>
    <col min="15116" max="15117" width="9" style="1"/>
    <col min="15118" max="15118" width="0" style="1" hidden="1" customWidth="1"/>
    <col min="15119" max="15360" width="9" style="1"/>
    <col min="15361" max="15361" width="1.25" style="1" customWidth="1"/>
    <col min="15362" max="15362" width="22.125" style="1" customWidth="1"/>
    <col min="15363" max="15363" width="17.25" style="1" customWidth="1"/>
    <col min="15364" max="15364" width="14.5" style="1" customWidth="1"/>
    <col min="15365" max="15365" width="8.75" style="1" customWidth="1"/>
    <col min="15366" max="15366" width="11.75" style="1" customWidth="1"/>
    <col min="15367" max="15367" width="18.125" style="1" customWidth="1"/>
    <col min="15368" max="15368" width="10.5" style="1" customWidth="1"/>
    <col min="15369" max="15369" width="8.75" style="1" customWidth="1"/>
    <col min="15370" max="15370" width="10" style="1" customWidth="1"/>
    <col min="15371" max="15371" width="15.125" style="1" customWidth="1"/>
    <col min="15372" max="15373" width="9" style="1"/>
    <col min="15374" max="15374" width="0" style="1" hidden="1" customWidth="1"/>
    <col min="15375" max="15616" width="9" style="1"/>
    <col min="15617" max="15617" width="1.25" style="1" customWidth="1"/>
    <col min="15618" max="15618" width="22.125" style="1" customWidth="1"/>
    <col min="15619" max="15619" width="17.25" style="1" customWidth="1"/>
    <col min="15620" max="15620" width="14.5" style="1" customWidth="1"/>
    <col min="15621" max="15621" width="8.75" style="1" customWidth="1"/>
    <col min="15622" max="15622" width="11.75" style="1" customWidth="1"/>
    <col min="15623" max="15623" width="18.125" style="1" customWidth="1"/>
    <col min="15624" max="15624" width="10.5" style="1" customWidth="1"/>
    <col min="15625" max="15625" width="8.75" style="1" customWidth="1"/>
    <col min="15626" max="15626" width="10" style="1" customWidth="1"/>
    <col min="15627" max="15627" width="15.125" style="1" customWidth="1"/>
    <col min="15628" max="15629" width="9" style="1"/>
    <col min="15630" max="15630" width="0" style="1" hidden="1" customWidth="1"/>
    <col min="15631" max="15872" width="9" style="1"/>
    <col min="15873" max="15873" width="1.25" style="1" customWidth="1"/>
    <col min="15874" max="15874" width="22.125" style="1" customWidth="1"/>
    <col min="15875" max="15875" width="17.25" style="1" customWidth="1"/>
    <col min="15876" max="15876" width="14.5" style="1" customWidth="1"/>
    <col min="15877" max="15877" width="8.75" style="1" customWidth="1"/>
    <col min="15878" max="15878" width="11.75" style="1" customWidth="1"/>
    <col min="15879" max="15879" width="18.125" style="1" customWidth="1"/>
    <col min="15880" max="15880" width="10.5" style="1" customWidth="1"/>
    <col min="15881" max="15881" width="8.75" style="1" customWidth="1"/>
    <col min="15882" max="15882" width="10" style="1" customWidth="1"/>
    <col min="15883" max="15883" width="15.125" style="1" customWidth="1"/>
    <col min="15884" max="15885" width="9" style="1"/>
    <col min="15886" max="15886" width="0" style="1" hidden="1" customWidth="1"/>
    <col min="15887" max="16128" width="9" style="1"/>
    <col min="16129" max="16129" width="1.25" style="1" customWidth="1"/>
    <col min="16130" max="16130" width="22.125" style="1" customWidth="1"/>
    <col min="16131" max="16131" width="17.25" style="1" customWidth="1"/>
    <col min="16132" max="16132" width="14.5" style="1" customWidth="1"/>
    <col min="16133" max="16133" width="8.75" style="1" customWidth="1"/>
    <col min="16134" max="16134" width="11.75" style="1" customWidth="1"/>
    <col min="16135" max="16135" width="18.125" style="1" customWidth="1"/>
    <col min="16136" max="16136" width="10.5" style="1" customWidth="1"/>
    <col min="16137" max="16137" width="8.75" style="1" customWidth="1"/>
    <col min="16138" max="16138" width="10" style="1" customWidth="1"/>
    <col min="16139" max="16139" width="15.125" style="1" customWidth="1"/>
    <col min="16140" max="16141" width="9" style="1"/>
    <col min="16142" max="16142" width="0" style="1" hidden="1" customWidth="1"/>
    <col min="16143" max="16384" width="9" style="1"/>
  </cols>
  <sheetData>
    <row r="1" spans="2:14" ht="12.75" customHeight="1" x14ac:dyDescent="0.15"/>
    <row r="2" spans="2:14" ht="13.7" customHeight="1" thickBot="1" x14ac:dyDescent="0.2">
      <c r="J2" s="550" t="s">
        <v>12</v>
      </c>
      <c r="K2" s="551"/>
    </row>
    <row r="3" spans="2:14" ht="24.6" customHeight="1" thickBot="1" x14ac:dyDescent="0.2">
      <c r="B3" s="646" t="s">
        <v>2340</v>
      </c>
      <c r="C3" s="647"/>
      <c r="D3" s="647"/>
      <c r="E3" s="647"/>
      <c r="F3" s="647"/>
      <c r="G3" s="647"/>
      <c r="H3" s="647"/>
      <c r="I3" s="647"/>
      <c r="J3" s="647"/>
      <c r="K3" s="648"/>
    </row>
    <row r="4" spans="2:14" ht="14.25" thickBot="1" x14ac:dyDescent="0.2">
      <c r="B4" s="361"/>
    </row>
    <row r="5" spans="2:14" ht="17.25" thickBot="1" x14ac:dyDescent="0.2">
      <c r="B5" s="374" t="s">
        <v>2341</v>
      </c>
      <c r="C5" s="375" t="s">
        <v>2342</v>
      </c>
      <c r="D5" s="649">
        <f>工事カード!C7</f>
        <v>0</v>
      </c>
      <c r="E5" s="649"/>
      <c r="F5" s="649"/>
      <c r="G5" s="376">
        <f>工事カード!C9</f>
        <v>0</v>
      </c>
      <c r="H5" s="4" t="s">
        <v>12</v>
      </c>
      <c r="I5" s="565" t="s">
        <v>44</v>
      </c>
      <c r="J5" s="566"/>
      <c r="K5" s="63" t="e">
        <f ca="1">工事カード!F3</f>
        <v>#REF!</v>
      </c>
    </row>
    <row r="6" spans="2:14" ht="18" thickTop="1" thickBot="1" x14ac:dyDescent="0.2">
      <c r="B6" s="377" t="s">
        <v>2343</v>
      </c>
      <c r="C6" s="378" t="s">
        <v>2342</v>
      </c>
      <c r="D6" s="650">
        <f>工事カード!C11</f>
        <v>0</v>
      </c>
      <c r="E6" s="650"/>
      <c r="F6" s="650"/>
      <c r="G6" s="650"/>
      <c r="H6" s="4"/>
      <c r="I6" s="573" t="s">
        <v>45</v>
      </c>
      <c r="J6" s="574"/>
      <c r="K6" s="63" t="e">
        <f ca="1">工事カード!F5</f>
        <v>#REF!</v>
      </c>
    </row>
    <row r="7" spans="2:14" ht="14.45" customHeight="1" thickTop="1" thickBot="1" x14ac:dyDescent="0.2">
      <c r="B7" s="1" t="s">
        <v>12</v>
      </c>
      <c r="H7" s="2" t="s">
        <v>12</v>
      </c>
      <c r="I7" s="575" t="s">
        <v>46</v>
      </c>
      <c r="J7" s="576"/>
      <c r="K7" s="65" t="e">
        <f ca="1">工事カード!F7</f>
        <v>#REF!</v>
      </c>
    </row>
    <row r="8" spans="2:14" ht="14.45" customHeight="1" thickBot="1" x14ac:dyDescent="0.2">
      <c r="I8" s="577" t="s">
        <v>47</v>
      </c>
      <c r="J8" s="578"/>
      <c r="K8" s="66" t="e">
        <f ca="1">工事カード!F9</f>
        <v>#REF!</v>
      </c>
    </row>
    <row r="9" spans="2:14" ht="14.45" customHeight="1" thickBot="1" x14ac:dyDescent="0.2">
      <c r="H9" s="2" t="s">
        <v>12</v>
      </c>
      <c r="I9" s="577" t="s">
        <v>49</v>
      </c>
      <c r="J9" s="578"/>
      <c r="K9" s="66">
        <f>[3]工事カード!H14</f>
        <v>0</v>
      </c>
    </row>
    <row r="10" spans="2:14" ht="14.25" thickBot="1" x14ac:dyDescent="0.2">
      <c r="K10" s="13"/>
    </row>
    <row r="11" spans="2:14" ht="13.15" customHeight="1" thickBot="1" x14ac:dyDescent="0.2">
      <c r="B11" s="379" t="s">
        <v>2344</v>
      </c>
      <c r="C11" s="639" t="s">
        <v>34</v>
      </c>
      <c r="D11" s="640"/>
      <c r="E11" s="639" t="s">
        <v>2345</v>
      </c>
      <c r="F11" s="641"/>
      <c r="G11" s="642"/>
      <c r="H11" s="643" t="s">
        <v>2346</v>
      </c>
      <c r="I11" s="644"/>
      <c r="J11" s="644"/>
      <c r="K11" s="645"/>
      <c r="N11" s="1" t="s">
        <v>443</v>
      </c>
    </row>
    <row r="12" spans="2:14" ht="18" customHeight="1" x14ac:dyDescent="0.15">
      <c r="B12" s="380"/>
      <c r="C12" s="381"/>
      <c r="D12" s="11"/>
      <c r="E12" s="382"/>
      <c r="F12" s="383"/>
      <c r="G12" s="384"/>
      <c r="H12" s="11"/>
      <c r="I12" s="385"/>
      <c r="J12" s="383"/>
      <c r="K12" s="384"/>
      <c r="M12" s="2"/>
      <c r="N12" s="1" t="s">
        <v>442</v>
      </c>
    </row>
    <row r="13" spans="2:14" ht="18" customHeight="1" x14ac:dyDescent="0.15">
      <c r="B13" s="386"/>
      <c r="C13" s="381"/>
      <c r="D13" s="11"/>
      <c r="E13" s="387"/>
      <c r="F13" s="388"/>
      <c r="G13" s="384"/>
      <c r="H13" s="11"/>
      <c r="I13" s="388"/>
      <c r="J13" s="388"/>
      <c r="K13" s="384"/>
      <c r="M13" s="2"/>
    </row>
    <row r="14" spans="2:14" ht="18" customHeight="1" x14ac:dyDescent="0.15">
      <c r="B14" s="386"/>
      <c r="C14" s="381"/>
      <c r="D14" s="11"/>
      <c r="E14" s="387"/>
      <c r="F14" s="388"/>
      <c r="G14" s="384"/>
      <c r="H14" s="11"/>
      <c r="I14" s="388"/>
      <c r="J14" s="388"/>
      <c r="K14" s="384"/>
      <c r="M14" s="2"/>
    </row>
    <row r="15" spans="2:14" ht="18" customHeight="1" x14ac:dyDescent="0.15">
      <c r="B15" s="386"/>
      <c r="C15" s="387"/>
      <c r="D15" s="11"/>
      <c r="E15" s="387"/>
      <c r="F15" s="388"/>
      <c r="G15" s="384"/>
      <c r="H15" s="11"/>
      <c r="I15" s="388"/>
      <c r="J15" s="388"/>
      <c r="K15" s="384"/>
      <c r="M15" s="2"/>
    </row>
    <row r="16" spans="2:14" ht="18" customHeight="1" x14ac:dyDescent="0.15">
      <c r="B16" s="386"/>
      <c r="C16" s="381"/>
      <c r="D16" s="11"/>
      <c r="E16" s="387"/>
      <c r="F16" s="11"/>
      <c r="G16" s="384"/>
      <c r="H16" s="11"/>
      <c r="I16" s="388"/>
      <c r="J16" s="11"/>
      <c r="K16" s="384"/>
      <c r="M16" s="2"/>
    </row>
    <row r="17" spans="2:13" ht="18" customHeight="1" x14ac:dyDescent="0.15">
      <c r="B17" s="386"/>
      <c r="C17" s="381"/>
      <c r="D17" s="11"/>
      <c r="E17" s="387"/>
      <c r="F17" s="11"/>
      <c r="G17" s="384"/>
      <c r="H17" s="11"/>
      <c r="I17" s="388"/>
      <c r="J17" s="11"/>
      <c r="K17" s="384"/>
      <c r="M17" s="2"/>
    </row>
    <row r="18" spans="2:13" ht="18" customHeight="1" x14ac:dyDescent="0.15">
      <c r="B18" s="386"/>
      <c r="C18" s="381"/>
      <c r="D18" s="11"/>
      <c r="E18" s="387"/>
      <c r="F18" s="11"/>
      <c r="G18" s="384"/>
      <c r="H18" s="11"/>
      <c r="I18" s="388"/>
      <c r="J18" s="11"/>
      <c r="K18" s="384"/>
      <c r="M18" s="2"/>
    </row>
    <row r="19" spans="2:13" ht="18" customHeight="1" x14ac:dyDescent="0.15">
      <c r="B19" s="386"/>
      <c r="C19" s="381"/>
      <c r="D19" s="11"/>
      <c r="E19" s="387"/>
      <c r="F19" s="11"/>
      <c r="G19" s="384"/>
      <c r="H19" s="11"/>
      <c r="I19" s="388"/>
      <c r="J19" s="11"/>
      <c r="K19" s="384"/>
      <c r="M19" s="2"/>
    </row>
    <row r="20" spans="2:13" ht="18" customHeight="1" x14ac:dyDescent="0.15">
      <c r="B20" s="386"/>
      <c r="C20" s="381"/>
      <c r="D20" s="11"/>
      <c r="E20" s="387"/>
      <c r="F20" s="11"/>
      <c r="G20" s="384"/>
      <c r="H20" s="11"/>
      <c r="I20" s="388"/>
      <c r="J20" s="11"/>
      <c r="K20" s="384"/>
      <c r="M20" s="2"/>
    </row>
    <row r="21" spans="2:13" ht="18" customHeight="1" x14ac:dyDescent="0.15">
      <c r="B21" s="386"/>
      <c r="C21" s="381"/>
      <c r="D21" s="11"/>
      <c r="E21" s="387"/>
      <c r="F21" s="11"/>
      <c r="G21" s="384"/>
      <c r="H21" s="11"/>
      <c r="I21" s="388"/>
      <c r="J21" s="11"/>
      <c r="K21" s="384"/>
      <c r="M21" s="2"/>
    </row>
    <row r="22" spans="2:13" ht="18" customHeight="1" x14ac:dyDescent="0.15">
      <c r="B22" s="386"/>
      <c r="C22" s="381"/>
      <c r="D22" s="11"/>
      <c r="E22" s="387"/>
      <c r="F22" s="388"/>
      <c r="G22" s="384"/>
      <c r="H22" s="11"/>
      <c r="I22" s="388"/>
      <c r="J22" s="388"/>
      <c r="K22" s="384"/>
      <c r="M22" s="2"/>
    </row>
    <row r="23" spans="2:13" ht="18" customHeight="1" x14ac:dyDescent="0.15">
      <c r="B23" s="386"/>
      <c r="C23" s="381"/>
      <c r="D23" s="11"/>
      <c r="E23" s="387"/>
      <c r="F23" s="11"/>
      <c r="G23" s="384"/>
      <c r="H23" s="11"/>
      <c r="I23" s="388"/>
      <c r="J23" s="11"/>
      <c r="K23" s="384"/>
      <c r="M23" s="2"/>
    </row>
    <row r="24" spans="2:13" ht="18" customHeight="1" x14ac:dyDescent="0.15">
      <c r="B24" s="386"/>
      <c r="C24" s="381"/>
      <c r="D24" s="11"/>
      <c r="E24" s="387"/>
      <c r="F24" s="11"/>
      <c r="G24" s="384"/>
      <c r="H24" s="11"/>
      <c r="I24" s="388"/>
      <c r="J24" s="11"/>
      <c r="K24" s="384"/>
      <c r="M24" s="2"/>
    </row>
    <row r="25" spans="2:13" ht="18" customHeight="1" x14ac:dyDescent="0.15">
      <c r="B25" s="386"/>
      <c r="C25" s="381"/>
      <c r="D25" s="11"/>
      <c r="E25" s="387"/>
      <c r="F25" s="11"/>
      <c r="G25" s="384"/>
      <c r="H25" s="11"/>
      <c r="I25" s="388"/>
      <c r="J25" s="11"/>
      <c r="K25" s="384"/>
      <c r="M25" s="2"/>
    </row>
    <row r="26" spans="2:13" ht="18" customHeight="1" x14ac:dyDescent="0.15">
      <c r="B26" s="386"/>
      <c r="C26" s="381"/>
      <c r="D26" s="11"/>
      <c r="E26" s="387"/>
      <c r="F26" s="11"/>
      <c r="G26" s="384"/>
      <c r="H26" s="11"/>
      <c r="I26" s="388"/>
      <c r="J26" s="11"/>
      <c r="K26" s="384"/>
      <c r="M26" s="2"/>
    </row>
    <row r="27" spans="2:13" ht="18" customHeight="1" x14ac:dyDescent="0.15">
      <c r="B27" s="386" t="s">
        <v>11</v>
      </c>
      <c r="C27" s="381"/>
      <c r="D27" s="11"/>
      <c r="E27" s="387"/>
      <c r="F27" s="11"/>
      <c r="G27" s="384"/>
      <c r="H27" s="11"/>
      <c r="I27" s="388"/>
      <c r="J27" s="11"/>
      <c r="K27" s="384"/>
      <c r="M27" s="2"/>
    </row>
    <row r="28" spans="2:13" ht="18" customHeight="1" x14ac:dyDescent="0.15">
      <c r="B28" s="386"/>
      <c r="C28" s="381"/>
      <c r="D28" s="11"/>
      <c r="E28" s="387"/>
      <c r="F28" s="11"/>
      <c r="G28" s="384"/>
      <c r="H28" s="11"/>
      <c r="I28" s="388"/>
      <c r="J28" s="11"/>
      <c r="K28" s="384"/>
      <c r="M28" s="2"/>
    </row>
    <row r="29" spans="2:13" ht="18" customHeight="1" x14ac:dyDescent="0.15">
      <c r="B29" s="386"/>
      <c r="C29" s="381"/>
      <c r="D29" s="11"/>
      <c r="E29" s="387"/>
      <c r="F29" s="11"/>
      <c r="G29" s="384"/>
      <c r="H29" s="11"/>
      <c r="I29" s="388"/>
      <c r="J29" s="11"/>
      <c r="K29" s="384"/>
      <c r="M29" s="2"/>
    </row>
    <row r="30" spans="2:13" ht="18" customHeight="1" x14ac:dyDescent="0.15">
      <c r="B30" s="386"/>
      <c r="C30" s="381"/>
      <c r="D30" s="11"/>
      <c r="E30" s="387"/>
      <c r="F30" s="11"/>
      <c r="G30" s="384"/>
      <c r="H30" s="11"/>
      <c r="I30" s="388"/>
      <c r="J30" s="11"/>
      <c r="K30" s="384"/>
      <c r="M30" s="2"/>
    </row>
    <row r="31" spans="2:13" ht="18" customHeight="1" x14ac:dyDescent="0.15">
      <c r="B31" s="386"/>
      <c r="C31" s="381"/>
      <c r="D31" s="11"/>
      <c r="E31" s="387"/>
      <c r="F31" s="11"/>
      <c r="G31" s="384"/>
      <c r="H31" s="11"/>
      <c r="I31" s="388"/>
      <c r="J31" s="11"/>
      <c r="K31" s="384"/>
      <c r="M31" s="2"/>
    </row>
    <row r="32" spans="2:13" ht="18" customHeight="1" x14ac:dyDescent="0.15">
      <c r="B32" s="191"/>
      <c r="C32" s="361"/>
      <c r="D32" s="361"/>
      <c r="E32" s="361"/>
      <c r="F32" s="361"/>
      <c r="G32" s="361"/>
      <c r="H32" s="362"/>
      <c r="I32" s="191"/>
      <c r="J32" s="363"/>
      <c r="K32" s="363"/>
      <c r="M32" s="2"/>
    </row>
  </sheetData>
  <mergeCells count="12">
    <mergeCell ref="J2:K2"/>
    <mergeCell ref="B3:K3"/>
    <mergeCell ref="D5:F5"/>
    <mergeCell ref="I5:J5"/>
    <mergeCell ref="D6:G6"/>
    <mergeCell ref="I6:J6"/>
    <mergeCell ref="I7:J7"/>
    <mergeCell ref="I8:J8"/>
    <mergeCell ref="I9:J9"/>
    <mergeCell ref="C11:D11"/>
    <mergeCell ref="E11:G11"/>
    <mergeCell ref="H11:K11"/>
  </mergeCells>
  <phoneticPr fontId="3"/>
  <pageMargins left="0.7" right="0.7" top="0.75" bottom="0.75" header="0.3" footer="0.3"/>
  <pageSetup paperSize="9" scale="86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36AC8-9B09-4AE9-9C25-E1DDFDCB8B88}">
  <sheetPr codeName="Sheet17">
    <tabColor rgb="FFFFFF00"/>
    <pageSetUpPr fitToPage="1"/>
  </sheetPr>
  <dimension ref="A1:AO86"/>
  <sheetViews>
    <sheetView showGridLines="0" showZeros="0" zoomScale="90" zoomScaleNormal="90" workbookViewId="0">
      <selection activeCell="B5" sqref="B5"/>
    </sheetView>
  </sheetViews>
  <sheetFormatPr defaultRowHeight="12" x14ac:dyDescent="0.15"/>
  <cols>
    <col min="1" max="1" width="5.5" style="153" customWidth="1"/>
    <col min="2" max="2" width="6.75" style="153" customWidth="1"/>
    <col min="3" max="3" width="5.5" style="153" customWidth="1"/>
    <col min="4" max="4" width="6.75" style="153" customWidth="1"/>
    <col min="5" max="5" width="1.75" style="153" customWidth="1"/>
    <col min="6" max="6" width="7.25" style="153" bestFit="1" customWidth="1"/>
    <col min="7" max="7" width="6.75" style="153" customWidth="1"/>
    <col min="8" max="8" width="5.5" style="153" customWidth="1"/>
    <col min="9" max="9" width="6.75" style="153" customWidth="1"/>
    <col min="10" max="10" width="1.75" style="153" customWidth="1"/>
    <col min="11" max="11" width="4.75" style="153" customWidth="1"/>
    <col min="12" max="12" width="6.75" style="153" customWidth="1"/>
    <col min="13" max="13" width="5.5" style="153" customWidth="1"/>
    <col min="14" max="14" width="6.75" style="153" customWidth="1"/>
    <col min="15" max="15" width="1.75" style="153" customWidth="1"/>
    <col min="16" max="16" width="7.125" style="153" bestFit="1" customWidth="1"/>
    <col min="17" max="17" width="6.75" style="153" customWidth="1"/>
    <col min="18" max="18" width="5.5" style="153" customWidth="1"/>
    <col min="19" max="19" width="6.75" style="153" customWidth="1"/>
    <col min="20" max="20" width="1.75" style="153" customWidth="1"/>
    <col min="21" max="21" width="4.75" style="153" customWidth="1"/>
    <col min="22" max="22" width="6.75" style="153" customWidth="1"/>
    <col min="23" max="23" width="5.5" style="153" customWidth="1"/>
    <col min="24" max="24" width="6.75" style="153" customWidth="1"/>
    <col min="25" max="25" width="1.75" style="153" customWidth="1"/>
    <col min="26" max="26" width="4.75" style="153" customWidth="1"/>
    <col min="27" max="27" width="6.75" style="153" customWidth="1"/>
    <col min="28" max="28" width="5.5" style="153" customWidth="1"/>
    <col min="29" max="29" width="6.75" style="153" customWidth="1"/>
    <col min="30" max="30" width="5" style="153" customWidth="1"/>
    <col min="31" max="32" width="11" style="154" customWidth="1"/>
    <col min="33" max="33" width="9.5" style="154" customWidth="1"/>
    <col min="34" max="34" width="9" style="154" customWidth="1"/>
    <col min="35" max="35" width="9.375" style="154" customWidth="1"/>
    <col min="36" max="36" width="2.75" style="153" customWidth="1"/>
    <col min="37" max="38" width="10" style="153" customWidth="1"/>
    <col min="39" max="39" width="9.125" style="153" customWidth="1"/>
    <col min="40" max="40" width="9.5" style="153" customWidth="1"/>
    <col min="41" max="41" width="9.75" style="153" customWidth="1"/>
    <col min="42" max="256" width="9" style="153"/>
    <col min="257" max="257" width="5.5" style="153" customWidth="1"/>
    <col min="258" max="258" width="6.75" style="153" customWidth="1"/>
    <col min="259" max="259" width="5.5" style="153" customWidth="1"/>
    <col min="260" max="260" width="6.75" style="153" customWidth="1"/>
    <col min="261" max="261" width="1.75" style="153" customWidth="1"/>
    <col min="262" max="262" width="5.5" style="153" customWidth="1"/>
    <col min="263" max="263" width="6.75" style="153" customWidth="1"/>
    <col min="264" max="264" width="5.5" style="153" customWidth="1"/>
    <col min="265" max="265" width="6.75" style="153" customWidth="1"/>
    <col min="266" max="266" width="1.75" style="153" customWidth="1"/>
    <col min="267" max="267" width="4.75" style="153" customWidth="1"/>
    <col min="268" max="268" width="6.75" style="153" customWidth="1"/>
    <col min="269" max="269" width="5.5" style="153" customWidth="1"/>
    <col min="270" max="270" width="6.75" style="153" customWidth="1"/>
    <col min="271" max="271" width="1.75" style="153" customWidth="1"/>
    <col min="272" max="272" width="4.75" style="153" customWidth="1"/>
    <col min="273" max="273" width="6.75" style="153" customWidth="1"/>
    <col min="274" max="274" width="5.5" style="153" customWidth="1"/>
    <col min="275" max="275" width="6.75" style="153" customWidth="1"/>
    <col min="276" max="276" width="1.75" style="153" customWidth="1"/>
    <col min="277" max="277" width="4.75" style="153" customWidth="1"/>
    <col min="278" max="278" width="6.75" style="153" customWidth="1"/>
    <col min="279" max="279" width="5.5" style="153" customWidth="1"/>
    <col min="280" max="280" width="6.75" style="153" customWidth="1"/>
    <col min="281" max="281" width="1.75" style="153" customWidth="1"/>
    <col min="282" max="282" width="4.75" style="153" customWidth="1"/>
    <col min="283" max="283" width="6.75" style="153" customWidth="1"/>
    <col min="284" max="284" width="5.5" style="153" customWidth="1"/>
    <col min="285" max="285" width="6.75" style="153" customWidth="1"/>
    <col min="286" max="286" width="5" style="153" customWidth="1"/>
    <col min="287" max="288" width="11" style="153" customWidth="1"/>
    <col min="289" max="289" width="9.5" style="153" customWidth="1"/>
    <col min="290" max="290" width="9" style="153"/>
    <col min="291" max="291" width="9.375" style="153" customWidth="1"/>
    <col min="292" max="292" width="2.75" style="153" customWidth="1"/>
    <col min="293" max="294" width="10" style="153" customWidth="1"/>
    <col min="295" max="295" width="9.125" style="153" customWidth="1"/>
    <col min="296" max="296" width="9.5" style="153" customWidth="1"/>
    <col min="297" max="297" width="9.75" style="153" customWidth="1"/>
    <col min="298" max="512" width="9" style="153"/>
    <col min="513" max="513" width="5.5" style="153" customWidth="1"/>
    <col min="514" max="514" width="6.75" style="153" customWidth="1"/>
    <col min="515" max="515" width="5.5" style="153" customWidth="1"/>
    <col min="516" max="516" width="6.75" style="153" customWidth="1"/>
    <col min="517" max="517" width="1.75" style="153" customWidth="1"/>
    <col min="518" max="518" width="5.5" style="153" customWidth="1"/>
    <col min="519" max="519" width="6.75" style="153" customWidth="1"/>
    <col min="520" max="520" width="5.5" style="153" customWidth="1"/>
    <col min="521" max="521" width="6.75" style="153" customWidth="1"/>
    <col min="522" max="522" width="1.75" style="153" customWidth="1"/>
    <col min="523" max="523" width="4.75" style="153" customWidth="1"/>
    <col min="524" max="524" width="6.75" style="153" customWidth="1"/>
    <col min="525" max="525" width="5.5" style="153" customWidth="1"/>
    <col min="526" max="526" width="6.75" style="153" customWidth="1"/>
    <col min="527" max="527" width="1.75" style="153" customWidth="1"/>
    <col min="528" max="528" width="4.75" style="153" customWidth="1"/>
    <col min="529" max="529" width="6.75" style="153" customWidth="1"/>
    <col min="530" max="530" width="5.5" style="153" customWidth="1"/>
    <col min="531" max="531" width="6.75" style="153" customWidth="1"/>
    <col min="532" max="532" width="1.75" style="153" customWidth="1"/>
    <col min="533" max="533" width="4.75" style="153" customWidth="1"/>
    <col min="534" max="534" width="6.75" style="153" customWidth="1"/>
    <col min="535" max="535" width="5.5" style="153" customWidth="1"/>
    <col min="536" max="536" width="6.75" style="153" customWidth="1"/>
    <col min="537" max="537" width="1.75" style="153" customWidth="1"/>
    <col min="538" max="538" width="4.75" style="153" customWidth="1"/>
    <col min="539" max="539" width="6.75" style="153" customWidth="1"/>
    <col min="540" max="540" width="5.5" style="153" customWidth="1"/>
    <col min="541" max="541" width="6.75" style="153" customWidth="1"/>
    <col min="542" max="542" width="5" style="153" customWidth="1"/>
    <col min="543" max="544" width="11" style="153" customWidth="1"/>
    <col min="545" max="545" width="9.5" style="153" customWidth="1"/>
    <col min="546" max="546" width="9" style="153"/>
    <col min="547" max="547" width="9.375" style="153" customWidth="1"/>
    <col min="548" max="548" width="2.75" style="153" customWidth="1"/>
    <col min="549" max="550" width="10" style="153" customWidth="1"/>
    <col min="551" max="551" width="9.125" style="153" customWidth="1"/>
    <col min="552" max="552" width="9.5" style="153" customWidth="1"/>
    <col min="553" max="553" width="9.75" style="153" customWidth="1"/>
    <col min="554" max="768" width="9" style="153"/>
    <col min="769" max="769" width="5.5" style="153" customWidth="1"/>
    <col min="770" max="770" width="6.75" style="153" customWidth="1"/>
    <col min="771" max="771" width="5.5" style="153" customWidth="1"/>
    <col min="772" max="772" width="6.75" style="153" customWidth="1"/>
    <col min="773" max="773" width="1.75" style="153" customWidth="1"/>
    <col min="774" max="774" width="5.5" style="153" customWidth="1"/>
    <col min="775" max="775" width="6.75" style="153" customWidth="1"/>
    <col min="776" max="776" width="5.5" style="153" customWidth="1"/>
    <col min="777" max="777" width="6.75" style="153" customWidth="1"/>
    <col min="778" max="778" width="1.75" style="153" customWidth="1"/>
    <col min="779" max="779" width="4.75" style="153" customWidth="1"/>
    <col min="780" max="780" width="6.75" style="153" customWidth="1"/>
    <col min="781" max="781" width="5.5" style="153" customWidth="1"/>
    <col min="782" max="782" width="6.75" style="153" customWidth="1"/>
    <col min="783" max="783" width="1.75" style="153" customWidth="1"/>
    <col min="784" max="784" width="4.75" style="153" customWidth="1"/>
    <col min="785" max="785" width="6.75" style="153" customWidth="1"/>
    <col min="786" max="786" width="5.5" style="153" customWidth="1"/>
    <col min="787" max="787" width="6.75" style="153" customWidth="1"/>
    <col min="788" max="788" width="1.75" style="153" customWidth="1"/>
    <col min="789" max="789" width="4.75" style="153" customWidth="1"/>
    <col min="790" max="790" width="6.75" style="153" customWidth="1"/>
    <col min="791" max="791" width="5.5" style="153" customWidth="1"/>
    <col min="792" max="792" width="6.75" style="153" customWidth="1"/>
    <col min="793" max="793" width="1.75" style="153" customWidth="1"/>
    <col min="794" max="794" width="4.75" style="153" customWidth="1"/>
    <col min="795" max="795" width="6.75" style="153" customWidth="1"/>
    <col min="796" max="796" width="5.5" style="153" customWidth="1"/>
    <col min="797" max="797" width="6.75" style="153" customWidth="1"/>
    <col min="798" max="798" width="5" style="153" customWidth="1"/>
    <col min="799" max="800" width="11" style="153" customWidth="1"/>
    <col min="801" max="801" width="9.5" style="153" customWidth="1"/>
    <col min="802" max="802" width="9" style="153"/>
    <col min="803" max="803" width="9.375" style="153" customWidth="1"/>
    <col min="804" max="804" width="2.75" style="153" customWidth="1"/>
    <col min="805" max="806" width="10" style="153" customWidth="1"/>
    <col min="807" max="807" width="9.125" style="153" customWidth="1"/>
    <col min="808" max="808" width="9.5" style="153" customWidth="1"/>
    <col min="809" max="809" width="9.75" style="153" customWidth="1"/>
    <col min="810" max="1024" width="9" style="153"/>
    <col min="1025" max="1025" width="5.5" style="153" customWidth="1"/>
    <col min="1026" max="1026" width="6.75" style="153" customWidth="1"/>
    <col min="1027" max="1027" width="5.5" style="153" customWidth="1"/>
    <col min="1028" max="1028" width="6.75" style="153" customWidth="1"/>
    <col min="1029" max="1029" width="1.75" style="153" customWidth="1"/>
    <col min="1030" max="1030" width="5.5" style="153" customWidth="1"/>
    <col min="1031" max="1031" width="6.75" style="153" customWidth="1"/>
    <col min="1032" max="1032" width="5.5" style="153" customWidth="1"/>
    <col min="1033" max="1033" width="6.75" style="153" customWidth="1"/>
    <col min="1034" max="1034" width="1.75" style="153" customWidth="1"/>
    <col min="1035" max="1035" width="4.75" style="153" customWidth="1"/>
    <col min="1036" max="1036" width="6.75" style="153" customWidth="1"/>
    <col min="1037" max="1037" width="5.5" style="153" customWidth="1"/>
    <col min="1038" max="1038" width="6.75" style="153" customWidth="1"/>
    <col min="1039" max="1039" width="1.75" style="153" customWidth="1"/>
    <col min="1040" max="1040" width="4.75" style="153" customWidth="1"/>
    <col min="1041" max="1041" width="6.75" style="153" customWidth="1"/>
    <col min="1042" max="1042" width="5.5" style="153" customWidth="1"/>
    <col min="1043" max="1043" width="6.75" style="153" customWidth="1"/>
    <col min="1044" max="1044" width="1.75" style="153" customWidth="1"/>
    <col min="1045" max="1045" width="4.75" style="153" customWidth="1"/>
    <col min="1046" max="1046" width="6.75" style="153" customWidth="1"/>
    <col min="1047" max="1047" width="5.5" style="153" customWidth="1"/>
    <col min="1048" max="1048" width="6.75" style="153" customWidth="1"/>
    <col min="1049" max="1049" width="1.75" style="153" customWidth="1"/>
    <col min="1050" max="1050" width="4.75" style="153" customWidth="1"/>
    <col min="1051" max="1051" width="6.75" style="153" customWidth="1"/>
    <col min="1052" max="1052" width="5.5" style="153" customWidth="1"/>
    <col min="1053" max="1053" width="6.75" style="153" customWidth="1"/>
    <col min="1054" max="1054" width="5" style="153" customWidth="1"/>
    <col min="1055" max="1056" width="11" style="153" customWidth="1"/>
    <col min="1057" max="1057" width="9.5" style="153" customWidth="1"/>
    <col min="1058" max="1058" width="9" style="153"/>
    <col min="1059" max="1059" width="9.375" style="153" customWidth="1"/>
    <col min="1060" max="1060" width="2.75" style="153" customWidth="1"/>
    <col min="1061" max="1062" width="10" style="153" customWidth="1"/>
    <col min="1063" max="1063" width="9.125" style="153" customWidth="1"/>
    <col min="1064" max="1064" width="9.5" style="153" customWidth="1"/>
    <col min="1065" max="1065" width="9.75" style="153" customWidth="1"/>
    <col min="1066" max="1280" width="9" style="153"/>
    <col min="1281" max="1281" width="5.5" style="153" customWidth="1"/>
    <col min="1282" max="1282" width="6.75" style="153" customWidth="1"/>
    <col min="1283" max="1283" width="5.5" style="153" customWidth="1"/>
    <col min="1284" max="1284" width="6.75" style="153" customWidth="1"/>
    <col min="1285" max="1285" width="1.75" style="153" customWidth="1"/>
    <col min="1286" max="1286" width="5.5" style="153" customWidth="1"/>
    <col min="1287" max="1287" width="6.75" style="153" customWidth="1"/>
    <col min="1288" max="1288" width="5.5" style="153" customWidth="1"/>
    <col min="1289" max="1289" width="6.75" style="153" customWidth="1"/>
    <col min="1290" max="1290" width="1.75" style="153" customWidth="1"/>
    <col min="1291" max="1291" width="4.75" style="153" customWidth="1"/>
    <col min="1292" max="1292" width="6.75" style="153" customWidth="1"/>
    <col min="1293" max="1293" width="5.5" style="153" customWidth="1"/>
    <col min="1294" max="1294" width="6.75" style="153" customWidth="1"/>
    <col min="1295" max="1295" width="1.75" style="153" customWidth="1"/>
    <col min="1296" max="1296" width="4.75" style="153" customWidth="1"/>
    <col min="1297" max="1297" width="6.75" style="153" customWidth="1"/>
    <col min="1298" max="1298" width="5.5" style="153" customWidth="1"/>
    <col min="1299" max="1299" width="6.75" style="153" customWidth="1"/>
    <col min="1300" max="1300" width="1.75" style="153" customWidth="1"/>
    <col min="1301" max="1301" width="4.75" style="153" customWidth="1"/>
    <col min="1302" max="1302" width="6.75" style="153" customWidth="1"/>
    <col min="1303" max="1303" width="5.5" style="153" customWidth="1"/>
    <col min="1304" max="1304" width="6.75" style="153" customWidth="1"/>
    <col min="1305" max="1305" width="1.75" style="153" customWidth="1"/>
    <col min="1306" max="1306" width="4.75" style="153" customWidth="1"/>
    <col min="1307" max="1307" width="6.75" style="153" customWidth="1"/>
    <col min="1308" max="1308" width="5.5" style="153" customWidth="1"/>
    <col min="1309" max="1309" width="6.75" style="153" customWidth="1"/>
    <col min="1310" max="1310" width="5" style="153" customWidth="1"/>
    <col min="1311" max="1312" width="11" style="153" customWidth="1"/>
    <col min="1313" max="1313" width="9.5" style="153" customWidth="1"/>
    <col min="1314" max="1314" width="9" style="153"/>
    <col min="1315" max="1315" width="9.375" style="153" customWidth="1"/>
    <col min="1316" max="1316" width="2.75" style="153" customWidth="1"/>
    <col min="1317" max="1318" width="10" style="153" customWidth="1"/>
    <col min="1319" max="1319" width="9.125" style="153" customWidth="1"/>
    <col min="1320" max="1320" width="9.5" style="153" customWidth="1"/>
    <col min="1321" max="1321" width="9.75" style="153" customWidth="1"/>
    <col min="1322" max="1536" width="9" style="153"/>
    <col min="1537" max="1537" width="5.5" style="153" customWidth="1"/>
    <col min="1538" max="1538" width="6.75" style="153" customWidth="1"/>
    <col min="1539" max="1539" width="5.5" style="153" customWidth="1"/>
    <col min="1540" max="1540" width="6.75" style="153" customWidth="1"/>
    <col min="1541" max="1541" width="1.75" style="153" customWidth="1"/>
    <col min="1542" max="1542" width="5.5" style="153" customWidth="1"/>
    <col min="1543" max="1543" width="6.75" style="153" customWidth="1"/>
    <col min="1544" max="1544" width="5.5" style="153" customWidth="1"/>
    <col min="1545" max="1545" width="6.75" style="153" customWidth="1"/>
    <col min="1546" max="1546" width="1.75" style="153" customWidth="1"/>
    <col min="1547" max="1547" width="4.75" style="153" customWidth="1"/>
    <col min="1548" max="1548" width="6.75" style="153" customWidth="1"/>
    <col min="1549" max="1549" width="5.5" style="153" customWidth="1"/>
    <col min="1550" max="1550" width="6.75" style="153" customWidth="1"/>
    <col min="1551" max="1551" width="1.75" style="153" customWidth="1"/>
    <col min="1552" max="1552" width="4.75" style="153" customWidth="1"/>
    <col min="1553" max="1553" width="6.75" style="153" customWidth="1"/>
    <col min="1554" max="1554" width="5.5" style="153" customWidth="1"/>
    <col min="1555" max="1555" width="6.75" style="153" customWidth="1"/>
    <col min="1556" max="1556" width="1.75" style="153" customWidth="1"/>
    <col min="1557" max="1557" width="4.75" style="153" customWidth="1"/>
    <col min="1558" max="1558" width="6.75" style="153" customWidth="1"/>
    <col min="1559" max="1559" width="5.5" style="153" customWidth="1"/>
    <col min="1560" max="1560" width="6.75" style="153" customWidth="1"/>
    <col min="1561" max="1561" width="1.75" style="153" customWidth="1"/>
    <col min="1562" max="1562" width="4.75" style="153" customWidth="1"/>
    <col min="1563" max="1563" width="6.75" style="153" customWidth="1"/>
    <col min="1564" max="1564" width="5.5" style="153" customWidth="1"/>
    <col min="1565" max="1565" width="6.75" style="153" customWidth="1"/>
    <col min="1566" max="1566" width="5" style="153" customWidth="1"/>
    <col min="1567" max="1568" width="11" style="153" customWidth="1"/>
    <col min="1569" max="1569" width="9.5" style="153" customWidth="1"/>
    <col min="1570" max="1570" width="9" style="153"/>
    <col min="1571" max="1571" width="9.375" style="153" customWidth="1"/>
    <col min="1572" max="1572" width="2.75" style="153" customWidth="1"/>
    <col min="1573" max="1574" width="10" style="153" customWidth="1"/>
    <col min="1575" max="1575" width="9.125" style="153" customWidth="1"/>
    <col min="1576" max="1576" width="9.5" style="153" customWidth="1"/>
    <col min="1577" max="1577" width="9.75" style="153" customWidth="1"/>
    <col min="1578" max="1792" width="9" style="153"/>
    <col min="1793" max="1793" width="5.5" style="153" customWidth="1"/>
    <col min="1794" max="1794" width="6.75" style="153" customWidth="1"/>
    <col min="1795" max="1795" width="5.5" style="153" customWidth="1"/>
    <col min="1796" max="1796" width="6.75" style="153" customWidth="1"/>
    <col min="1797" max="1797" width="1.75" style="153" customWidth="1"/>
    <col min="1798" max="1798" width="5.5" style="153" customWidth="1"/>
    <col min="1799" max="1799" width="6.75" style="153" customWidth="1"/>
    <col min="1800" max="1800" width="5.5" style="153" customWidth="1"/>
    <col min="1801" max="1801" width="6.75" style="153" customWidth="1"/>
    <col min="1802" max="1802" width="1.75" style="153" customWidth="1"/>
    <col min="1803" max="1803" width="4.75" style="153" customWidth="1"/>
    <col min="1804" max="1804" width="6.75" style="153" customWidth="1"/>
    <col min="1805" max="1805" width="5.5" style="153" customWidth="1"/>
    <col min="1806" max="1806" width="6.75" style="153" customWidth="1"/>
    <col min="1807" max="1807" width="1.75" style="153" customWidth="1"/>
    <col min="1808" max="1808" width="4.75" style="153" customWidth="1"/>
    <col min="1809" max="1809" width="6.75" style="153" customWidth="1"/>
    <col min="1810" max="1810" width="5.5" style="153" customWidth="1"/>
    <col min="1811" max="1811" width="6.75" style="153" customWidth="1"/>
    <col min="1812" max="1812" width="1.75" style="153" customWidth="1"/>
    <col min="1813" max="1813" width="4.75" style="153" customWidth="1"/>
    <col min="1814" max="1814" width="6.75" style="153" customWidth="1"/>
    <col min="1815" max="1815" width="5.5" style="153" customWidth="1"/>
    <col min="1816" max="1816" width="6.75" style="153" customWidth="1"/>
    <col min="1817" max="1817" width="1.75" style="153" customWidth="1"/>
    <col min="1818" max="1818" width="4.75" style="153" customWidth="1"/>
    <col min="1819" max="1819" width="6.75" style="153" customWidth="1"/>
    <col min="1820" max="1820" width="5.5" style="153" customWidth="1"/>
    <col min="1821" max="1821" width="6.75" style="153" customWidth="1"/>
    <col min="1822" max="1822" width="5" style="153" customWidth="1"/>
    <col min="1823" max="1824" width="11" style="153" customWidth="1"/>
    <col min="1825" max="1825" width="9.5" style="153" customWidth="1"/>
    <col min="1826" max="1826" width="9" style="153"/>
    <col min="1827" max="1827" width="9.375" style="153" customWidth="1"/>
    <col min="1828" max="1828" width="2.75" style="153" customWidth="1"/>
    <col min="1829" max="1830" width="10" style="153" customWidth="1"/>
    <col min="1831" max="1831" width="9.125" style="153" customWidth="1"/>
    <col min="1832" max="1832" width="9.5" style="153" customWidth="1"/>
    <col min="1833" max="1833" width="9.75" style="153" customWidth="1"/>
    <col min="1834" max="2048" width="9" style="153"/>
    <col min="2049" max="2049" width="5.5" style="153" customWidth="1"/>
    <col min="2050" max="2050" width="6.75" style="153" customWidth="1"/>
    <col min="2051" max="2051" width="5.5" style="153" customWidth="1"/>
    <col min="2052" max="2052" width="6.75" style="153" customWidth="1"/>
    <col min="2053" max="2053" width="1.75" style="153" customWidth="1"/>
    <col min="2054" max="2054" width="5.5" style="153" customWidth="1"/>
    <col min="2055" max="2055" width="6.75" style="153" customWidth="1"/>
    <col min="2056" max="2056" width="5.5" style="153" customWidth="1"/>
    <col min="2057" max="2057" width="6.75" style="153" customWidth="1"/>
    <col min="2058" max="2058" width="1.75" style="153" customWidth="1"/>
    <col min="2059" max="2059" width="4.75" style="153" customWidth="1"/>
    <col min="2060" max="2060" width="6.75" style="153" customWidth="1"/>
    <col min="2061" max="2061" width="5.5" style="153" customWidth="1"/>
    <col min="2062" max="2062" width="6.75" style="153" customWidth="1"/>
    <col min="2063" max="2063" width="1.75" style="153" customWidth="1"/>
    <col min="2064" max="2064" width="4.75" style="153" customWidth="1"/>
    <col min="2065" max="2065" width="6.75" style="153" customWidth="1"/>
    <col min="2066" max="2066" width="5.5" style="153" customWidth="1"/>
    <col min="2067" max="2067" width="6.75" style="153" customWidth="1"/>
    <col min="2068" max="2068" width="1.75" style="153" customWidth="1"/>
    <col min="2069" max="2069" width="4.75" style="153" customWidth="1"/>
    <col min="2070" max="2070" width="6.75" style="153" customWidth="1"/>
    <col min="2071" max="2071" width="5.5" style="153" customWidth="1"/>
    <col min="2072" max="2072" width="6.75" style="153" customWidth="1"/>
    <col min="2073" max="2073" width="1.75" style="153" customWidth="1"/>
    <col min="2074" max="2074" width="4.75" style="153" customWidth="1"/>
    <col min="2075" max="2075" width="6.75" style="153" customWidth="1"/>
    <col min="2076" max="2076" width="5.5" style="153" customWidth="1"/>
    <col min="2077" max="2077" width="6.75" style="153" customWidth="1"/>
    <col min="2078" max="2078" width="5" style="153" customWidth="1"/>
    <col min="2079" max="2080" width="11" style="153" customWidth="1"/>
    <col min="2081" max="2081" width="9.5" style="153" customWidth="1"/>
    <col min="2082" max="2082" width="9" style="153"/>
    <col min="2083" max="2083" width="9.375" style="153" customWidth="1"/>
    <col min="2084" max="2084" width="2.75" style="153" customWidth="1"/>
    <col min="2085" max="2086" width="10" style="153" customWidth="1"/>
    <col min="2087" max="2087" width="9.125" style="153" customWidth="1"/>
    <col min="2088" max="2088" width="9.5" style="153" customWidth="1"/>
    <col min="2089" max="2089" width="9.75" style="153" customWidth="1"/>
    <col min="2090" max="2304" width="9" style="153"/>
    <col min="2305" max="2305" width="5.5" style="153" customWidth="1"/>
    <col min="2306" max="2306" width="6.75" style="153" customWidth="1"/>
    <col min="2307" max="2307" width="5.5" style="153" customWidth="1"/>
    <col min="2308" max="2308" width="6.75" style="153" customWidth="1"/>
    <col min="2309" max="2309" width="1.75" style="153" customWidth="1"/>
    <col min="2310" max="2310" width="5.5" style="153" customWidth="1"/>
    <col min="2311" max="2311" width="6.75" style="153" customWidth="1"/>
    <col min="2312" max="2312" width="5.5" style="153" customWidth="1"/>
    <col min="2313" max="2313" width="6.75" style="153" customWidth="1"/>
    <col min="2314" max="2314" width="1.75" style="153" customWidth="1"/>
    <col min="2315" max="2315" width="4.75" style="153" customWidth="1"/>
    <col min="2316" max="2316" width="6.75" style="153" customWidth="1"/>
    <col min="2317" max="2317" width="5.5" style="153" customWidth="1"/>
    <col min="2318" max="2318" width="6.75" style="153" customWidth="1"/>
    <col min="2319" max="2319" width="1.75" style="153" customWidth="1"/>
    <col min="2320" max="2320" width="4.75" style="153" customWidth="1"/>
    <col min="2321" max="2321" width="6.75" style="153" customWidth="1"/>
    <col min="2322" max="2322" width="5.5" style="153" customWidth="1"/>
    <col min="2323" max="2323" width="6.75" style="153" customWidth="1"/>
    <col min="2324" max="2324" width="1.75" style="153" customWidth="1"/>
    <col min="2325" max="2325" width="4.75" style="153" customWidth="1"/>
    <col min="2326" max="2326" width="6.75" style="153" customWidth="1"/>
    <col min="2327" max="2327" width="5.5" style="153" customWidth="1"/>
    <col min="2328" max="2328" width="6.75" style="153" customWidth="1"/>
    <col min="2329" max="2329" width="1.75" style="153" customWidth="1"/>
    <col min="2330" max="2330" width="4.75" style="153" customWidth="1"/>
    <col min="2331" max="2331" width="6.75" style="153" customWidth="1"/>
    <col min="2332" max="2332" width="5.5" style="153" customWidth="1"/>
    <col min="2333" max="2333" width="6.75" style="153" customWidth="1"/>
    <col min="2334" max="2334" width="5" style="153" customWidth="1"/>
    <col min="2335" max="2336" width="11" style="153" customWidth="1"/>
    <col min="2337" max="2337" width="9.5" style="153" customWidth="1"/>
    <col min="2338" max="2338" width="9" style="153"/>
    <col min="2339" max="2339" width="9.375" style="153" customWidth="1"/>
    <col min="2340" max="2340" width="2.75" style="153" customWidth="1"/>
    <col min="2341" max="2342" width="10" style="153" customWidth="1"/>
    <col min="2343" max="2343" width="9.125" style="153" customWidth="1"/>
    <col min="2344" max="2344" width="9.5" style="153" customWidth="1"/>
    <col min="2345" max="2345" width="9.75" style="153" customWidth="1"/>
    <col min="2346" max="2560" width="9" style="153"/>
    <col min="2561" max="2561" width="5.5" style="153" customWidth="1"/>
    <col min="2562" max="2562" width="6.75" style="153" customWidth="1"/>
    <col min="2563" max="2563" width="5.5" style="153" customWidth="1"/>
    <col min="2564" max="2564" width="6.75" style="153" customWidth="1"/>
    <col min="2565" max="2565" width="1.75" style="153" customWidth="1"/>
    <col min="2566" max="2566" width="5.5" style="153" customWidth="1"/>
    <col min="2567" max="2567" width="6.75" style="153" customWidth="1"/>
    <col min="2568" max="2568" width="5.5" style="153" customWidth="1"/>
    <col min="2569" max="2569" width="6.75" style="153" customWidth="1"/>
    <col min="2570" max="2570" width="1.75" style="153" customWidth="1"/>
    <col min="2571" max="2571" width="4.75" style="153" customWidth="1"/>
    <col min="2572" max="2572" width="6.75" style="153" customWidth="1"/>
    <col min="2573" max="2573" width="5.5" style="153" customWidth="1"/>
    <col min="2574" max="2574" width="6.75" style="153" customWidth="1"/>
    <col min="2575" max="2575" width="1.75" style="153" customWidth="1"/>
    <col min="2576" max="2576" width="4.75" style="153" customWidth="1"/>
    <col min="2577" max="2577" width="6.75" style="153" customWidth="1"/>
    <col min="2578" max="2578" width="5.5" style="153" customWidth="1"/>
    <col min="2579" max="2579" width="6.75" style="153" customWidth="1"/>
    <col min="2580" max="2580" width="1.75" style="153" customWidth="1"/>
    <col min="2581" max="2581" width="4.75" style="153" customWidth="1"/>
    <col min="2582" max="2582" width="6.75" style="153" customWidth="1"/>
    <col min="2583" max="2583" width="5.5" style="153" customWidth="1"/>
    <col min="2584" max="2584" width="6.75" style="153" customWidth="1"/>
    <col min="2585" max="2585" width="1.75" style="153" customWidth="1"/>
    <col min="2586" max="2586" width="4.75" style="153" customWidth="1"/>
    <col min="2587" max="2587" width="6.75" style="153" customWidth="1"/>
    <col min="2588" max="2588" width="5.5" style="153" customWidth="1"/>
    <col min="2589" max="2589" width="6.75" style="153" customWidth="1"/>
    <col min="2590" max="2590" width="5" style="153" customWidth="1"/>
    <col min="2591" max="2592" width="11" style="153" customWidth="1"/>
    <col min="2593" max="2593" width="9.5" style="153" customWidth="1"/>
    <col min="2594" max="2594" width="9" style="153"/>
    <col min="2595" max="2595" width="9.375" style="153" customWidth="1"/>
    <col min="2596" max="2596" width="2.75" style="153" customWidth="1"/>
    <col min="2597" max="2598" width="10" style="153" customWidth="1"/>
    <col min="2599" max="2599" width="9.125" style="153" customWidth="1"/>
    <col min="2600" max="2600" width="9.5" style="153" customWidth="1"/>
    <col min="2601" max="2601" width="9.75" style="153" customWidth="1"/>
    <col min="2602" max="2816" width="9" style="153"/>
    <col min="2817" max="2817" width="5.5" style="153" customWidth="1"/>
    <col min="2818" max="2818" width="6.75" style="153" customWidth="1"/>
    <col min="2819" max="2819" width="5.5" style="153" customWidth="1"/>
    <col min="2820" max="2820" width="6.75" style="153" customWidth="1"/>
    <col min="2821" max="2821" width="1.75" style="153" customWidth="1"/>
    <col min="2822" max="2822" width="5.5" style="153" customWidth="1"/>
    <col min="2823" max="2823" width="6.75" style="153" customWidth="1"/>
    <col min="2824" max="2824" width="5.5" style="153" customWidth="1"/>
    <col min="2825" max="2825" width="6.75" style="153" customWidth="1"/>
    <col min="2826" max="2826" width="1.75" style="153" customWidth="1"/>
    <col min="2827" max="2827" width="4.75" style="153" customWidth="1"/>
    <col min="2828" max="2828" width="6.75" style="153" customWidth="1"/>
    <col min="2829" max="2829" width="5.5" style="153" customWidth="1"/>
    <col min="2830" max="2830" width="6.75" style="153" customWidth="1"/>
    <col min="2831" max="2831" width="1.75" style="153" customWidth="1"/>
    <col min="2832" max="2832" width="4.75" style="153" customWidth="1"/>
    <col min="2833" max="2833" width="6.75" style="153" customWidth="1"/>
    <col min="2834" max="2834" width="5.5" style="153" customWidth="1"/>
    <col min="2835" max="2835" width="6.75" style="153" customWidth="1"/>
    <col min="2836" max="2836" width="1.75" style="153" customWidth="1"/>
    <col min="2837" max="2837" width="4.75" style="153" customWidth="1"/>
    <col min="2838" max="2838" width="6.75" style="153" customWidth="1"/>
    <col min="2839" max="2839" width="5.5" style="153" customWidth="1"/>
    <col min="2840" max="2840" width="6.75" style="153" customWidth="1"/>
    <col min="2841" max="2841" width="1.75" style="153" customWidth="1"/>
    <col min="2842" max="2842" width="4.75" style="153" customWidth="1"/>
    <col min="2843" max="2843" width="6.75" style="153" customWidth="1"/>
    <col min="2844" max="2844" width="5.5" style="153" customWidth="1"/>
    <col min="2845" max="2845" width="6.75" style="153" customWidth="1"/>
    <col min="2846" max="2846" width="5" style="153" customWidth="1"/>
    <col min="2847" max="2848" width="11" style="153" customWidth="1"/>
    <col min="2849" max="2849" width="9.5" style="153" customWidth="1"/>
    <col min="2850" max="2850" width="9" style="153"/>
    <col min="2851" max="2851" width="9.375" style="153" customWidth="1"/>
    <col min="2852" max="2852" width="2.75" style="153" customWidth="1"/>
    <col min="2853" max="2854" width="10" style="153" customWidth="1"/>
    <col min="2855" max="2855" width="9.125" style="153" customWidth="1"/>
    <col min="2856" max="2856" width="9.5" style="153" customWidth="1"/>
    <col min="2857" max="2857" width="9.75" style="153" customWidth="1"/>
    <col min="2858" max="3072" width="9" style="153"/>
    <col min="3073" max="3073" width="5.5" style="153" customWidth="1"/>
    <col min="3074" max="3074" width="6.75" style="153" customWidth="1"/>
    <col min="3075" max="3075" width="5.5" style="153" customWidth="1"/>
    <col min="3076" max="3076" width="6.75" style="153" customWidth="1"/>
    <col min="3077" max="3077" width="1.75" style="153" customWidth="1"/>
    <col min="3078" max="3078" width="5.5" style="153" customWidth="1"/>
    <col min="3079" max="3079" width="6.75" style="153" customWidth="1"/>
    <col min="3080" max="3080" width="5.5" style="153" customWidth="1"/>
    <col min="3081" max="3081" width="6.75" style="153" customWidth="1"/>
    <col min="3082" max="3082" width="1.75" style="153" customWidth="1"/>
    <col min="3083" max="3083" width="4.75" style="153" customWidth="1"/>
    <col min="3084" max="3084" width="6.75" style="153" customWidth="1"/>
    <col min="3085" max="3085" width="5.5" style="153" customWidth="1"/>
    <col min="3086" max="3086" width="6.75" style="153" customWidth="1"/>
    <col min="3087" max="3087" width="1.75" style="153" customWidth="1"/>
    <col min="3088" max="3088" width="4.75" style="153" customWidth="1"/>
    <col min="3089" max="3089" width="6.75" style="153" customWidth="1"/>
    <col min="3090" max="3090" width="5.5" style="153" customWidth="1"/>
    <col min="3091" max="3091" width="6.75" style="153" customWidth="1"/>
    <col min="3092" max="3092" width="1.75" style="153" customWidth="1"/>
    <col min="3093" max="3093" width="4.75" style="153" customWidth="1"/>
    <col min="3094" max="3094" width="6.75" style="153" customWidth="1"/>
    <col min="3095" max="3095" width="5.5" style="153" customWidth="1"/>
    <col min="3096" max="3096" width="6.75" style="153" customWidth="1"/>
    <col min="3097" max="3097" width="1.75" style="153" customWidth="1"/>
    <col min="3098" max="3098" width="4.75" style="153" customWidth="1"/>
    <col min="3099" max="3099" width="6.75" style="153" customWidth="1"/>
    <col min="3100" max="3100" width="5.5" style="153" customWidth="1"/>
    <col min="3101" max="3101" width="6.75" style="153" customWidth="1"/>
    <col min="3102" max="3102" width="5" style="153" customWidth="1"/>
    <col min="3103" max="3104" width="11" style="153" customWidth="1"/>
    <col min="3105" max="3105" width="9.5" style="153" customWidth="1"/>
    <col min="3106" max="3106" width="9" style="153"/>
    <col min="3107" max="3107" width="9.375" style="153" customWidth="1"/>
    <col min="3108" max="3108" width="2.75" style="153" customWidth="1"/>
    <col min="3109" max="3110" width="10" style="153" customWidth="1"/>
    <col min="3111" max="3111" width="9.125" style="153" customWidth="1"/>
    <col min="3112" max="3112" width="9.5" style="153" customWidth="1"/>
    <col min="3113" max="3113" width="9.75" style="153" customWidth="1"/>
    <col min="3114" max="3328" width="9" style="153"/>
    <col min="3329" max="3329" width="5.5" style="153" customWidth="1"/>
    <col min="3330" max="3330" width="6.75" style="153" customWidth="1"/>
    <col min="3331" max="3331" width="5.5" style="153" customWidth="1"/>
    <col min="3332" max="3332" width="6.75" style="153" customWidth="1"/>
    <col min="3333" max="3333" width="1.75" style="153" customWidth="1"/>
    <col min="3334" max="3334" width="5.5" style="153" customWidth="1"/>
    <col min="3335" max="3335" width="6.75" style="153" customWidth="1"/>
    <col min="3336" max="3336" width="5.5" style="153" customWidth="1"/>
    <col min="3337" max="3337" width="6.75" style="153" customWidth="1"/>
    <col min="3338" max="3338" width="1.75" style="153" customWidth="1"/>
    <col min="3339" max="3339" width="4.75" style="153" customWidth="1"/>
    <col min="3340" max="3340" width="6.75" style="153" customWidth="1"/>
    <col min="3341" max="3341" width="5.5" style="153" customWidth="1"/>
    <col min="3342" max="3342" width="6.75" style="153" customWidth="1"/>
    <col min="3343" max="3343" width="1.75" style="153" customWidth="1"/>
    <col min="3344" max="3344" width="4.75" style="153" customWidth="1"/>
    <col min="3345" max="3345" width="6.75" style="153" customWidth="1"/>
    <col min="3346" max="3346" width="5.5" style="153" customWidth="1"/>
    <col min="3347" max="3347" width="6.75" style="153" customWidth="1"/>
    <col min="3348" max="3348" width="1.75" style="153" customWidth="1"/>
    <col min="3349" max="3349" width="4.75" style="153" customWidth="1"/>
    <col min="3350" max="3350" width="6.75" style="153" customWidth="1"/>
    <col min="3351" max="3351" width="5.5" style="153" customWidth="1"/>
    <col min="3352" max="3352" width="6.75" style="153" customWidth="1"/>
    <col min="3353" max="3353" width="1.75" style="153" customWidth="1"/>
    <col min="3354" max="3354" width="4.75" style="153" customWidth="1"/>
    <col min="3355" max="3355" width="6.75" style="153" customWidth="1"/>
    <col min="3356" max="3356" width="5.5" style="153" customWidth="1"/>
    <col min="3357" max="3357" width="6.75" style="153" customWidth="1"/>
    <col min="3358" max="3358" width="5" style="153" customWidth="1"/>
    <col min="3359" max="3360" width="11" style="153" customWidth="1"/>
    <col min="3361" max="3361" width="9.5" style="153" customWidth="1"/>
    <col min="3362" max="3362" width="9" style="153"/>
    <col min="3363" max="3363" width="9.375" style="153" customWidth="1"/>
    <col min="3364" max="3364" width="2.75" style="153" customWidth="1"/>
    <col min="3365" max="3366" width="10" style="153" customWidth="1"/>
    <col min="3367" max="3367" width="9.125" style="153" customWidth="1"/>
    <col min="3368" max="3368" width="9.5" style="153" customWidth="1"/>
    <col min="3369" max="3369" width="9.75" style="153" customWidth="1"/>
    <col min="3370" max="3584" width="9" style="153"/>
    <col min="3585" max="3585" width="5.5" style="153" customWidth="1"/>
    <col min="3586" max="3586" width="6.75" style="153" customWidth="1"/>
    <col min="3587" max="3587" width="5.5" style="153" customWidth="1"/>
    <col min="3588" max="3588" width="6.75" style="153" customWidth="1"/>
    <col min="3589" max="3589" width="1.75" style="153" customWidth="1"/>
    <col min="3590" max="3590" width="5.5" style="153" customWidth="1"/>
    <col min="3591" max="3591" width="6.75" style="153" customWidth="1"/>
    <col min="3592" max="3592" width="5.5" style="153" customWidth="1"/>
    <col min="3593" max="3593" width="6.75" style="153" customWidth="1"/>
    <col min="3594" max="3594" width="1.75" style="153" customWidth="1"/>
    <col min="3595" max="3595" width="4.75" style="153" customWidth="1"/>
    <col min="3596" max="3596" width="6.75" style="153" customWidth="1"/>
    <col min="3597" max="3597" width="5.5" style="153" customWidth="1"/>
    <col min="3598" max="3598" width="6.75" style="153" customWidth="1"/>
    <col min="3599" max="3599" width="1.75" style="153" customWidth="1"/>
    <col min="3600" max="3600" width="4.75" style="153" customWidth="1"/>
    <col min="3601" max="3601" width="6.75" style="153" customWidth="1"/>
    <col min="3602" max="3602" width="5.5" style="153" customWidth="1"/>
    <col min="3603" max="3603" width="6.75" style="153" customWidth="1"/>
    <col min="3604" max="3604" width="1.75" style="153" customWidth="1"/>
    <col min="3605" max="3605" width="4.75" style="153" customWidth="1"/>
    <col min="3606" max="3606" width="6.75" style="153" customWidth="1"/>
    <col min="3607" max="3607" width="5.5" style="153" customWidth="1"/>
    <col min="3608" max="3608" width="6.75" style="153" customWidth="1"/>
    <col min="3609" max="3609" width="1.75" style="153" customWidth="1"/>
    <col min="3610" max="3610" width="4.75" style="153" customWidth="1"/>
    <col min="3611" max="3611" width="6.75" style="153" customWidth="1"/>
    <col min="3612" max="3612" width="5.5" style="153" customWidth="1"/>
    <col min="3613" max="3613" width="6.75" style="153" customWidth="1"/>
    <col min="3614" max="3614" width="5" style="153" customWidth="1"/>
    <col min="3615" max="3616" width="11" style="153" customWidth="1"/>
    <col min="3617" max="3617" width="9.5" style="153" customWidth="1"/>
    <col min="3618" max="3618" width="9" style="153"/>
    <col min="3619" max="3619" width="9.375" style="153" customWidth="1"/>
    <col min="3620" max="3620" width="2.75" style="153" customWidth="1"/>
    <col min="3621" max="3622" width="10" style="153" customWidth="1"/>
    <col min="3623" max="3623" width="9.125" style="153" customWidth="1"/>
    <col min="3624" max="3624" width="9.5" style="153" customWidth="1"/>
    <col min="3625" max="3625" width="9.75" style="153" customWidth="1"/>
    <col min="3626" max="3840" width="9" style="153"/>
    <col min="3841" max="3841" width="5.5" style="153" customWidth="1"/>
    <col min="3842" max="3842" width="6.75" style="153" customWidth="1"/>
    <col min="3843" max="3843" width="5.5" style="153" customWidth="1"/>
    <col min="3844" max="3844" width="6.75" style="153" customWidth="1"/>
    <col min="3845" max="3845" width="1.75" style="153" customWidth="1"/>
    <col min="3846" max="3846" width="5.5" style="153" customWidth="1"/>
    <col min="3847" max="3847" width="6.75" style="153" customWidth="1"/>
    <col min="3848" max="3848" width="5.5" style="153" customWidth="1"/>
    <col min="3849" max="3849" width="6.75" style="153" customWidth="1"/>
    <col min="3850" max="3850" width="1.75" style="153" customWidth="1"/>
    <col min="3851" max="3851" width="4.75" style="153" customWidth="1"/>
    <col min="3852" max="3852" width="6.75" style="153" customWidth="1"/>
    <col min="3853" max="3853" width="5.5" style="153" customWidth="1"/>
    <col min="3854" max="3854" width="6.75" style="153" customWidth="1"/>
    <col min="3855" max="3855" width="1.75" style="153" customWidth="1"/>
    <col min="3856" max="3856" width="4.75" style="153" customWidth="1"/>
    <col min="3857" max="3857" width="6.75" style="153" customWidth="1"/>
    <col min="3858" max="3858" width="5.5" style="153" customWidth="1"/>
    <col min="3859" max="3859" width="6.75" style="153" customWidth="1"/>
    <col min="3860" max="3860" width="1.75" style="153" customWidth="1"/>
    <col min="3861" max="3861" width="4.75" style="153" customWidth="1"/>
    <col min="3862" max="3862" width="6.75" style="153" customWidth="1"/>
    <col min="3863" max="3863" width="5.5" style="153" customWidth="1"/>
    <col min="3864" max="3864" width="6.75" style="153" customWidth="1"/>
    <col min="3865" max="3865" width="1.75" style="153" customWidth="1"/>
    <col min="3866" max="3866" width="4.75" style="153" customWidth="1"/>
    <col min="3867" max="3867" width="6.75" style="153" customWidth="1"/>
    <col min="3868" max="3868" width="5.5" style="153" customWidth="1"/>
    <col min="3869" max="3869" width="6.75" style="153" customWidth="1"/>
    <col min="3870" max="3870" width="5" style="153" customWidth="1"/>
    <col min="3871" max="3872" width="11" style="153" customWidth="1"/>
    <col min="3873" max="3873" width="9.5" style="153" customWidth="1"/>
    <col min="3874" max="3874" width="9" style="153"/>
    <col min="3875" max="3875" width="9.375" style="153" customWidth="1"/>
    <col min="3876" max="3876" width="2.75" style="153" customWidth="1"/>
    <col min="3877" max="3878" width="10" style="153" customWidth="1"/>
    <col min="3879" max="3879" width="9.125" style="153" customWidth="1"/>
    <col min="3880" max="3880" width="9.5" style="153" customWidth="1"/>
    <col min="3881" max="3881" width="9.75" style="153" customWidth="1"/>
    <col min="3882" max="4096" width="9" style="153"/>
    <col min="4097" max="4097" width="5.5" style="153" customWidth="1"/>
    <col min="4098" max="4098" width="6.75" style="153" customWidth="1"/>
    <col min="4099" max="4099" width="5.5" style="153" customWidth="1"/>
    <col min="4100" max="4100" width="6.75" style="153" customWidth="1"/>
    <col min="4101" max="4101" width="1.75" style="153" customWidth="1"/>
    <col min="4102" max="4102" width="5.5" style="153" customWidth="1"/>
    <col min="4103" max="4103" width="6.75" style="153" customWidth="1"/>
    <col min="4104" max="4104" width="5.5" style="153" customWidth="1"/>
    <col min="4105" max="4105" width="6.75" style="153" customWidth="1"/>
    <col min="4106" max="4106" width="1.75" style="153" customWidth="1"/>
    <col min="4107" max="4107" width="4.75" style="153" customWidth="1"/>
    <col min="4108" max="4108" width="6.75" style="153" customWidth="1"/>
    <col min="4109" max="4109" width="5.5" style="153" customWidth="1"/>
    <col min="4110" max="4110" width="6.75" style="153" customWidth="1"/>
    <col min="4111" max="4111" width="1.75" style="153" customWidth="1"/>
    <col min="4112" max="4112" width="4.75" style="153" customWidth="1"/>
    <col min="4113" max="4113" width="6.75" style="153" customWidth="1"/>
    <col min="4114" max="4114" width="5.5" style="153" customWidth="1"/>
    <col min="4115" max="4115" width="6.75" style="153" customWidth="1"/>
    <col min="4116" max="4116" width="1.75" style="153" customWidth="1"/>
    <col min="4117" max="4117" width="4.75" style="153" customWidth="1"/>
    <col min="4118" max="4118" width="6.75" style="153" customWidth="1"/>
    <col min="4119" max="4119" width="5.5" style="153" customWidth="1"/>
    <col min="4120" max="4120" width="6.75" style="153" customWidth="1"/>
    <col min="4121" max="4121" width="1.75" style="153" customWidth="1"/>
    <col min="4122" max="4122" width="4.75" style="153" customWidth="1"/>
    <col min="4123" max="4123" width="6.75" style="153" customWidth="1"/>
    <col min="4124" max="4124" width="5.5" style="153" customWidth="1"/>
    <col min="4125" max="4125" width="6.75" style="153" customWidth="1"/>
    <col min="4126" max="4126" width="5" style="153" customWidth="1"/>
    <col min="4127" max="4128" width="11" style="153" customWidth="1"/>
    <col min="4129" max="4129" width="9.5" style="153" customWidth="1"/>
    <col min="4130" max="4130" width="9" style="153"/>
    <col min="4131" max="4131" width="9.375" style="153" customWidth="1"/>
    <col min="4132" max="4132" width="2.75" style="153" customWidth="1"/>
    <col min="4133" max="4134" width="10" style="153" customWidth="1"/>
    <col min="4135" max="4135" width="9.125" style="153" customWidth="1"/>
    <col min="4136" max="4136" width="9.5" style="153" customWidth="1"/>
    <col min="4137" max="4137" width="9.75" style="153" customWidth="1"/>
    <col min="4138" max="4352" width="9" style="153"/>
    <col min="4353" max="4353" width="5.5" style="153" customWidth="1"/>
    <col min="4354" max="4354" width="6.75" style="153" customWidth="1"/>
    <col min="4355" max="4355" width="5.5" style="153" customWidth="1"/>
    <col min="4356" max="4356" width="6.75" style="153" customWidth="1"/>
    <col min="4357" max="4357" width="1.75" style="153" customWidth="1"/>
    <col min="4358" max="4358" width="5.5" style="153" customWidth="1"/>
    <col min="4359" max="4359" width="6.75" style="153" customWidth="1"/>
    <col min="4360" max="4360" width="5.5" style="153" customWidth="1"/>
    <col min="4361" max="4361" width="6.75" style="153" customWidth="1"/>
    <col min="4362" max="4362" width="1.75" style="153" customWidth="1"/>
    <col min="4363" max="4363" width="4.75" style="153" customWidth="1"/>
    <col min="4364" max="4364" width="6.75" style="153" customWidth="1"/>
    <col min="4365" max="4365" width="5.5" style="153" customWidth="1"/>
    <col min="4366" max="4366" width="6.75" style="153" customWidth="1"/>
    <col min="4367" max="4367" width="1.75" style="153" customWidth="1"/>
    <col min="4368" max="4368" width="4.75" style="153" customWidth="1"/>
    <col min="4369" max="4369" width="6.75" style="153" customWidth="1"/>
    <col min="4370" max="4370" width="5.5" style="153" customWidth="1"/>
    <col min="4371" max="4371" width="6.75" style="153" customWidth="1"/>
    <col min="4372" max="4372" width="1.75" style="153" customWidth="1"/>
    <col min="4373" max="4373" width="4.75" style="153" customWidth="1"/>
    <col min="4374" max="4374" width="6.75" style="153" customWidth="1"/>
    <col min="4375" max="4375" width="5.5" style="153" customWidth="1"/>
    <col min="4376" max="4376" width="6.75" style="153" customWidth="1"/>
    <col min="4377" max="4377" width="1.75" style="153" customWidth="1"/>
    <col min="4378" max="4378" width="4.75" style="153" customWidth="1"/>
    <col min="4379" max="4379" width="6.75" style="153" customWidth="1"/>
    <col min="4380" max="4380" width="5.5" style="153" customWidth="1"/>
    <col min="4381" max="4381" width="6.75" style="153" customWidth="1"/>
    <col min="4382" max="4382" width="5" style="153" customWidth="1"/>
    <col min="4383" max="4384" width="11" style="153" customWidth="1"/>
    <col min="4385" max="4385" width="9.5" style="153" customWidth="1"/>
    <col min="4386" max="4386" width="9" style="153"/>
    <col min="4387" max="4387" width="9.375" style="153" customWidth="1"/>
    <col min="4388" max="4388" width="2.75" style="153" customWidth="1"/>
    <col min="4389" max="4390" width="10" style="153" customWidth="1"/>
    <col min="4391" max="4391" width="9.125" style="153" customWidth="1"/>
    <col min="4392" max="4392" width="9.5" style="153" customWidth="1"/>
    <col min="4393" max="4393" width="9.75" style="153" customWidth="1"/>
    <col min="4394" max="4608" width="9" style="153"/>
    <col min="4609" max="4609" width="5.5" style="153" customWidth="1"/>
    <col min="4610" max="4610" width="6.75" style="153" customWidth="1"/>
    <col min="4611" max="4611" width="5.5" style="153" customWidth="1"/>
    <col min="4612" max="4612" width="6.75" style="153" customWidth="1"/>
    <col min="4613" max="4613" width="1.75" style="153" customWidth="1"/>
    <col min="4614" max="4614" width="5.5" style="153" customWidth="1"/>
    <col min="4615" max="4615" width="6.75" style="153" customWidth="1"/>
    <col min="4616" max="4616" width="5.5" style="153" customWidth="1"/>
    <col min="4617" max="4617" width="6.75" style="153" customWidth="1"/>
    <col min="4618" max="4618" width="1.75" style="153" customWidth="1"/>
    <col min="4619" max="4619" width="4.75" style="153" customWidth="1"/>
    <col min="4620" max="4620" width="6.75" style="153" customWidth="1"/>
    <col min="4621" max="4621" width="5.5" style="153" customWidth="1"/>
    <col min="4622" max="4622" width="6.75" style="153" customWidth="1"/>
    <col min="4623" max="4623" width="1.75" style="153" customWidth="1"/>
    <col min="4624" max="4624" width="4.75" style="153" customWidth="1"/>
    <col min="4625" max="4625" width="6.75" style="153" customWidth="1"/>
    <col min="4626" max="4626" width="5.5" style="153" customWidth="1"/>
    <col min="4627" max="4627" width="6.75" style="153" customWidth="1"/>
    <col min="4628" max="4628" width="1.75" style="153" customWidth="1"/>
    <col min="4629" max="4629" width="4.75" style="153" customWidth="1"/>
    <col min="4630" max="4630" width="6.75" style="153" customWidth="1"/>
    <col min="4631" max="4631" width="5.5" style="153" customWidth="1"/>
    <col min="4632" max="4632" width="6.75" style="153" customWidth="1"/>
    <col min="4633" max="4633" width="1.75" style="153" customWidth="1"/>
    <col min="4634" max="4634" width="4.75" style="153" customWidth="1"/>
    <col min="4635" max="4635" width="6.75" style="153" customWidth="1"/>
    <col min="4636" max="4636" width="5.5" style="153" customWidth="1"/>
    <col min="4637" max="4637" width="6.75" style="153" customWidth="1"/>
    <col min="4638" max="4638" width="5" style="153" customWidth="1"/>
    <col min="4639" max="4640" width="11" style="153" customWidth="1"/>
    <col min="4641" max="4641" width="9.5" style="153" customWidth="1"/>
    <col min="4642" max="4642" width="9" style="153"/>
    <col min="4643" max="4643" width="9.375" style="153" customWidth="1"/>
    <col min="4644" max="4644" width="2.75" style="153" customWidth="1"/>
    <col min="4645" max="4646" width="10" style="153" customWidth="1"/>
    <col min="4647" max="4647" width="9.125" style="153" customWidth="1"/>
    <col min="4648" max="4648" width="9.5" style="153" customWidth="1"/>
    <col min="4649" max="4649" width="9.75" style="153" customWidth="1"/>
    <col min="4650" max="4864" width="9" style="153"/>
    <col min="4865" max="4865" width="5.5" style="153" customWidth="1"/>
    <col min="4866" max="4866" width="6.75" style="153" customWidth="1"/>
    <col min="4867" max="4867" width="5.5" style="153" customWidth="1"/>
    <col min="4868" max="4868" width="6.75" style="153" customWidth="1"/>
    <col min="4869" max="4869" width="1.75" style="153" customWidth="1"/>
    <col min="4870" max="4870" width="5.5" style="153" customWidth="1"/>
    <col min="4871" max="4871" width="6.75" style="153" customWidth="1"/>
    <col min="4872" max="4872" width="5.5" style="153" customWidth="1"/>
    <col min="4873" max="4873" width="6.75" style="153" customWidth="1"/>
    <col min="4874" max="4874" width="1.75" style="153" customWidth="1"/>
    <col min="4875" max="4875" width="4.75" style="153" customWidth="1"/>
    <col min="4876" max="4876" width="6.75" style="153" customWidth="1"/>
    <col min="4877" max="4877" width="5.5" style="153" customWidth="1"/>
    <col min="4878" max="4878" width="6.75" style="153" customWidth="1"/>
    <col min="4879" max="4879" width="1.75" style="153" customWidth="1"/>
    <col min="4880" max="4880" width="4.75" style="153" customWidth="1"/>
    <col min="4881" max="4881" width="6.75" style="153" customWidth="1"/>
    <col min="4882" max="4882" width="5.5" style="153" customWidth="1"/>
    <col min="4883" max="4883" width="6.75" style="153" customWidth="1"/>
    <col min="4884" max="4884" width="1.75" style="153" customWidth="1"/>
    <col min="4885" max="4885" width="4.75" style="153" customWidth="1"/>
    <col min="4886" max="4886" width="6.75" style="153" customWidth="1"/>
    <col min="4887" max="4887" width="5.5" style="153" customWidth="1"/>
    <col min="4888" max="4888" width="6.75" style="153" customWidth="1"/>
    <col min="4889" max="4889" width="1.75" style="153" customWidth="1"/>
    <col min="4890" max="4890" width="4.75" style="153" customWidth="1"/>
    <col min="4891" max="4891" width="6.75" style="153" customWidth="1"/>
    <col min="4892" max="4892" width="5.5" style="153" customWidth="1"/>
    <col min="4893" max="4893" width="6.75" style="153" customWidth="1"/>
    <col min="4894" max="4894" width="5" style="153" customWidth="1"/>
    <col min="4895" max="4896" width="11" style="153" customWidth="1"/>
    <col min="4897" max="4897" width="9.5" style="153" customWidth="1"/>
    <col min="4898" max="4898" width="9" style="153"/>
    <col min="4899" max="4899" width="9.375" style="153" customWidth="1"/>
    <col min="4900" max="4900" width="2.75" style="153" customWidth="1"/>
    <col min="4901" max="4902" width="10" style="153" customWidth="1"/>
    <col min="4903" max="4903" width="9.125" style="153" customWidth="1"/>
    <col min="4904" max="4904" width="9.5" style="153" customWidth="1"/>
    <col min="4905" max="4905" width="9.75" style="153" customWidth="1"/>
    <col min="4906" max="5120" width="9" style="153"/>
    <col min="5121" max="5121" width="5.5" style="153" customWidth="1"/>
    <col min="5122" max="5122" width="6.75" style="153" customWidth="1"/>
    <col min="5123" max="5123" width="5.5" style="153" customWidth="1"/>
    <col min="5124" max="5124" width="6.75" style="153" customWidth="1"/>
    <col min="5125" max="5125" width="1.75" style="153" customWidth="1"/>
    <col min="5126" max="5126" width="5.5" style="153" customWidth="1"/>
    <col min="5127" max="5127" width="6.75" style="153" customWidth="1"/>
    <col min="5128" max="5128" width="5.5" style="153" customWidth="1"/>
    <col min="5129" max="5129" width="6.75" style="153" customWidth="1"/>
    <col min="5130" max="5130" width="1.75" style="153" customWidth="1"/>
    <col min="5131" max="5131" width="4.75" style="153" customWidth="1"/>
    <col min="5132" max="5132" width="6.75" style="153" customWidth="1"/>
    <col min="5133" max="5133" width="5.5" style="153" customWidth="1"/>
    <col min="5134" max="5134" width="6.75" style="153" customWidth="1"/>
    <col min="5135" max="5135" width="1.75" style="153" customWidth="1"/>
    <col min="5136" max="5136" width="4.75" style="153" customWidth="1"/>
    <col min="5137" max="5137" width="6.75" style="153" customWidth="1"/>
    <col min="5138" max="5138" width="5.5" style="153" customWidth="1"/>
    <col min="5139" max="5139" width="6.75" style="153" customWidth="1"/>
    <col min="5140" max="5140" width="1.75" style="153" customWidth="1"/>
    <col min="5141" max="5141" width="4.75" style="153" customWidth="1"/>
    <col min="5142" max="5142" width="6.75" style="153" customWidth="1"/>
    <col min="5143" max="5143" width="5.5" style="153" customWidth="1"/>
    <col min="5144" max="5144" width="6.75" style="153" customWidth="1"/>
    <col min="5145" max="5145" width="1.75" style="153" customWidth="1"/>
    <col min="5146" max="5146" width="4.75" style="153" customWidth="1"/>
    <col min="5147" max="5147" width="6.75" style="153" customWidth="1"/>
    <col min="5148" max="5148" width="5.5" style="153" customWidth="1"/>
    <col min="5149" max="5149" width="6.75" style="153" customWidth="1"/>
    <col min="5150" max="5150" width="5" style="153" customWidth="1"/>
    <col min="5151" max="5152" width="11" style="153" customWidth="1"/>
    <col min="5153" max="5153" width="9.5" style="153" customWidth="1"/>
    <col min="5154" max="5154" width="9" style="153"/>
    <col min="5155" max="5155" width="9.375" style="153" customWidth="1"/>
    <col min="5156" max="5156" width="2.75" style="153" customWidth="1"/>
    <col min="5157" max="5158" width="10" style="153" customWidth="1"/>
    <col min="5159" max="5159" width="9.125" style="153" customWidth="1"/>
    <col min="5160" max="5160" width="9.5" style="153" customWidth="1"/>
    <col min="5161" max="5161" width="9.75" style="153" customWidth="1"/>
    <col min="5162" max="5376" width="9" style="153"/>
    <col min="5377" max="5377" width="5.5" style="153" customWidth="1"/>
    <col min="5378" max="5378" width="6.75" style="153" customWidth="1"/>
    <col min="5379" max="5379" width="5.5" style="153" customWidth="1"/>
    <col min="5380" max="5380" width="6.75" style="153" customWidth="1"/>
    <col min="5381" max="5381" width="1.75" style="153" customWidth="1"/>
    <col min="5382" max="5382" width="5.5" style="153" customWidth="1"/>
    <col min="5383" max="5383" width="6.75" style="153" customWidth="1"/>
    <col min="5384" max="5384" width="5.5" style="153" customWidth="1"/>
    <col min="5385" max="5385" width="6.75" style="153" customWidth="1"/>
    <col min="5386" max="5386" width="1.75" style="153" customWidth="1"/>
    <col min="5387" max="5387" width="4.75" style="153" customWidth="1"/>
    <col min="5388" max="5388" width="6.75" style="153" customWidth="1"/>
    <col min="5389" max="5389" width="5.5" style="153" customWidth="1"/>
    <col min="5390" max="5390" width="6.75" style="153" customWidth="1"/>
    <col min="5391" max="5391" width="1.75" style="153" customWidth="1"/>
    <col min="5392" max="5392" width="4.75" style="153" customWidth="1"/>
    <col min="5393" max="5393" width="6.75" style="153" customWidth="1"/>
    <col min="5394" max="5394" width="5.5" style="153" customWidth="1"/>
    <col min="5395" max="5395" width="6.75" style="153" customWidth="1"/>
    <col min="5396" max="5396" width="1.75" style="153" customWidth="1"/>
    <col min="5397" max="5397" width="4.75" style="153" customWidth="1"/>
    <col min="5398" max="5398" width="6.75" style="153" customWidth="1"/>
    <col min="5399" max="5399" width="5.5" style="153" customWidth="1"/>
    <col min="5400" max="5400" width="6.75" style="153" customWidth="1"/>
    <col min="5401" max="5401" width="1.75" style="153" customWidth="1"/>
    <col min="5402" max="5402" width="4.75" style="153" customWidth="1"/>
    <col min="5403" max="5403" width="6.75" style="153" customWidth="1"/>
    <col min="5404" max="5404" width="5.5" style="153" customWidth="1"/>
    <col min="5405" max="5405" width="6.75" style="153" customWidth="1"/>
    <col min="5406" max="5406" width="5" style="153" customWidth="1"/>
    <col min="5407" max="5408" width="11" style="153" customWidth="1"/>
    <col min="5409" max="5409" width="9.5" style="153" customWidth="1"/>
    <col min="5410" max="5410" width="9" style="153"/>
    <col min="5411" max="5411" width="9.375" style="153" customWidth="1"/>
    <col min="5412" max="5412" width="2.75" style="153" customWidth="1"/>
    <col min="5413" max="5414" width="10" style="153" customWidth="1"/>
    <col min="5415" max="5415" width="9.125" style="153" customWidth="1"/>
    <col min="5416" max="5416" width="9.5" style="153" customWidth="1"/>
    <col min="5417" max="5417" width="9.75" style="153" customWidth="1"/>
    <col min="5418" max="5632" width="9" style="153"/>
    <col min="5633" max="5633" width="5.5" style="153" customWidth="1"/>
    <col min="5634" max="5634" width="6.75" style="153" customWidth="1"/>
    <col min="5635" max="5635" width="5.5" style="153" customWidth="1"/>
    <col min="5636" max="5636" width="6.75" style="153" customWidth="1"/>
    <col min="5637" max="5637" width="1.75" style="153" customWidth="1"/>
    <col min="5638" max="5638" width="5.5" style="153" customWidth="1"/>
    <col min="5639" max="5639" width="6.75" style="153" customWidth="1"/>
    <col min="5640" max="5640" width="5.5" style="153" customWidth="1"/>
    <col min="5641" max="5641" width="6.75" style="153" customWidth="1"/>
    <col min="5642" max="5642" width="1.75" style="153" customWidth="1"/>
    <col min="5643" max="5643" width="4.75" style="153" customWidth="1"/>
    <col min="5644" max="5644" width="6.75" style="153" customWidth="1"/>
    <col min="5645" max="5645" width="5.5" style="153" customWidth="1"/>
    <col min="5646" max="5646" width="6.75" style="153" customWidth="1"/>
    <col min="5647" max="5647" width="1.75" style="153" customWidth="1"/>
    <col min="5648" max="5648" width="4.75" style="153" customWidth="1"/>
    <col min="5649" max="5649" width="6.75" style="153" customWidth="1"/>
    <col min="5650" max="5650" width="5.5" style="153" customWidth="1"/>
    <col min="5651" max="5651" width="6.75" style="153" customWidth="1"/>
    <col min="5652" max="5652" width="1.75" style="153" customWidth="1"/>
    <col min="5653" max="5653" width="4.75" style="153" customWidth="1"/>
    <col min="5654" max="5654" width="6.75" style="153" customWidth="1"/>
    <col min="5655" max="5655" width="5.5" style="153" customWidth="1"/>
    <col min="5656" max="5656" width="6.75" style="153" customWidth="1"/>
    <col min="5657" max="5657" width="1.75" style="153" customWidth="1"/>
    <col min="5658" max="5658" width="4.75" style="153" customWidth="1"/>
    <col min="5659" max="5659" width="6.75" style="153" customWidth="1"/>
    <col min="5660" max="5660" width="5.5" style="153" customWidth="1"/>
    <col min="5661" max="5661" width="6.75" style="153" customWidth="1"/>
    <col min="5662" max="5662" width="5" style="153" customWidth="1"/>
    <col min="5663" max="5664" width="11" style="153" customWidth="1"/>
    <col min="5665" max="5665" width="9.5" style="153" customWidth="1"/>
    <col min="5666" max="5666" width="9" style="153"/>
    <col min="5667" max="5667" width="9.375" style="153" customWidth="1"/>
    <col min="5668" max="5668" width="2.75" style="153" customWidth="1"/>
    <col min="5669" max="5670" width="10" style="153" customWidth="1"/>
    <col min="5671" max="5671" width="9.125" style="153" customWidth="1"/>
    <col min="5672" max="5672" width="9.5" style="153" customWidth="1"/>
    <col min="5673" max="5673" width="9.75" style="153" customWidth="1"/>
    <col min="5674" max="5888" width="9" style="153"/>
    <col min="5889" max="5889" width="5.5" style="153" customWidth="1"/>
    <col min="5890" max="5890" width="6.75" style="153" customWidth="1"/>
    <col min="5891" max="5891" width="5.5" style="153" customWidth="1"/>
    <col min="5892" max="5892" width="6.75" style="153" customWidth="1"/>
    <col min="5893" max="5893" width="1.75" style="153" customWidth="1"/>
    <col min="5894" max="5894" width="5.5" style="153" customWidth="1"/>
    <col min="5895" max="5895" width="6.75" style="153" customWidth="1"/>
    <col min="5896" max="5896" width="5.5" style="153" customWidth="1"/>
    <col min="5897" max="5897" width="6.75" style="153" customWidth="1"/>
    <col min="5898" max="5898" width="1.75" style="153" customWidth="1"/>
    <col min="5899" max="5899" width="4.75" style="153" customWidth="1"/>
    <col min="5900" max="5900" width="6.75" style="153" customWidth="1"/>
    <col min="5901" max="5901" width="5.5" style="153" customWidth="1"/>
    <col min="5902" max="5902" width="6.75" style="153" customWidth="1"/>
    <col min="5903" max="5903" width="1.75" style="153" customWidth="1"/>
    <col min="5904" max="5904" width="4.75" style="153" customWidth="1"/>
    <col min="5905" max="5905" width="6.75" style="153" customWidth="1"/>
    <col min="5906" max="5906" width="5.5" style="153" customWidth="1"/>
    <col min="5907" max="5907" width="6.75" style="153" customWidth="1"/>
    <col min="5908" max="5908" width="1.75" style="153" customWidth="1"/>
    <col min="5909" max="5909" width="4.75" style="153" customWidth="1"/>
    <col min="5910" max="5910" width="6.75" style="153" customWidth="1"/>
    <col min="5911" max="5911" width="5.5" style="153" customWidth="1"/>
    <col min="5912" max="5912" width="6.75" style="153" customWidth="1"/>
    <col min="5913" max="5913" width="1.75" style="153" customWidth="1"/>
    <col min="5914" max="5914" width="4.75" style="153" customWidth="1"/>
    <col min="5915" max="5915" width="6.75" style="153" customWidth="1"/>
    <col min="5916" max="5916" width="5.5" style="153" customWidth="1"/>
    <col min="5917" max="5917" width="6.75" style="153" customWidth="1"/>
    <col min="5918" max="5918" width="5" style="153" customWidth="1"/>
    <col min="5919" max="5920" width="11" style="153" customWidth="1"/>
    <col min="5921" max="5921" width="9.5" style="153" customWidth="1"/>
    <col min="5922" max="5922" width="9" style="153"/>
    <col min="5923" max="5923" width="9.375" style="153" customWidth="1"/>
    <col min="5924" max="5924" width="2.75" style="153" customWidth="1"/>
    <col min="5925" max="5926" width="10" style="153" customWidth="1"/>
    <col min="5927" max="5927" width="9.125" style="153" customWidth="1"/>
    <col min="5928" max="5928" width="9.5" style="153" customWidth="1"/>
    <col min="5929" max="5929" width="9.75" style="153" customWidth="1"/>
    <col min="5930" max="6144" width="9" style="153"/>
    <col min="6145" max="6145" width="5.5" style="153" customWidth="1"/>
    <col min="6146" max="6146" width="6.75" style="153" customWidth="1"/>
    <col min="6147" max="6147" width="5.5" style="153" customWidth="1"/>
    <col min="6148" max="6148" width="6.75" style="153" customWidth="1"/>
    <col min="6149" max="6149" width="1.75" style="153" customWidth="1"/>
    <col min="6150" max="6150" width="5.5" style="153" customWidth="1"/>
    <col min="6151" max="6151" width="6.75" style="153" customWidth="1"/>
    <col min="6152" max="6152" width="5.5" style="153" customWidth="1"/>
    <col min="6153" max="6153" width="6.75" style="153" customWidth="1"/>
    <col min="6154" max="6154" width="1.75" style="153" customWidth="1"/>
    <col min="6155" max="6155" width="4.75" style="153" customWidth="1"/>
    <col min="6156" max="6156" width="6.75" style="153" customWidth="1"/>
    <col min="6157" max="6157" width="5.5" style="153" customWidth="1"/>
    <col min="6158" max="6158" width="6.75" style="153" customWidth="1"/>
    <col min="6159" max="6159" width="1.75" style="153" customWidth="1"/>
    <col min="6160" max="6160" width="4.75" style="153" customWidth="1"/>
    <col min="6161" max="6161" width="6.75" style="153" customWidth="1"/>
    <col min="6162" max="6162" width="5.5" style="153" customWidth="1"/>
    <col min="6163" max="6163" width="6.75" style="153" customWidth="1"/>
    <col min="6164" max="6164" width="1.75" style="153" customWidth="1"/>
    <col min="6165" max="6165" width="4.75" style="153" customWidth="1"/>
    <col min="6166" max="6166" width="6.75" style="153" customWidth="1"/>
    <col min="6167" max="6167" width="5.5" style="153" customWidth="1"/>
    <col min="6168" max="6168" width="6.75" style="153" customWidth="1"/>
    <col min="6169" max="6169" width="1.75" style="153" customWidth="1"/>
    <col min="6170" max="6170" width="4.75" style="153" customWidth="1"/>
    <col min="6171" max="6171" width="6.75" style="153" customWidth="1"/>
    <col min="6172" max="6172" width="5.5" style="153" customWidth="1"/>
    <col min="6173" max="6173" width="6.75" style="153" customWidth="1"/>
    <col min="6174" max="6174" width="5" style="153" customWidth="1"/>
    <col min="6175" max="6176" width="11" style="153" customWidth="1"/>
    <col min="6177" max="6177" width="9.5" style="153" customWidth="1"/>
    <col min="6178" max="6178" width="9" style="153"/>
    <col min="6179" max="6179" width="9.375" style="153" customWidth="1"/>
    <col min="6180" max="6180" width="2.75" style="153" customWidth="1"/>
    <col min="6181" max="6182" width="10" style="153" customWidth="1"/>
    <col min="6183" max="6183" width="9.125" style="153" customWidth="1"/>
    <col min="6184" max="6184" width="9.5" style="153" customWidth="1"/>
    <col min="6185" max="6185" width="9.75" style="153" customWidth="1"/>
    <col min="6186" max="6400" width="9" style="153"/>
    <col min="6401" max="6401" width="5.5" style="153" customWidth="1"/>
    <col min="6402" max="6402" width="6.75" style="153" customWidth="1"/>
    <col min="6403" max="6403" width="5.5" style="153" customWidth="1"/>
    <col min="6404" max="6404" width="6.75" style="153" customWidth="1"/>
    <col min="6405" max="6405" width="1.75" style="153" customWidth="1"/>
    <col min="6406" max="6406" width="5.5" style="153" customWidth="1"/>
    <col min="6407" max="6407" width="6.75" style="153" customWidth="1"/>
    <col min="6408" max="6408" width="5.5" style="153" customWidth="1"/>
    <col min="6409" max="6409" width="6.75" style="153" customWidth="1"/>
    <col min="6410" max="6410" width="1.75" style="153" customWidth="1"/>
    <col min="6411" max="6411" width="4.75" style="153" customWidth="1"/>
    <col min="6412" max="6412" width="6.75" style="153" customWidth="1"/>
    <col min="6413" max="6413" width="5.5" style="153" customWidth="1"/>
    <col min="6414" max="6414" width="6.75" style="153" customWidth="1"/>
    <col min="6415" max="6415" width="1.75" style="153" customWidth="1"/>
    <col min="6416" max="6416" width="4.75" style="153" customWidth="1"/>
    <col min="6417" max="6417" width="6.75" style="153" customWidth="1"/>
    <col min="6418" max="6418" width="5.5" style="153" customWidth="1"/>
    <col min="6419" max="6419" width="6.75" style="153" customWidth="1"/>
    <col min="6420" max="6420" width="1.75" style="153" customWidth="1"/>
    <col min="6421" max="6421" width="4.75" style="153" customWidth="1"/>
    <col min="6422" max="6422" width="6.75" style="153" customWidth="1"/>
    <col min="6423" max="6423" width="5.5" style="153" customWidth="1"/>
    <col min="6424" max="6424" width="6.75" style="153" customWidth="1"/>
    <col min="6425" max="6425" width="1.75" style="153" customWidth="1"/>
    <col min="6426" max="6426" width="4.75" style="153" customWidth="1"/>
    <col min="6427" max="6427" width="6.75" style="153" customWidth="1"/>
    <col min="6428" max="6428" width="5.5" style="153" customWidth="1"/>
    <col min="6429" max="6429" width="6.75" style="153" customWidth="1"/>
    <col min="6430" max="6430" width="5" style="153" customWidth="1"/>
    <col min="6431" max="6432" width="11" style="153" customWidth="1"/>
    <col min="6433" max="6433" width="9.5" style="153" customWidth="1"/>
    <col min="6434" max="6434" width="9" style="153"/>
    <col min="6435" max="6435" width="9.375" style="153" customWidth="1"/>
    <col min="6436" max="6436" width="2.75" style="153" customWidth="1"/>
    <col min="6437" max="6438" width="10" style="153" customWidth="1"/>
    <col min="6439" max="6439" width="9.125" style="153" customWidth="1"/>
    <col min="6440" max="6440" width="9.5" style="153" customWidth="1"/>
    <col min="6441" max="6441" width="9.75" style="153" customWidth="1"/>
    <col min="6442" max="6656" width="9" style="153"/>
    <col min="6657" max="6657" width="5.5" style="153" customWidth="1"/>
    <col min="6658" max="6658" width="6.75" style="153" customWidth="1"/>
    <col min="6659" max="6659" width="5.5" style="153" customWidth="1"/>
    <col min="6660" max="6660" width="6.75" style="153" customWidth="1"/>
    <col min="6661" max="6661" width="1.75" style="153" customWidth="1"/>
    <col min="6662" max="6662" width="5.5" style="153" customWidth="1"/>
    <col min="6663" max="6663" width="6.75" style="153" customWidth="1"/>
    <col min="6664" max="6664" width="5.5" style="153" customWidth="1"/>
    <col min="6665" max="6665" width="6.75" style="153" customWidth="1"/>
    <col min="6666" max="6666" width="1.75" style="153" customWidth="1"/>
    <col min="6667" max="6667" width="4.75" style="153" customWidth="1"/>
    <col min="6668" max="6668" width="6.75" style="153" customWidth="1"/>
    <col min="6669" max="6669" width="5.5" style="153" customWidth="1"/>
    <col min="6670" max="6670" width="6.75" style="153" customWidth="1"/>
    <col min="6671" max="6671" width="1.75" style="153" customWidth="1"/>
    <col min="6672" max="6672" width="4.75" style="153" customWidth="1"/>
    <col min="6673" max="6673" width="6.75" style="153" customWidth="1"/>
    <col min="6674" max="6674" width="5.5" style="153" customWidth="1"/>
    <col min="6675" max="6675" width="6.75" style="153" customWidth="1"/>
    <col min="6676" max="6676" width="1.75" style="153" customWidth="1"/>
    <col min="6677" max="6677" width="4.75" style="153" customWidth="1"/>
    <col min="6678" max="6678" width="6.75" style="153" customWidth="1"/>
    <col min="6679" max="6679" width="5.5" style="153" customWidth="1"/>
    <col min="6680" max="6680" width="6.75" style="153" customWidth="1"/>
    <col min="6681" max="6681" width="1.75" style="153" customWidth="1"/>
    <col min="6682" max="6682" width="4.75" style="153" customWidth="1"/>
    <col min="6683" max="6683" width="6.75" style="153" customWidth="1"/>
    <col min="6684" max="6684" width="5.5" style="153" customWidth="1"/>
    <col min="6685" max="6685" width="6.75" style="153" customWidth="1"/>
    <col min="6686" max="6686" width="5" style="153" customWidth="1"/>
    <col min="6687" max="6688" width="11" style="153" customWidth="1"/>
    <col min="6689" max="6689" width="9.5" style="153" customWidth="1"/>
    <col min="6690" max="6690" width="9" style="153"/>
    <col min="6691" max="6691" width="9.375" style="153" customWidth="1"/>
    <col min="6692" max="6692" width="2.75" style="153" customWidth="1"/>
    <col min="6693" max="6694" width="10" style="153" customWidth="1"/>
    <col min="6695" max="6695" width="9.125" style="153" customWidth="1"/>
    <col min="6696" max="6696" width="9.5" style="153" customWidth="1"/>
    <col min="6697" max="6697" width="9.75" style="153" customWidth="1"/>
    <col min="6698" max="6912" width="9" style="153"/>
    <col min="6913" max="6913" width="5.5" style="153" customWidth="1"/>
    <col min="6914" max="6914" width="6.75" style="153" customWidth="1"/>
    <col min="6915" max="6915" width="5.5" style="153" customWidth="1"/>
    <col min="6916" max="6916" width="6.75" style="153" customWidth="1"/>
    <col min="6917" max="6917" width="1.75" style="153" customWidth="1"/>
    <col min="6918" max="6918" width="5.5" style="153" customWidth="1"/>
    <col min="6919" max="6919" width="6.75" style="153" customWidth="1"/>
    <col min="6920" max="6920" width="5.5" style="153" customWidth="1"/>
    <col min="6921" max="6921" width="6.75" style="153" customWidth="1"/>
    <col min="6922" max="6922" width="1.75" style="153" customWidth="1"/>
    <col min="6923" max="6923" width="4.75" style="153" customWidth="1"/>
    <col min="6924" max="6924" width="6.75" style="153" customWidth="1"/>
    <col min="6925" max="6925" width="5.5" style="153" customWidth="1"/>
    <col min="6926" max="6926" width="6.75" style="153" customWidth="1"/>
    <col min="6927" max="6927" width="1.75" style="153" customWidth="1"/>
    <col min="6928" max="6928" width="4.75" style="153" customWidth="1"/>
    <col min="6929" max="6929" width="6.75" style="153" customWidth="1"/>
    <col min="6930" max="6930" width="5.5" style="153" customWidth="1"/>
    <col min="6931" max="6931" width="6.75" style="153" customWidth="1"/>
    <col min="6932" max="6932" width="1.75" style="153" customWidth="1"/>
    <col min="6933" max="6933" width="4.75" style="153" customWidth="1"/>
    <col min="6934" max="6934" width="6.75" style="153" customWidth="1"/>
    <col min="6935" max="6935" width="5.5" style="153" customWidth="1"/>
    <col min="6936" max="6936" width="6.75" style="153" customWidth="1"/>
    <col min="6937" max="6937" width="1.75" style="153" customWidth="1"/>
    <col min="6938" max="6938" width="4.75" style="153" customWidth="1"/>
    <col min="6939" max="6939" width="6.75" style="153" customWidth="1"/>
    <col min="6940" max="6940" width="5.5" style="153" customWidth="1"/>
    <col min="6941" max="6941" width="6.75" style="153" customWidth="1"/>
    <col min="6942" max="6942" width="5" style="153" customWidth="1"/>
    <col min="6943" max="6944" width="11" style="153" customWidth="1"/>
    <col min="6945" max="6945" width="9.5" style="153" customWidth="1"/>
    <col min="6946" max="6946" width="9" style="153"/>
    <col min="6947" max="6947" width="9.375" style="153" customWidth="1"/>
    <col min="6948" max="6948" width="2.75" style="153" customWidth="1"/>
    <col min="6949" max="6950" width="10" style="153" customWidth="1"/>
    <col min="6951" max="6951" width="9.125" style="153" customWidth="1"/>
    <col min="6952" max="6952" width="9.5" style="153" customWidth="1"/>
    <col min="6953" max="6953" width="9.75" style="153" customWidth="1"/>
    <col min="6954" max="7168" width="9" style="153"/>
    <col min="7169" max="7169" width="5.5" style="153" customWidth="1"/>
    <col min="7170" max="7170" width="6.75" style="153" customWidth="1"/>
    <col min="7171" max="7171" width="5.5" style="153" customWidth="1"/>
    <col min="7172" max="7172" width="6.75" style="153" customWidth="1"/>
    <col min="7173" max="7173" width="1.75" style="153" customWidth="1"/>
    <col min="7174" max="7174" width="5.5" style="153" customWidth="1"/>
    <col min="7175" max="7175" width="6.75" style="153" customWidth="1"/>
    <col min="7176" max="7176" width="5.5" style="153" customWidth="1"/>
    <col min="7177" max="7177" width="6.75" style="153" customWidth="1"/>
    <col min="7178" max="7178" width="1.75" style="153" customWidth="1"/>
    <col min="7179" max="7179" width="4.75" style="153" customWidth="1"/>
    <col min="7180" max="7180" width="6.75" style="153" customWidth="1"/>
    <col min="7181" max="7181" width="5.5" style="153" customWidth="1"/>
    <col min="7182" max="7182" width="6.75" style="153" customWidth="1"/>
    <col min="7183" max="7183" width="1.75" style="153" customWidth="1"/>
    <col min="7184" max="7184" width="4.75" style="153" customWidth="1"/>
    <col min="7185" max="7185" width="6.75" style="153" customWidth="1"/>
    <col min="7186" max="7186" width="5.5" style="153" customWidth="1"/>
    <col min="7187" max="7187" width="6.75" style="153" customWidth="1"/>
    <col min="7188" max="7188" width="1.75" style="153" customWidth="1"/>
    <col min="7189" max="7189" width="4.75" style="153" customWidth="1"/>
    <col min="7190" max="7190" width="6.75" style="153" customWidth="1"/>
    <col min="7191" max="7191" width="5.5" style="153" customWidth="1"/>
    <col min="7192" max="7192" width="6.75" style="153" customWidth="1"/>
    <col min="7193" max="7193" width="1.75" style="153" customWidth="1"/>
    <col min="7194" max="7194" width="4.75" style="153" customWidth="1"/>
    <col min="7195" max="7195" width="6.75" style="153" customWidth="1"/>
    <col min="7196" max="7196" width="5.5" style="153" customWidth="1"/>
    <col min="7197" max="7197" width="6.75" style="153" customWidth="1"/>
    <col min="7198" max="7198" width="5" style="153" customWidth="1"/>
    <col min="7199" max="7200" width="11" style="153" customWidth="1"/>
    <col min="7201" max="7201" width="9.5" style="153" customWidth="1"/>
    <col min="7202" max="7202" width="9" style="153"/>
    <col min="7203" max="7203" width="9.375" style="153" customWidth="1"/>
    <col min="7204" max="7204" width="2.75" style="153" customWidth="1"/>
    <col min="7205" max="7206" width="10" style="153" customWidth="1"/>
    <col min="7207" max="7207" width="9.125" style="153" customWidth="1"/>
    <col min="7208" max="7208" width="9.5" style="153" customWidth="1"/>
    <col min="7209" max="7209" width="9.75" style="153" customWidth="1"/>
    <col min="7210" max="7424" width="9" style="153"/>
    <col min="7425" max="7425" width="5.5" style="153" customWidth="1"/>
    <col min="7426" max="7426" width="6.75" style="153" customWidth="1"/>
    <col min="7427" max="7427" width="5.5" style="153" customWidth="1"/>
    <col min="7428" max="7428" width="6.75" style="153" customWidth="1"/>
    <col min="7429" max="7429" width="1.75" style="153" customWidth="1"/>
    <col min="7430" max="7430" width="5.5" style="153" customWidth="1"/>
    <col min="7431" max="7431" width="6.75" style="153" customWidth="1"/>
    <col min="7432" max="7432" width="5.5" style="153" customWidth="1"/>
    <col min="7433" max="7433" width="6.75" style="153" customWidth="1"/>
    <col min="7434" max="7434" width="1.75" style="153" customWidth="1"/>
    <col min="7435" max="7435" width="4.75" style="153" customWidth="1"/>
    <col min="7436" max="7436" width="6.75" style="153" customWidth="1"/>
    <col min="7437" max="7437" width="5.5" style="153" customWidth="1"/>
    <col min="7438" max="7438" width="6.75" style="153" customWidth="1"/>
    <col min="7439" max="7439" width="1.75" style="153" customWidth="1"/>
    <col min="7440" max="7440" width="4.75" style="153" customWidth="1"/>
    <col min="7441" max="7441" width="6.75" style="153" customWidth="1"/>
    <col min="7442" max="7442" width="5.5" style="153" customWidth="1"/>
    <col min="7443" max="7443" width="6.75" style="153" customWidth="1"/>
    <col min="7444" max="7444" width="1.75" style="153" customWidth="1"/>
    <col min="7445" max="7445" width="4.75" style="153" customWidth="1"/>
    <col min="7446" max="7446" width="6.75" style="153" customWidth="1"/>
    <col min="7447" max="7447" width="5.5" style="153" customWidth="1"/>
    <col min="7448" max="7448" width="6.75" style="153" customWidth="1"/>
    <col min="7449" max="7449" width="1.75" style="153" customWidth="1"/>
    <col min="7450" max="7450" width="4.75" style="153" customWidth="1"/>
    <col min="7451" max="7451" width="6.75" style="153" customWidth="1"/>
    <col min="7452" max="7452" width="5.5" style="153" customWidth="1"/>
    <col min="7453" max="7453" width="6.75" style="153" customWidth="1"/>
    <col min="7454" max="7454" width="5" style="153" customWidth="1"/>
    <col min="7455" max="7456" width="11" style="153" customWidth="1"/>
    <col min="7457" max="7457" width="9.5" style="153" customWidth="1"/>
    <col min="7458" max="7458" width="9" style="153"/>
    <col min="7459" max="7459" width="9.375" style="153" customWidth="1"/>
    <col min="7460" max="7460" width="2.75" style="153" customWidth="1"/>
    <col min="7461" max="7462" width="10" style="153" customWidth="1"/>
    <col min="7463" max="7463" width="9.125" style="153" customWidth="1"/>
    <col min="7464" max="7464" width="9.5" style="153" customWidth="1"/>
    <col min="7465" max="7465" width="9.75" style="153" customWidth="1"/>
    <col min="7466" max="7680" width="9" style="153"/>
    <col min="7681" max="7681" width="5.5" style="153" customWidth="1"/>
    <col min="7682" max="7682" width="6.75" style="153" customWidth="1"/>
    <col min="7683" max="7683" width="5.5" style="153" customWidth="1"/>
    <col min="7684" max="7684" width="6.75" style="153" customWidth="1"/>
    <col min="7685" max="7685" width="1.75" style="153" customWidth="1"/>
    <col min="7686" max="7686" width="5.5" style="153" customWidth="1"/>
    <col min="7687" max="7687" width="6.75" style="153" customWidth="1"/>
    <col min="7688" max="7688" width="5.5" style="153" customWidth="1"/>
    <col min="7689" max="7689" width="6.75" style="153" customWidth="1"/>
    <col min="7690" max="7690" width="1.75" style="153" customWidth="1"/>
    <col min="7691" max="7691" width="4.75" style="153" customWidth="1"/>
    <col min="7692" max="7692" width="6.75" style="153" customWidth="1"/>
    <col min="7693" max="7693" width="5.5" style="153" customWidth="1"/>
    <col min="7694" max="7694" width="6.75" style="153" customWidth="1"/>
    <col min="7695" max="7695" width="1.75" style="153" customWidth="1"/>
    <col min="7696" max="7696" width="4.75" style="153" customWidth="1"/>
    <col min="7697" max="7697" width="6.75" style="153" customWidth="1"/>
    <col min="7698" max="7698" width="5.5" style="153" customWidth="1"/>
    <col min="7699" max="7699" width="6.75" style="153" customWidth="1"/>
    <col min="7700" max="7700" width="1.75" style="153" customWidth="1"/>
    <col min="7701" max="7701" width="4.75" style="153" customWidth="1"/>
    <col min="7702" max="7702" width="6.75" style="153" customWidth="1"/>
    <col min="7703" max="7703" width="5.5" style="153" customWidth="1"/>
    <col min="7704" max="7704" width="6.75" style="153" customWidth="1"/>
    <col min="7705" max="7705" width="1.75" style="153" customWidth="1"/>
    <col min="7706" max="7706" width="4.75" style="153" customWidth="1"/>
    <col min="7707" max="7707" width="6.75" style="153" customWidth="1"/>
    <col min="7708" max="7708" width="5.5" style="153" customWidth="1"/>
    <col min="7709" max="7709" width="6.75" style="153" customWidth="1"/>
    <col min="7710" max="7710" width="5" style="153" customWidth="1"/>
    <col min="7711" max="7712" width="11" style="153" customWidth="1"/>
    <col min="7713" max="7713" width="9.5" style="153" customWidth="1"/>
    <col min="7714" max="7714" width="9" style="153"/>
    <col min="7715" max="7715" width="9.375" style="153" customWidth="1"/>
    <col min="7716" max="7716" width="2.75" style="153" customWidth="1"/>
    <col min="7717" max="7718" width="10" style="153" customWidth="1"/>
    <col min="7719" max="7719" width="9.125" style="153" customWidth="1"/>
    <col min="7720" max="7720" width="9.5" style="153" customWidth="1"/>
    <col min="7721" max="7721" width="9.75" style="153" customWidth="1"/>
    <col min="7722" max="7936" width="9" style="153"/>
    <col min="7937" max="7937" width="5.5" style="153" customWidth="1"/>
    <col min="7938" max="7938" width="6.75" style="153" customWidth="1"/>
    <col min="7939" max="7939" width="5.5" style="153" customWidth="1"/>
    <col min="7940" max="7940" width="6.75" style="153" customWidth="1"/>
    <col min="7941" max="7941" width="1.75" style="153" customWidth="1"/>
    <col min="7942" max="7942" width="5.5" style="153" customWidth="1"/>
    <col min="7943" max="7943" width="6.75" style="153" customWidth="1"/>
    <col min="7944" max="7944" width="5.5" style="153" customWidth="1"/>
    <col min="7945" max="7945" width="6.75" style="153" customWidth="1"/>
    <col min="7946" max="7946" width="1.75" style="153" customWidth="1"/>
    <col min="7947" max="7947" width="4.75" style="153" customWidth="1"/>
    <col min="7948" max="7948" width="6.75" style="153" customWidth="1"/>
    <col min="7949" max="7949" width="5.5" style="153" customWidth="1"/>
    <col min="7950" max="7950" width="6.75" style="153" customWidth="1"/>
    <col min="7951" max="7951" width="1.75" style="153" customWidth="1"/>
    <col min="7952" max="7952" width="4.75" style="153" customWidth="1"/>
    <col min="7953" max="7953" width="6.75" style="153" customWidth="1"/>
    <col min="7954" max="7954" width="5.5" style="153" customWidth="1"/>
    <col min="7955" max="7955" width="6.75" style="153" customWidth="1"/>
    <col min="7956" max="7956" width="1.75" style="153" customWidth="1"/>
    <col min="7957" max="7957" width="4.75" style="153" customWidth="1"/>
    <col min="7958" max="7958" width="6.75" style="153" customWidth="1"/>
    <col min="7959" max="7959" width="5.5" style="153" customWidth="1"/>
    <col min="7960" max="7960" width="6.75" style="153" customWidth="1"/>
    <col min="7961" max="7961" width="1.75" style="153" customWidth="1"/>
    <col min="7962" max="7962" width="4.75" style="153" customWidth="1"/>
    <col min="7963" max="7963" width="6.75" style="153" customWidth="1"/>
    <col min="7964" max="7964" width="5.5" style="153" customWidth="1"/>
    <col min="7965" max="7965" width="6.75" style="153" customWidth="1"/>
    <col min="7966" max="7966" width="5" style="153" customWidth="1"/>
    <col min="7967" max="7968" width="11" style="153" customWidth="1"/>
    <col min="7969" max="7969" width="9.5" style="153" customWidth="1"/>
    <col min="7970" max="7970" width="9" style="153"/>
    <col min="7971" max="7971" width="9.375" style="153" customWidth="1"/>
    <col min="7972" max="7972" width="2.75" style="153" customWidth="1"/>
    <col min="7973" max="7974" width="10" style="153" customWidth="1"/>
    <col min="7975" max="7975" width="9.125" style="153" customWidth="1"/>
    <col min="7976" max="7976" width="9.5" style="153" customWidth="1"/>
    <col min="7977" max="7977" width="9.75" style="153" customWidth="1"/>
    <col min="7978" max="8192" width="9" style="153"/>
    <col min="8193" max="8193" width="5.5" style="153" customWidth="1"/>
    <col min="8194" max="8194" width="6.75" style="153" customWidth="1"/>
    <col min="8195" max="8195" width="5.5" style="153" customWidth="1"/>
    <col min="8196" max="8196" width="6.75" style="153" customWidth="1"/>
    <col min="8197" max="8197" width="1.75" style="153" customWidth="1"/>
    <col min="8198" max="8198" width="5.5" style="153" customWidth="1"/>
    <col min="8199" max="8199" width="6.75" style="153" customWidth="1"/>
    <col min="8200" max="8200" width="5.5" style="153" customWidth="1"/>
    <col min="8201" max="8201" width="6.75" style="153" customWidth="1"/>
    <col min="8202" max="8202" width="1.75" style="153" customWidth="1"/>
    <col min="8203" max="8203" width="4.75" style="153" customWidth="1"/>
    <col min="8204" max="8204" width="6.75" style="153" customWidth="1"/>
    <col min="8205" max="8205" width="5.5" style="153" customWidth="1"/>
    <col min="8206" max="8206" width="6.75" style="153" customWidth="1"/>
    <col min="8207" max="8207" width="1.75" style="153" customWidth="1"/>
    <col min="8208" max="8208" width="4.75" style="153" customWidth="1"/>
    <col min="8209" max="8209" width="6.75" style="153" customWidth="1"/>
    <col min="8210" max="8210" width="5.5" style="153" customWidth="1"/>
    <col min="8211" max="8211" width="6.75" style="153" customWidth="1"/>
    <col min="8212" max="8212" width="1.75" style="153" customWidth="1"/>
    <col min="8213" max="8213" width="4.75" style="153" customWidth="1"/>
    <col min="8214" max="8214" width="6.75" style="153" customWidth="1"/>
    <col min="8215" max="8215" width="5.5" style="153" customWidth="1"/>
    <col min="8216" max="8216" width="6.75" style="153" customWidth="1"/>
    <col min="8217" max="8217" width="1.75" style="153" customWidth="1"/>
    <col min="8218" max="8218" width="4.75" style="153" customWidth="1"/>
    <col min="8219" max="8219" width="6.75" style="153" customWidth="1"/>
    <col min="8220" max="8220" width="5.5" style="153" customWidth="1"/>
    <col min="8221" max="8221" width="6.75" style="153" customWidth="1"/>
    <col min="8222" max="8222" width="5" style="153" customWidth="1"/>
    <col min="8223" max="8224" width="11" style="153" customWidth="1"/>
    <col min="8225" max="8225" width="9.5" style="153" customWidth="1"/>
    <col min="8226" max="8226" width="9" style="153"/>
    <col min="8227" max="8227" width="9.375" style="153" customWidth="1"/>
    <col min="8228" max="8228" width="2.75" style="153" customWidth="1"/>
    <col min="8229" max="8230" width="10" style="153" customWidth="1"/>
    <col min="8231" max="8231" width="9.125" style="153" customWidth="1"/>
    <col min="8232" max="8232" width="9.5" style="153" customWidth="1"/>
    <col min="8233" max="8233" width="9.75" style="153" customWidth="1"/>
    <col min="8234" max="8448" width="9" style="153"/>
    <col min="8449" max="8449" width="5.5" style="153" customWidth="1"/>
    <col min="8450" max="8450" width="6.75" style="153" customWidth="1"/>
    <col min="8451" max="8451" width="5.5" style="153" customWidth="1"/>
    <col min="8452" max="8452" width="6.75" style="153" customWidth="1"/>
    <col min="8453" max="8453" width="1.75" style="153" customWidth="1"/>
    <col min="8454" max="8454" width="5.5" style="153" customWidth="1"/>
    <col min="8455" max="8455" width="6.75" style="153" customWidth="1"/>
    <col min="8456" max="8456" width="5.5" style="153" customWidth="1"/>
    <col min="8457" max="8457" width="6.75" style="153" customWidth="1"/>
    <col min="8458" max="8458" width="1.75" style="153" customWidth="1"/>
    <col min="8459" max="8459" width="4.75" style="153" customWidth="1"/>
    <col min="8460" max="8460" width="6.75" style="153" customWidth="1"/>
    <col min="8461" max="8461" width="5.5" style="153" customWidth="1"/>
    <col min="8462" max="8462" width="6.75" style="153" customWidth="1"/>
    <col min="8463" max="8463" width="1.75" style="153" customWidth="1"/>
    <col min="8464" max="8464" width="4.75" style="153" customWidth="1"/>
    <col min="8465" max="8465" width="6.75" style="153" customWidth="1"/>
    <col min="8466" max="8466" width="5.5" style="153" customWidth="1"/>
    <col min="8467" max="8467" width="6.75" style="153" customWidth="1"/>
    <col min="8468" max="8468" width="1.75" style="153" customWidth="1"/>
    <col min="8469" max="8469" width="4.75" style="153" customWidth="1"/>
    <col min="8470" max="8470" width="6.75" style="153" customWidth="1"/>
    <col min="8471" max="8471" width="5.5" style="153" customWidth="1"/>
    <col min="8472" max="8472" width="6.75" style="153" customWidth="1"/>
    <col min="8473" max="8473" width="1.75" style="153" customWidth="1"/>
    <col min="8474" max="8474" width="4.75" style="153" customWidth="1"/>
    <col min="8475" max="8475" width="6.75" style="153" customWidth="1"/>
    <col min="8476" max="8476" width="5.5" style="153" customWidth="1"/>
    <col min="8477" max="8477" width="6.75" style="153" customWidth="1"/>
    <col min="8478" max="8478" width="5" style="153" customWidth="1"/>
    <col min="8479" max="8480" width="11" style="153" customWidth="1"/>
    <col min="8481" max="8481" width="9.5" style="153" customWidth="1"/>
    <col min="8482" max="8482" width="9" style="153"/>
    <col min="8483" max="8483" width="9.375" style="153" customWidth="1"/>
    <col min="8484" max="8484" width="2.75" style="153" customWidth="1"/>
    <col min="8485" max="8486" width="10" style="153" customWidth="1"/>
    <col min="8487" max="8487" width="9.125" style="153" customWidth="1"/>
    <col min="8488" max="8488" width="9.5" style="153" customWidth="1"/>
    <col min="8489" max="8489" width="9.75" style="153" customWidth="1"/>
    <col min="8490" max="8704" width="9" style="153"/>
    <col min="8705" max="8705" width="5.5" style="153" customWidth="1"/>
    <col min="8706" max="8706" width="6.75" style="153" customWidth="1"/>
    <col min="8707" max="8707" width="5.5" style="153" customWidth="1"/>
    <col min="8708" max="8708" width="6.75" style="153" customWidth="1"/>
    <col min="8709" max="8709" width="1.75" style="153" customWidth="1"/>
    <col min="8710" max="8710" width="5.5" style="153" customWidth="1"/>
    <col min="8711" max="8711" width="6.75" style="153" customWidth="1"/>
    <col min="8712" max="8712" width="5.5" style="153" customWidth="1"/>
    <col min="8713" max="8713" width="6.75" style="153" customWidth="1"/>
    <col min="8714" max="8714" width="1.75" style="153" customWidth="1"/>
    <col min="8715" max="8715" width="4.75" style="153" customWidth="1"/>
    <col min="8716" max="8716" width="6.75" style="153" customWidth="1"/>
    <col min="8717" max="8717" width="5.5" style="153" customWidth="1"/>
    <col min="8718" max="8718" width="6.75" style="153" customWidth="1"/>
    <col min="8719" max="8719" width="1.75" style="153" customWidth="1"/>
    <col min="8720" max="8720" width="4.75" style="153" customWidth="1"/>
    <col min="8721" max="8721" width="6.75" style="153" customWidth="1"/>
    <col min="8722" max="8722" width="5.5" style="153" customWidth="1"/>
    <col min="8723" max="8723" width="6.75" style="153" customWidth="1"/>
    <col min="8724" max="8724" width="1.75" style="153" customWidth="1"/>
    <col min="8725" max="8725" width="4.75" style="153" customWidth="1"/>
    <col min="8726" max="8726" width="6.75" style="153" customWidth="1"/>
    <col min="8727" max="8727" width="5.5" style="153" customWidth="1"/>
    <col min="8728" max="8728" width="6.75" style="153" customWidth="1"/>
    <col min="8729" max="8729" width="1.75" style="153" customWidth="1"/>
    <col min="8730" max="8730" width="4.75" style="153" customWidth="1"/>
    <col min="8731" max="8731" width="6.75" style="153" customWidth="1"/>
    <col min="8732" max="8732" width="5.5" style="153" customWidth="1"/>
    <col min="8733" max="8733" width="6.75" style="153" customWidth="1"/>
    <col min="8734" max="8734" width="5" style="153" customWidth="1"/>
    <col min="8735" max="8736" width="11" style="153" customWidth="1"/>
    <col min="8737" max="8737" width="9.5" style="153" customWidth="1"/>
    <col min="8738" max="8738" width="9" style="153"/>
    <col min="8739" max="8739" width="9.375" style="153" customWidth="1"/>
    <col min="8740" max="8740" width="2.75" style="153" customWidth="1"/>
    <col min="8741" max="8742" width="10" style="153" customWidth="1"/>
    <col min="8743" max="8743" width="9.125" style="153" customWidth="1"/>
    <col min="8744" max="8744" width="9.5" style="153" customWidth="1"/>
    <col min="8745" max="8745" width="9.75" style="153" customWidth="1"/>
    <col min="8746" max="8960" width="9" style="153"/>
    <col min="8961" max="8961" width="5.5" style="153" customWidth="1"/>
    <col min="8962" max="8962" width="6.75" style="153" customWidth="1"/>
    <col min="8963" max="8963" width="5.5" style="153" customWidth="1"/>
    <col min="8964" max="8964" width="6.75" style="153" customWidth="1"/>
    <col min="8965" max="8965" width="1.75" style="153" customWidth="1"/>
    <col min="8966" max="8966" width="5.5" style="153" customWidth="1"/>
    <col min="8967" max="8967" width="6.75" style="153" customWidth="1"/>
    <col min="8968" max="8968" width="5.5" style="153" customWidth="1"/>
    <col min="8969" max="8969" width="6.75" style="153" customWidth="1"/>
    <col min="8970" max="8970" width="1.75" style="153" customWidth="1"/>
    <col min="8971" max="8971" width="4.75" style="153" customWidth="1"/>
    <col min="8972" max="8972" width="6.75" style="153" customWidth="1"/>
    <col min="8973" max="8973" width="5.5" style="153" customWidth="1"/>
    <col min="8974" max="8974" width="6.75" style="153" customWidth="1"/>
    <col min="8975" max="8975" width="1.75" style="153" customWidth="1"/>
    <col min="8976" max="8976" width="4.75" style="153" customWidth="1"/>
    <col min="8977" max="8977" width="6.75" style="153" customWidth="1"/>
    <col min="8978" max="8978" width="5.5" style="153" customWidth="1"/>
    <col min="8979" max="8979" width="6.75" style="153" customWidth="1"/>
    <col min="8980" max="8980" width="1.75" style="153" customWidth="1"/>
    <col min="8981" max="8981" width="4.75" style="153" customWidth="1"/>
    <col min="8982" max="8982" width="6.75" style="153" customWidth="1"/>
    <col min="8983" max="8983" width="5.5" style="153" customWidth="1"/>
    <col min="8984" max="8984" width="6.75" style="153" customWidth="1"/>
    <col min="8985" max="8985" width="1.75" style="153" customWidth="1"/>
    <col min="8986" max="8986" width="4.75" style="153" customWidth="1"/>
    <col min="8987" max="8987" width="6.75" style="153" customWidth="1"/>
    <col min="8988" max="8988" width="5.5" style="153" customWidth="1"/>
    <col min="8989" max="8989" width="6.75" style="153" customWidth="1"/>
    <col min="8990" max="8990" width="5" style="153" customWidth="1"/>
    <col min="8991" max="8992" width="11" style="153" customWidth="1"/>
    <col min="8993" max="8993" width="9.5" style="153" customWidth="1"/>
    <col min="8994" max="8994" width="9" style="153"/>
    <col min="8995" max="8995" width="9.375" style="153" customWidth="1"/>
    <col min="8996" max="8996" width="2.75" style="153" customWidth="1"/>
    <col min="8997" max="8998" width="10" style="153" customWidth="1"/>
    <col min="8999" max="8999" width="9.125" style="153" customWidth="1"/>
    <col min="9000" max="9000" width="9.5" style="153" customWidth="1"/>
    <col min="9001" max="9001" width="9.75" style="153" customWidth="1"/>
    <col min="9002" max="9216" width="9" style="153"/>
    <col min="9217" max="9217" width="5.5" style="153" customWidth="1"/>
    <col min="9218" max="9218" width="6.75" style="153" customWidth="1"/>
    <col min="9219" max="9219" width="5.5" style="153" customWidth="1"/>
    <col min="9220" max="9220" width="6.75" style="153" customWidth="1"/>
    <col min="9221" max="9221" width="1.75" style="153" customWidth="1"/>
    <col min="9222" max="9222" width="5.5" style="153" customWidth="1"/>
    <col min="9223" max="9223" width="6.75" style="153" customWidth="1"/>
    <col min="9224" max="9224" width="5.5" style="153" customWidth="1"/>
    <col min="9225" max="9225" width="6.75" style="153" customWidth="1"/>
    <col min="9226" max="9226" width="1.75" style="153" customWidth="1"/>
    <col min="9227" max="9227" width="4.75" style="153" customWidth="1"/>
    <col min="9228" max="9228" width="6.75" style="153" customWidth="1"/>
    <col min="9229" max="9229" width="5.5" style="153" customWidth="1"/>
    <col min="9230" max="9230" width="6.75" style="153" customWidth="1"/>
    <col min="9231" max="9231" width="1.75" style="153" customWidth="1"/>
    <col min="9232" max="9232" width="4.75" style="153" customWidth="1"/>
    <col min="9233" max="9233" width="6.75" style="153" customWidth="1"/>
    <col min="9234" max="9234" width="5.5" style="153" customWidth="1"/>
    <col min="9235" max="9235" width="6.75" style="153" customWidth="1"/>
    <col min="9236" max="9236" width="1.75" style="153" customWidth="1"/>
    <col min="9237" max="9237" width="4.75" style="153" customWidth="1"/>
    <col min="9238" max="9238" width="6.75" style="153" customWidth="1"/>
    <col min="9239" max="9239" width="5.5" style="153" customWidth="1"/>
    <col min="9240" max="9240" width="6.75" style="153" customWidth="1"/>
    <col min="9241" max="9241" width="1.75" style="153" customWidth="1"/>
    <col min="9242" max="9242" width="4.75" style="153" customWidth="1"/>
    <col min="9243" max="9243" width="6.75" style="153" customWidth="1"/>
    <col min="9244" max="9244" width="5.5" style="153" customWidth="1"/>
    <col min="9245" max="9245" width="6.75" style="153" customWidth="1"/>
    <col min="9246" max="9246" width="5" style="153" customWidth="1"/>
    <col min="9247" max="9248" width="11" style="153" customWidth="1"/>
    <col min="9249" max="9249" width="9.5" style="153" customWidth="1"/>
    <col min="9250" max="9250" width="9" style="153"/>
    <col min="9251" max="9251" width="9.375" style="153" customWidth="1"/>
    <col min="9252" max="9252" width="2.75" style="153" customWidth="1"/>
    <col min="9253" max="9254" width="10" style="153" customWidth="1"/>
    <col min="9255" max="9255" width="9.125" style="153" customWidth="1"/>
    <col min="9256" max="9256" width="9.5" style="153" customWidth="1"/>
    <col min="9257" max="9257" width="9.75" style="153" customWidth="1"/>
    <col min="9258" max="9472" width="9" style="153"/>
    <col min="9473" max="9473" width="5.5" style="153" customWidth="1"/>
    <col min="9474" max="9474" width="6.75" style="153" customWidth="1"/>
    <col min="9475" max="9475" width="5.5" style="153" customWidth="1"/>
    <col min="9476" max="9476" width="6.75" style="153" customWidth="1"/>
    <col min="9477" max="9477" width="1.75" style="153" customWidth="1"/>
    <col min="9478" max="9478" width="5.5" style="153" customWidth="1"/>
    <col min="9479" max="9479" width="6.75" style="153" customWidth="1"/>
    <col min="9480" max="9480" width="5.5" style="153" customWidth="1"/>
    <col min="9481" max="9481" width="6.75" style="153" customWidth="1"/>
    <col min="9482" max="9482" width="1.75" style="153" customWidth="1"/>
    <col min="9483" max="9483" width="4.75" style="153" customWidth="1"/>
    <col min="9484" max="9484" width="6.75" style="153" customWidth="1"/>
    <col min="9485" max="9485" width="5.5" style="153" customWidth="1"/>
    <col min="9486" max="9486" width="6.75" style="153" customWidth="1"/>
    <col min="9487" max="9487" width="1.75" style="153" customWidth="1"/>
    <col min="9488" max="9488" width="4.75" style="153" customWidth="1"/>
    <col min="9489" max="9489" width="6.75" style="153" customWidth="1"/>
    <col min="9490" max="9490" width="5.5" style="153" customWidth="1"/>
    <col min="9491" max="9491" width="6.75" style="153" customWidth="1"/>
    <col min="9492" max="9492" width="1.75" style="153" customWidth="1"/>
    <col min="9493" max="9493" width="4.75" style="153" customWidth="1"/>
    <col min="9494" max="9494" width="6.75" style="153" customWidth="1"/>
    <col min="9495" max="9495" width="5.5" style="153" customWidth="1"/>
    <col min="9496" max="9496" width="6.75" style="153" customWidth="1"/>
    <col min="9497" max="9497" width="1.75" style="153" customWidth="1"/>
    <col min="9498" max="9498" width="4.75" style="153" customWidth="1"/>
    <col min="9499" max="9499" width="6.75" style="153" customWidth="1"/>
    <col min="9500" max="9500" width="5.5" style="153" customWidth="1"/>
    <col min="9501" max="9501" width="6.75" style="153" customWidth="1"/>
    <col min="9502" max="9502" width="5" style="153" customWidth="1"/>
    <col min="9503" max="9504" width="11" style="153" customWidth="1"/>
    <col min="9505" max="9505" width="9.5" style="153" customWidth="1"/>
    <col min="9506" max="9506" width="9" style="153"/>
    <col min="9507" max="9507" width="9.375" style="153" customWidth="1"/>
    <col min="9508" max="9508" width="2.75" style="153" customWidth="1"/>
    <col min="9509" max="9510" width="10" style="153" customWidth="1"/>
    <col min="9511" max="9511" width="9.125" style="153" customWidth="1"/>
    <col min="9512" max="9512" width="9.5" style="153" customWidth="1"/>
    <col min="9513" max="9513" width="9.75" style="153" customWidth="1"/>
    <col min="9514" max="9728" width="9" style="153"/>
    <col min="9729" max="9729" width="5.5" style="153" customWidth="1"/>
    <col min="9730" max="9730" width="6.75" style="153" customWidth="1"/>
    <col min="9731" max="9731" width="5.5" style="153" customWidth="1"/>
    <col min="9732" max="9732" width="6.75" style="153" customWidth="1"/>
    <col min="9733" max="9733" width="1.75" style="153" customWidth="1"/>
    <col min="9734" max="9734" width="5.5" style="153" customWidth="1"/>
    <col min="9735" max="9735" width="6.75" style="153" customWidth="1"/>
    <col min="9736" max="9736" width="5.5" style="153" customWidth="1"/>
    <col min="9737" max="9737" width="6.75" style="153" customWidth="1"/>
    <col min="9738" max="9738" width="1.75" style="153" customWidth="1"/>
    <col min="9739" max="9739" width="4.75" style="153" customWidth="1"/>
    <col min="9740" max="9740" width="6.75" style="153" customWidth="1"/>
    <col min="9741" max="9741" width="5.5" style="153" customWidth="1"/>
    <col min="9742" max="9742" width="6.75" style="153" customWidth="1"/>
    <col min="9743" max="9743" width="1.75" style="153" customWidth="1"/>
    <col min="9744" max="9744" width="4.75" style="153" customWidth="1"/>
    <col min="9745" max="9745" width="6.75" style="153" customWidth="1"/>
    <col min="9746" max="9746" width="5.5" style="153" customWidth="1"/>
    <col min="9747" max="9747" width="6.75" style="153" customWidth="1"/>
    <col min="9748" max="9748" width="1.75" style="153" customWidth="1"/>
    <col min="9749" max="9749" width="4.75" style="153" customWidth="1"/>
    <col min="9750" max="9750" width="6.75" style="153" customWidth="1"/>
    <col min="9751" max="9751" width="5.5" style="153" customWidth="1"/>
    <col min="9752" max="9752" width="6.75" style="153" customWidth="1"/>
    <col min="9753" max="9753" width="1.75" style="153" customWidth="1"/>
    <col min="9754" max="9754" width="4.75" style="153" customWidth="1"/>
    <col min="9755" max="9755" width="6.75" style="153" customWidth="1"/>
    <col min="9756" max="9756" width="5.5" style="153" customWidth="1"/>
    <col min="9757" max="9757" width="6.75" style="153" customWidth="1"/>
    <col min="9758" max="9758" width="5" style="153" customWidth="1"/>
    <col min="9759" max="9760" width="11" style="153" customWidth="1"/>
    <col min="9761" max="9761" width="9.5" style="153" customWidth="1"/>
    <col min="9762" max="9762" width="9" style="153"/>
    <col min="9763" max="9763" width="9.375" style="153" customWidth="1"/>
    <col min="9764" max="9764" width="2.75" style="153" customWidth="1"/>
    <col min="9765" max="9766" width="10" style="153" customWidth="1"/>
    <col min="9767" max="9767" width="9.125" style="153" customWidth="1"/>
    <col min="9768" max="9768" width="9.5" style="153" customWidth="1"/>
    <col min="9769" max="9769" width="9.75" style="153" customWidth="1"/>
    <col min="9770" max="9984" width="9" style="153"/>
    <col min="9985" max="9985" width="5.5" style="153" customWidth="1"/>
    <col min="9986" max="9986" width="6.75" style="153" customWidth="1"/>
    <col min="9987" max="9987" width="5.5" style="153" customWidth="1"/>
    <col min="9988" max="9988" width="6.75" style="153" customWidth="1"/>
    <col min="9989" max="9989" width="1.75" style="153" customWidth="1"/>
    <col min="9990" max="9990" width="5.5" style="153" customWidth="1"/>
    <col min="9991" max="9991" width="6.75" style="153" customWidth="1"/>
    <col min="9992" max="9992" width="5.5" style="153" customWidth="1"/>
    <col min="9993" max="9993" width="6.75" style="153" customWidth="1"/>
    <col min="9994" max="9994" width="1.75" style="153" customWidth="1"/>
    <col min="9995" max="9995" width="4.75" style="153" customWidth="1"/>
    <col min="9996" max="9996" width="6.75" style="153" customWidth="1"/>
    <col min="9997" max="9997" width="5.5" style="153" customWidth="1"/>
    <col min="9998" max="9998" width="6.75" style="153" customWidth="1"/>
    <col min="9999" max="9999" width="1.75" style="153" customWidth="1"/>
    <col min="10000" max="10000" width="4.75" style="153" customWidth="1"/>
    <col min="10001" max="10001" width="6.75" style="153" customWidth="1"/>
    <col min="10002" max="10002" width="5.5" style="153" customWidth="1"/>
    <col min="10003" max="10003" width="6.75" style="153" customWidth="1"/>
    <col min="10004" max="10004" width="1.75" style="153" customWidth="1"/>
    <col min="10005" max="10005" width="4.75" style="153" customWidth="1"/>
    <col min="10006" max="10006" width="6.75" style="153" customWidth="1"/>
    <col min="10007" max="10007" width="5.5" style="153" customWidth="1"/>
    <col min="10008" max="10008" width="6.75" style="153" customWidth="1"/>
    <col min="10009" max="10009" width="1.75" style="153" customWidth="1"/>
    <col min="10010" max="10010" width="4.75" style="153" customWidth="1"/>
    <col min="10011" max="10011" width="6.75" style="153" customWidth="1"/>
    <col min="10012" max="10012" width="5.5" style="153" customWidth="1"/>
    <col min="10013" max="10013" width="6.75" style="153" customWidth="1"/>
    <col min="10014" max="10014" width="5" style="153" customWidth="1"/>
    <col min="10015" max="10016" width="11" style="153" customWidth="1"/>
    <col min="10017" max="10017" width="9.5" style="153" customWidth="1"/>
    <col min="10018" max="10018" width="9" style="153"/>
    <col min="10019" max="10019" width="9.375" style="153" customWidth="1"/>
    <col min="10020" max="10020" width="2.75" style="153" customWidth="1"/>
    <col min="10021" max="10022" width="10" style="153" customWidth="1"/>
    <col min="10023" max="10023" width="9.125" style="153" customWidth="1"/>
    <col min="10024" max="10024" width="9.5" style="153" customWidth="1"/>
    <col min="10025" max="10025" width="9.75" style="153" customWidth="1"/>
    <col min="10026" max="10240" width="9" style="153"/>
    <col min="10241" max="10241" width="5.5" style="153" customWidth="1"/>
    <col min="10242" max="10242" width="6.75" style="153" customWidth="1"/>
    <col min="10243" max="10243" width="5.5" style="153" customWidth="1"/>
    <col min="10244" max="10244" width="6.75" style="153" customWidth="1"/>
    <col min="10245" max="10245" width="1.75" style="153" customWidth="1"/>
    <col min="10246" max="10246" width="5.5" style="153" customWidth="1"/>
    <col min="10247" max="10247" width="6.75" style="153" customWidth="1"/>
    <col min="10248" max="10248" width="5.5" style="153" customWidth="1"/>
    <col min="10249" max="10249" width="6.75" style="153" customWidth="1"/>
    <col min="10250" max="10250" width="1.75" style="153" customWidth="1"/>
    <col min="10251" max="10251" width="4.75" style="153" customWidth="1"/>
    <col min="10252" max="10252" width="6.75" style="153" customWidth="1"/>
    <col min="10253" max="10253" width="5.5" style="153" customWidth="1"/>
    <col min="10254" max="10254" width="6.75" style="153" customWidth="1"/>
    <col min="10255" max="10255" width="1.75" style="153" customWidth="1"/>
    <col min="10256" max="10256" width="4.75" style="153" customWidth="1"/>
    <col min="10257" max="10257" width="6.75" style="153" customWidth="1"/>
    <col min="10258" max="10258" width="5.5" style="153" customWidth="1"/>
    <col min="10259" max="10259" width="6.75" style="153" customWidth="1"/>
    <col min="10260" max="10260" width="1.75" style="153" customWidth="1"/>
    <col min="10261" max="10261" width="4.75" style="153" customWidth="1"/>
    <col min="10262" max="10262" width="6.75" style="153" customWidth="1"/>
    <col min="10263" max="10263" width="5.5" style="153" customWidth="1"/>
    <col min="10264" max="10264" width="6.75" style="153" customWidth="1"/>
    <col min="10265" max="10265" width="1.75" style="153" customWidth="1"/>
    <col min="10266" max="10266" width="4.75" style="153" customWidth="1"/>
    <col min="10267" max="10267" width="6.75" style="153" customWidth="1"/>
    <col min="10268" max="10268" width="5.5" style="153" customWidth="1"/>
    <col min="10269" max="10269" width="6.75" style="153" customWidth="1"/>
    <col min="10270" max="10270" width="5" style="153" customWidth="1"/>
    <col min="10271" max="10272" width="11" style="153" customWidth="1"/>
    <col min="10273" max="10273" width="9.5" style="153" customWidth="1"/>
    <col min="10274" max="10274" width="9" style="153"/>
    <col min="10275" max="10275" width="9.375" style="153" customWidth="1"/>
    <col min="10276" max="10276" width="2.75" style="153" customWidth="1"/>
    <col min="10277" max="10278" width="10" style="153" customWidth="1"/>
    <col min="10279" max="10279" width="9.125" style="153" customWidth="1"/>
    <col min="10280" max="10280" width="9.5" style="153" customWidth="1"/>
    <col min="10281" max="10281" width="9.75" style="153" customWidth="1"/>
    <col min="10282" max="10496" width="9" style="153"/>
    <col min="10497" max="10497" width="5.5" style="153" customWidth="1"/>
    <col min="10498" max="10498" width="6.75" style="153" customWidth="1"/>
    <col min="10499" max="10499" width="5.5" style="153" customWidth="1"/>
    <col min="10500" max="10500" width="6.75" style="153" customWidth="1"/>
    <col min="10501" max="10501" width="1.75" style="153" customWidth="1"/>
    <col min="10502" max="10502" width="5.5" style="153" customWidth="1"/>
    <col min="10503" max="10503" width="6.75" style="153" customWidth="1"/>
    <col min="10504" max="10504" width="5.5" style="153" customWidth="1"/>
    <col min="10505" max="10505" width="6.75" style="153" customWidth="1"/>
    <col min="10506" max="10506" width="1.75" style="153" customWidth="1"/>
    <col min="10507" max="10507" width="4.75" style="153" customWidth="1"/>
    <col min="10508" max="10508" width="6.75" style="153" customWidth="1"/>
    <col min="10509" max="10509" width="5.5" style="153" customWidth="1"/>
    <col min="10510" max="10510" width="6.75" style="153" customWidth="1"/>
    <col min="10511" max="10511" width="1.75" style="153" customWidth="1"/>
    <col min="10512" max="10512" width="4.75" style="153" customWidth="1"/>
    <col min="10513" max="10513" width="6.75" style="153" customWidth="1"/>
    <col min="10514" max="10514" width="5.5" style="153" customWidth="1"/>
    <col min="10515" max="10515" width="6.75" style="153" customWidth="1"/>
    <col min="10516" max="10516" width="1.75" style="153" customWidth="1"/>
    <col min="10517" max="10517" width="4.75" style="153" customWidth="1"/>
    <col min="10518" max="10518" width="6.75" style="153" customWidth="1"/>
    <col min="10519" max="10519" width="5.5" style="153" customWidth="1"/>
    <col min="10520" max="10520" width="6.75" style="153" customWidth="1"/>
    <col min="10521" max="10521" width="1.75" style="153" customWidth="1"/>
    <col min="10522" max="10522" width="4.75" style="153" customWidth="1"/>
    <col min="10523" max="10523" width="6.75" style="153" customWidth="1"/>
    <col min="10524" max="10524" width="5.5" style="153" customWidth="1"/>
    <col min="10525" max="10525" width="6.75" style="153" customWidth="1"/>
    <col min="10526" max="10526" width="5" style="153" customWidth="1"/>
    <col min="10527" max="10528" width="11" style="153" customWidth="1"/>
    <col min="10529" max="10529" width="9.5" style="153" customWidth="1"/>
    <col min="10530" max="10530" width="9" style="153"/>
    <col min="10531" max="10531" width="9.375" style="153" customWidth="1"/>
    <col min="10532" max="10532" width="2.75" style="153" customWidth="1"/>
    <col min="10533" max="10534" width="10" style="153" customWidth="1"/>
    <col min="10535" max="10535" width="9.125" style="153" customWidth="1"/>
    <col min="10536" max="10536" width="9.5" style="153" customWidth="1"/>
    <col min="10537" max="10537" width="9.75" style="153" customWidth="1"/>
    <col min="10538" max="10752" width="9" style="153"/>
    <col min="10753" max="10753" width="5.5" style="153" customWidth="1"/>
    <col min="10754" max="10754" width="6.75" style="153" customWidth="1"/>
    <col min="10755" max="10755" width="5.5" style="153" customWidth="1"/>
    <col min="10756" max="10756" width="6.75" style="153" customWidth="1"/>
    <col min="10757" max="10757" width="1.75" style="153" customWidth="1"/>
    <col min="10758" max="10758" width="5.5" style="153" customWidth="1"/>
    <col min="10759" max="10759" width="6.75" style="153" customWidth="1"/>
    <col min="10760" max="10760" width="5.5" style="153" customWidth="1"/>
    <col min="10761" max="10761" width="6.75" style="153" customWidth="1"/>
    <col min="10762" max="10762" width="1.75" style="153" customWidth="1"/>
    <col min="10763" max="10763" width="4.75" style="153" customWidth="1"/>
    <col min="10764" max="10764" width="6.75" style="153" customWidth="1"/>
    <col min="10765" max="10765" width="5.5" style="153" customWidth="1"/>
    <col min="10766" max="10766" width="6.75" style="153" customWidth="1"/>
    <col min="10767" max="10767" width="1.75" style="153" customWidth="1"/>
    <col min="10768" max="10768" width="4.75" style="153" customWidth="1"/>
    <col min="10769" max="10769" width="6.75" style="153" customWidth="1"/>
    <col min="10770" max="10770" width="5.5" style="153" customWidth="1"/>
    <col min="10771" max="10771" width="6.75" style="153" customWidth="1"/>
    <col min="10772" max="10772" width="1.75" style="153" customWidth="1"/>
    <col min="10773" max="10773" width="4.75" style="153" customWidth="1"/>
    <col min="10774" max="10774" width="6.75" style="153" customWidth="1"/>
    <col min="10775" max="10775" width="5.5" style="153" customWidth="1"/>
    <col min="10776" max="10776" width="6.75" style="153" customWidth="1"/>
    <col min="10777" max="10777" width="1.75" style="153" customWidth="1"/>
    <col min="10778" max="10778" width="4.75" style="153" customWidth="1"/>
    <col min="10779" max="10779" width="6.75" style="153" customWidth="1"/>
    <col min="10780" max="10780" width="5.5" style="153" customWidth="1"/>
    <col min="10781" max="10781" width="6.75" style="153" customWidth="1"/>
    <col min="10782" max="10782" width="5" style="153" customWidth="1"/>
    <col min="10783" max="10784" width="11" style="153" customWidth="1"/>
    <col min="10785" max="10785" width="9.5" style="153" customWidth="1"/>
    <col min="10786" max="10786" width="9" style="153"/>
    <col min="10787" max="10787" width="9.375" style="153" customWidth="1"/>
    <col min="10788" max="10788" width="2.75" style="153" customWidth="1"/>
    <col min="10789" max="10790" width="10" style="153" customWidth="1"/>
    <col min="10791" max="10791" width="9.125" style="153" customWidth="1"/>
    <col min="10792" max="10792" width="9.5" style="153" customWidth="1"/>
    <col min="10793" max="10793" width="9.75" style="153" customWidth="1"/>
    <col min="10794" max="11008" width="9" style="153"/>
    <col min="11009" max="11009" width="5.5" style="153" customWidth="1"/>
    <col min="11010" max="11010" width="6.75" style="153" customWidth="1"/>
    <col min="11011" max="11011" width="5.5" style="153" customWidth="1"/>
    <col min="11012" max="11012" width="6.75" style="153" customWidth="1"/>
    <col min="11013" max="11013" width="1.75" style="153" customWidth="1"/>
    <col min="11014" max="11014" width="5.5" style="153" customWidth="1"/>
    <col min="11015" max="11015" width="6.75" style="153" customWidth="1"/>
    <col min="11016" max="11016" width="5.5" style="153" customWidth="1"/>
    <col min="11017" max="11017" width="6.75" style="153" customWidth="1"/>
    <col min="11018" max="11018" width="1.75" style="153" customWidth="1"/>
    <col min="11019" max="11019" width="4.75" style="153" customWidth="1"/>
    <col min="11020" max="11020" width="6.75" style="153" customWidth="1"/>
    <col min="11021" max="11021" width="5.5" style="153" customWidth="1"/>
    <col min="11022" max="11022" width="6.75" style="153" customWidth="1"/>
    <col min="11023" max="11023" width="1.75" style="153" customWidth="1"/>
    <col min="11024" max="11024" width="4.75" style="153" customWidth="1"/>
    <col min="11025" max="11025" width="6.75" style="153" customWidth="1"/>
    <col min="11026" max="11026" width="5.5" style="153" customWidth="1"/>
    <col min="11027" max="11027" width="6.75" style="153" customWidth="1"/>
    <col min="11028" max="11028" width="1.75" style="153" customWidth="1"/>
    <col min="11029" max="11029" width="4.75" style="153" customWidth="1"/>
    <col min="11030" max="11030" width="6.75" style="153" customWidth="1"/>
    <col min="11031" max="11031" width="5.5" style="153" customWidth="1"/>
    <col min="11032" max="11032" width="6.75" style="153" customWidth="1"/>
    <col min="11033" max="11033" width="1.75" style="153" customWidth="1"/>
    <col min="11034" max="11034" width="4.75" style="153" customWidth="1"/>
    <col min="11035" max="11035" width="6.75" style="153" customWidth="1"/>
    <col min="11036" max="11036" width="5.5" style="153" customWidth="1"/>
    <col min="11037" max="11037" width="6.75" style="153" customWidth="1"/>
    <col min="11038" max="11038" width="5" style="153" customWidth="1"/>
    <col min="11039" max="11040" width="11" style="153" customWidth="1"/>
    <col min="11041" max="11041" width="9.5" style="153" customWidth="1"/>
    <col min="11042" max="11042" width="9" style="153"/>
    <col min="11043" max="11043" width="9.375" style="153" customWidth="1"/>
    <col min="11044" max="11044" width="2.75" style="153" customWidth="1"/>
    <col min="11045" max="11046" width="10" style="153" customWidth="1"/>
    <col min="11047" max="11047" width="9.125" style="153" customWidth="1"/>
    <col min="11048" max="11048" width="9.5" style="153" customWidth="1"/>
    <col min="11049" max="11049" width="9.75" style="153" customWidth="1"/>
    <col min="11050" max="11264" width="9" style="153"/>
    <col min="11265" max="11265" width="5.5" style="153" customWidth="1"/>
    <col min="11266" max="11266" width="6.75" style="153" customWidth="1"/>
    <col min="11267" max="11267" width="5.5" style="153" customWidth="1"/>
    <col min="11268" max="11268" width="6.75" style="153" customWidth="1"/>
    <col min="11269" max="11269" width="1.75" style="153" customWidth="1"/>
    <col min="11270" max="11270" width="5.5" style="153" customWidth="1"/>
    <col min="11271" max="11271" width="6.75" style="153" customWidth="1"/>
    <col min="11272" max="11272" width="5.5" style="153" customWidth="1"/>
    <col min="11273" max="11273" width="6.75" style="153" customWidth="1"/>
    <col min="11274" max="11274" width="1.75" style="153" customWidth="1"/>
    <col min="11275" max="11275" width="4.75" style="153" customWidth="1"/>
    <col min="11276" max="11276" width="6.75" style="153" customWidth="1"/>
    <col min="11277" max="11277" width="5.5" style="153" customWidth="1"/>
    <col min="11278" max="11278" width="6.75" style="153" customWidth="1"/>
    <col min="11279" max="11279" width="1.75" style="153" customWidth="1"/>
    <col min="11280" max="11280" width="4.75" style="153" customWidth="1"/>
    <col min="11281" max="11281" width="6.75" style="153" customWidth="1"/>
    <col min="11282" max="11282" width="5.5" style="153" customWidth="1"/>
    <col min="11283" max="11283" width="6.75" style="153" customWidth="1"/>
    <col min="11284" max="11284" width="1.75" style="153" customWidth="1"/>
    <col min="11285" max="11285" width="4.75" style="153" customWidth="1"/>
    <col min="11286" max="11286" width="6.75" style="153" customWidth="1"/>
    <col min="11287" max="11287" width="5.5" style="153" customWidth="1"/>
    <col min="11288" max="11288" width="6.75" style="153" customWidth="1"/>
    <col min="11289" max="11289" width="1.75" style="153" customWidth="1"/>
    <col min="11290" max="11290" width="4.75" style="153" customWidth="1"/>
    <col min="11291" max="11291" width="6.75" style="153" customWidth="1"/>
    <col min="11292" max="11292" width="5.5" style="153" customWidth="1"/>
    <col min="11293" max="11293" width="6.75" style="153" customWidth="1"/>
    <col min="11294" max="11294" width="5" style="153" customWidth="1"/>
    <col min="11295" max="11296" width="11" style="153" customWidth="1"/>
    <col min="11297" max="11297" width="9.5" style="153" customWidth="1"/>
    <col min="11298" max="11298" width="9" style="153"/>
    <col min="11299" max="11299" width="9.375" style="153" customWidth="1"/>
    <col min="11300" max="11300" width="2.75" style="153" customWidth="1"/>
    <col min="11301" max="11302" width="10" style="153" customWidth="1"/>
    <col min="11303" max="11303" width="9.125" style="153" customWidth="1"/>
    <col min="11304" max="11304" width="9.5" style="153" customWidth="1"/>
    <col min="11305" max="11305" width="9.75" style="153" customWidth="1"/>
    <col min="11306" max="11520" width="9" style="153"/>
    <col min="11521" max="11521" width="5.5" style="153" customWidth="1"/>
    <col min="11522" max="11522" width="6.75" style="153" customWidth="1"/>
    <col min="11523" max="11523" width="5.5" style="153" customWidth="1"/>
    <col min="11524" max="11524" width="6.75" style="153" customWidth="1"/>
    <col min="11525" max="11525" width="1.75" style="153" customWidth="1"/>
    <col min="11526" max="11526" width="5.5" style="153" customWidth="1"/>
    <col min="11527" max="11527" width="6.75" style="153" customWidth="1"/>
    <col min="11528" max="11528" width="5.5" style="153" customWidth="1"/>
    <col min="11529" max="11529" width="6.75" style="153" customWidth="1"/>
    <col min="11530" max="11530" width="1.75" style="153" customWidth="1"/>
    <col min="11531" max="11531" width="4.75" style="153" customWidth="1"/>
    <col min="11532" max="11532" width="6.75" style="153" customWidth="1"/>
    <col min="11533" max="11533" width="5.5" style="153" customWidth="1"/>
    <col min="11534" max="11534" width="6.75" style="153" customWidth="1"/>
    <col min="11535" max="11535" width="1.75" style="153" customWidth="1"/>
    <col min="11536" max="11536" width="4.75" style="153" customWidth="1"/>
    <col min="11537" max="11537" width="6.75" style="153" customWidth="1"/>
    <col min="11538" max="11538" width="5.5" style="153" customWidth="1"/>
    <col min="11539" max="11539" width="6.75" style="153" customWidth="1"/>
    <col min="11540" max="11540" width="1.75" style="153" customWidth="1"/>
    <col min="11541" max="11541" width="4.75" style="153" customWidth="1"/>
    <col min="11542" max="11542" width="6.75" style="153" customWidth="1"/>
    <col min="11543" max="11543" width="5.5" style="153" customWidth="1"/>
    <col min="11544" max="11544" width="6.75" style="153" customWidth="1"/>
    <col min="11545" max="11545" width="1.75" style="153" customWidth="1"/>
    <col min="11546" max="11546" width="4.75" style="153" customWidth="1"/>
    <col min="11547" max="11547" width="6.75" style="153" customWidth="1"/>
    <col min="11548" max="11548" width="5.5" style="153" customWidth="1"/>
    <col min="11549" max="11549" width="6.75" style="153" customWidth="1"/>
    <col min="11550" max="11550" width="5" style="153" customWidth="1"/>
    <col min="11551" max="11552" width="11" style="153" customWidth="1"/>
    <col min="11553" max="11553" width="9.5" style="153" customWidth="1"/>
    <col min="11554" max="11554" width="9" style="153"/>
    <col min="11555" max="11555" width="9.375" style="153" customWidth="1"/>
    <col min="11556" max="11556" width="2.75" style="153" customWidth="1"/>
    <col min="11557" max="11558" width="10" style="153" customWidth="1"/>
    <col min="11559" max="11559" width="9.125" style="153" customWidth="1"/>
    <col min="11560" max="11560" width="9.5" style="153" customWidth="1"/>
    <col min="11561" max="11561" width="9.75" style="153" customWidth="1"/>
    <col min="11562" max="11776" width="9" style="153"/>
    <col min="11777" max="11777" width="5.5" style="153" customWidth="1"/>
    <col min="11778" max="11778" width="6.75" style="153" customWidth="1"/>
    <col min="11779" max="11779" width="5.5" style="153" customWidth="1"/>
    <col min="11780" max="11780" width="6.75" style="153" customWidth="1"/>
    <col min="11781" max="11781" width="1.75" style="153" customWidth="1"/>
    <col min="11782" max="11782" width="5.5" style="153" customWidth="1"/>
    <col min="11783" max="11783" width="6.75" style="153" customWidth="1"/>
    <col min="11784" max="11784" width="5.5" style="153" customWidth="1"/>
    <col min="11785" max="11785" width="6.75" style="153" customWidth="1"/>
    <col min="11786" max="11786" width="1.75" style="153" customWidth="1"/>
    <col min="11787" max="11787" width="4.75" style="153" customWidth="1"/>
    <col min="11788" max="11788" width="6.75" style="153" customWidth="1"/>
    <col min="11789" max="11789" width="5.5" style="153" customWidth="1"/>
    <col min="11790" max="11790" width="6.75" style="153" customWidth="1"/>
    <col min="11791" max="11791" width="1.75" style="153" customWidth="1"/>
    <col min="11792" max="11792" width="4.75" style="153" customWidth="1"/>
    <col min="11793" max="11793" width="6.75" style="153" customWidth="1"/>
    <col min="11794" max="11794" width="5.5" style="153" customWidth="1"/>
    <col min="11795" max="11795" width="6.75" style="153" customWidth="1"/>
    <col min="11796" max="11796" width="1.75" style="153" customWidth="1"/>
    <col min="11797" max="11797" width="4.75" style="153" customWidth="1"/>
    <col min="11798" max="11798" width="6.75" style="153" customWidth="1"/>
    <col min="11799" max="11799" width="5.5" style="153" customWidth="1"/>
    <col min="11800" max="11800" width="6.75" style="153" customWidth="1"/>
    <col min="11801" max="11801" width="1.75" style="153" customWidth="1"/>
    <col min="11802" max="11802" width="4.75" style="153" customWidth="1"/>
    <col min="11803" max="11803" width="6.75" style="153" customWidth="1"/>
    <col min="11804" max="11804" width="5.5" style="153" customWidth="1"/>
    <col min="11805" max="11805" width="6.75" style="153" customWidth="1"/>
    <col min="11806" max="11806" width="5" style="153" customWidth="1"/>
    <col min="11807" max="11808" width="11" style="153" customWidth="1"/>
    <col min="11809" max="11809" width="9.5" style="153" customWidth="1"/>
    <col min="11810" max="11810" width="9" style="153"/>
    <col min="11811" max="11811" width="9.375" style="153" customWidth="1"/>
    <col min="11812" max="11812" width="2.75" style="153" customWidth="1"/>
    <col min="11813" max="11814" width="10" style="153" customWidth="1"/>
    <col min="11815" max="11815" width="9.125" style="153" customWidth="1"/>
    <col min="11816" max="11816" width="9.5" style="153" customWidth="1"/>
    <col min="11817" max="11817" width="9.75" style="153" customWidth="1"/>
    <col min="11818" max="12032" width="9" style="153"/>
    <col min="12033" max="12033" width="5.5" style="153" customWidth="1"/>
    <col min="12034" max="12034" width="6.75" style="153" customWidth="1"/>
    <col min="12035" max="12035" width="5.5" style="153" customWidth="1"/>
    <col min="12036" max="12036" width="6.75" style="153" customWidth="1"/>
    <col min="12037" max="12037" width="1.75" style="153" customWidth="1"/>
    <col min="12038" max="12038" width="5.5" style="153" customWidth="1"/>
    <col min="12039" max="12039" width="6.75" style="153" customWidth="1"/>
    <col min="12040" max="12040" width="5.5" style="153" customWidth="1"/>
    <col min="12041" max="12041" width="6.75" style="153" customWidth="1"/>
    <col min="12042" max="12042" width="1.75" style="153" customWidth="1"/>
    <col min="12043" max="12043" width="4.75" style="153" customWidth="1"/>
    <col min="12044" max="12044" width="6.75" style="153" customWidth="1"/>
    <col min="12045" max="12045" width="5.5" style="153" customWidth="1"/>
    <col min="12046" max="12046" width="6.75" style="153" customWidth="1"/>
    <col min="12047" max="12047" width="1.75" style="153" customWidth="1"/>
    <col min="12048" max="12048" width="4.75" style="153" customWidth="1"/>
    <col min="12049" max="12049" width="6.75" style="153" customWidth="1"/>
    <col min="12050" max="12050" width="5.5" style="153" customWidth="1"/>
    <col min="12051" max="12051" width="6.75" style="153" customWidth="1"/>
    <col min="12052" max="12052" width="1.75" style="153" customWidth="1"/>
    <col min="12053" max="12053" width="4.75" style="153" customWidth="1"/>
    <col min="12054" max="12054" width="6.75" style="153" customWidth="1"/>
    <col min="12055" max="12055" width="5.5" style="153" customWidth="1"/>
    <col min="12056" max="12056" width="6.75" style="153" customWidth="1"/>
    <col min="12057" max="12057" width="1.75" style="153" customWidth="1"/>
    <col min="12058" max="12058" width="4.75" style="153" customWidth="1"/>
    <col min="12059" max="12059" width="6.75" style="153" customWidth="1"/>
    <col min="12060" max="12060" width="5.5" style="153" customWidth="1"/>
    <col min="12061" max="12061" width="6.75" style="153" customWidth="1"/>
    <col min="12062" max="12062" width="5" style="153" customWidth="1"/>
    <col min="12063" max="12064" width="11" style="153" customWidth="1"/>
    <col min="12065" max="12065" width="9.5" style="153" customWidth="1"/>
    <col min="12066" max="12066" width="9" style="153"/>
    <col min="12067" max="12067" width="9.375" style="153" customWidth="1"/>
    <col min="12068" max="12068" width="2.75" style="153" customWidth="1"/>
    <col min="12069" max="12070" width="10" style="153" customWidth="1"/>
    <col min="12071" max="12071" width="9.125" style="153" customWidth="1"/>
    <col min="12072" max="12072" width="9.5" style="153" customWidth="1"/>
    <col min="12073" max="12073" width="9.75" style="153" customWidth="1"/>
    <col min="12074" max="12288" width="9" style="153"/>
    <col min="12289" max="12289" width="5.5" style="153" customWidth="1"/>
    <col min="12290" max="12290" width="6.75" style="153" customWidth="1"/>
    <col min="12291" max="12291" width="5.5" style="153" customWidth="1"/>
    <col min="12292" max="12292" width="6.75" style="153" customWidth="1"/>
    <col min="12293" max="12293" width="1.75" style="153" customWidth="1"/>
    <col min="12294" max="12294" width="5.5" style="153" customWidth="1"/>
    <col min="12295" max="12295" width="6.75" style="153" customWidth="1"/>
    <col min="12296" max="12296" width="5.5" style="153" customWidth="1"/>
    <col min="12297" max="12297" width="6.75" style="153" customWidth="1"/>
    <col min="12298" max="12298" width="1.75" style="153" customWidth="1"/>
    <col min="12299" max="12299" width="4.75" style="153" customWidth="1"/>
    <col min="12300" max="12300" width="6.75" style="153" customWidth="1"/>
    <col min="12301" max="12301" width="5.5" style="153" customWidth="1"/>
    <col min="12302" max="12302" width="6.75" style="153" customWidth="1"/>
    <col min="12303" max="12303" width="1.75" style="153" customWidth="1"/>
    <col min="12304" max="12304" width="4.75" style="153" customWidth="1"/>
    <col min="12305" max="12305" width="6.75" style="153" customWidth="1"/>
    <col min="12306" max="12306" width="5.5" style="153" customWidth="1"/>
    <col min="12307" max="12307" width="6.75" style="153" customWidth="1"/>
    <col min="12308" max="12308" width="1.75" style="153" customWidth="1"/>
    <col min="12309" max="12309" width="4.75" style="153" customWidth="1"/>
    <col min="12310" max="12310" width="6.75" style="153" customWidth="1"/>
    <col min="12311" max="12311" width="5.5" style="153" customWidth="1"/>
    <col min="12312" max="12312" width="6.75" style="153" customWidth="1"/>
    <col min="12313" max="12313" width="1.75" style="153" customWidth="1"/>
    <col min="12314" max="12314" width="4.75" style="153" customWidth="1"/>
    <col min="12315" max="12315" width="6.75" style="153" customWidth="1"/>
    <col min="12316" max="12316" width="5.5" style="153" customWidth="1"/>
    <col min="12317" max="12317" width="6.75" style="153" customWidth="1"/>
    <col min="12318" max="12318" width="5" style="153" customWidth="1"/>
    <col min="12319" max="12320" width="11" style="153" customWidth="1"/>
    <col min="12321" max="12321" width="9.5" style="153" customWidth="1"/>
    <col min="12322" max="12322" width="9" style="153"/>
    <col min="12323" max="12323" width="9.375" style="153" customWidth="1"/>
    <col min="12324" max="12324" width="2.75" style="153" customWidth="1"/>
    <col min="12325" max="12326" width="10" style="153" customWidth="1"/>
    <col min="12327" max="12327" width="9.125" style="153" customWidth="1"/>
    <col min="12328" max="12328" width="9.5" style="153" customWidth="1"/>
    <col min="12329" max="12329" width="9.75" style="153" customWidth="1"/>
    <col min="12330" max="12544" width="9" style="153"/>
    <col min="12545" max="12545" width="5.5" style="153" customWidth="1"/>
    <col min="12546" max="12546" width="6.75" style="153" customWidth="1"/>
    <col min="12547" max="12547" width="5.5" style="153" customWidth="1"/>
    <col min="12548" max="12548" width="6.75" style="153" customWidth="1"/>
    <col min="12549" max="12549" width="1.75" style="153" customWidth="1"/>
    <col min="12550" max="12550" width="5.5" style="153" customWidth="1"/>
    <col min="12551" max="12551" width="6.75" style="153" customWidth="1"/>
    <col min="12552" max="12552" width="5.5" style="153" customWidth="1"/>
    <col min="12553" max="12553" width="6.75" style="153" customWidth="1"/>
    <col min="12554" max="12554" width="1.75" style="153" customWidth="1"/>
    <col min="12555" max="12555" width="4.75" style="153" customWidth="1"/>
    <col min="12556" max="12556" width="6.75" style="153" customWidth="1"/>
    <col min="12557" max="12557" width="5.5" style="153" customWidth="1"/>
    <col min="12558" max="12558" width="6.75" style="153" customWidth="1"/>
    <col min="12559" max="12559" width="1.75" style="153" customWidth="1"/>
    <col min="12560" max="12560" width="4.75" style="153" customWidth="1"/>
    <col min="12561" max="12561" width="6.75" style="153" customWidth="1"/>
    <col min="12562" max="12562" width="5.5" style="153" customWidth="1"/>
    <col min="12563" max="12563" width="6.75" style="153" customWidth="1"/>
    <col min="12564" max="12564" width="1.75" style="153" customWidth="1"/>
    <col min="12565" max="12565" width="4.75" style="153" customWidth="1"/>
    <col min="12566" max="12566" width="6.75" style="153" customWidth="1"/>
    <col min="12567" max="12567" width="5.5" style="153" customWidth="1"/>
    <col min="12568" max="12568" width="6.75" style="153" customWidth="1"/>
    <col min="12569" max="12569" width="1.75" style="153" customWidth="1"/>
    <col min="12570" max="12570" width="4.75" style="153" customWidth="1"/>
    <col min="12571" max="12571" width="6.75" style="153" customWidth="1"/>
    <col min="12572" max="12572" width="5.5" style="153" customWidth="1"/>
    <col min="12573" max="12573" width="6.75" style="153" customWidth="1"/>
    <col min="12574" max="12574" width="5" style="153" customWidth="1"/>
    <col min="12575" max="12576" width="11" style="153" customWidth="1"/>
    <col min="12577" max="12577" width="9.5" style="153" customWidth="1"/>
    <col min="12578" max="12578" width="9" style="153"/>
    <col min="12579" max="12579" width="9.375" style="153" customWidth="1"/>
    <col min="12580" max="12580" width="2.75" style="153" customWidth="1"/>
    <col min="12581" max="12582" width="10" style="153" customWidth="1"/>
    <col min="12583" max="12583" width="9.125" style="153" customWidth="1"/>
    <col min="12584" max="12584" width="9.5" style="153" customWidth="1"/>
    <col min="12585" max="12585" width="9.75" style="153" customWidth="1"/>
    <col min="12586" max="12800" width="9" style="153"/>
    <col min="12801" max="12801" width="5.5" style="153" customWidth="1"/>
    <col min="12802" max="12802" width="6.75" style="153" customWidth="1"/>
    <col min="12803" max="12803" width="5.5" style="153" customWidth="1"/>
    <col min="12804" max="12804" width="6.75" style="153" customWidth="1"/>
    <col min="12805" max="12805" width="1.75" style="153" customWidth="1"/>
    <col min="12806" max="12806" width="5.5" style="153" customWidth="1"/>
    <col min="12807" max="12807" width="6.75" style="153" customWidth="1"/>
    <col min="12808" max="12808" width="5.5" style="153" customWidth="1"/>
    <col min="12809" max="12809" width="6.75" style="153" customWidth="1"/>
    <col min="12810" max="12810" width="1.75" style="153" customWidth="1"/>
    <col min="12811" max="12811" width="4.75" style="153" customWidth="1"/>
    <col min="12812" max="12812" width="6.75" style="153" customWidth="1"/>
    <col min="12813" max="12813" width="5.5" style="153" customWidth="1"/>
    <col min="12814" max="12814" width="6.75" style="153" customWidth="1"/>
    <col min="12815" max="12815" width="1.75" style="153" customWidth="1"/>
    <col min="12816" max="12816" width="4.75" style="153" customWidth="1"/>
    <col min="12817" max="12817" width="6.75" style="153" customWidth="1"/>
    <col min="12818" max="12818" width="5.5" style="153" customWidth="1"/>
    <col min="12819" max="12819" width="6.75" style="153" customWidth="1"/>
    <col min="12820" max="12820" width="1.75" style="153" customWidth="1"/>
    <col min="12821" max="12821" width="4.75" style="153" customWidth="1"/>
    <col min="12822" max="12822" width="6.75" style="153" customWidth="1"/>
    <col min="12823" max="12823" width="5.5" style="153" customWidth="1"/>
    <col min="12824" max="12824" width="6.75" style="153" customWidth="1"/>
    <col min="12825" max="12825" width="1.75" style="153" customWidth="1"/>
    <col min="12826" max="12826" width="4.75" style="153" customWidth="1"/>
    <col min="12827" max="12827" width="6.75" style="153" customWidth="1"/>
    <col min="12828" max="12828" width="5.5" style="153" customWidth="1"/>
    <col min="12829" max="12829" width="6.75" style="153" customWidth="1"/>
    <col min="12830" max="12830" width="5" style="153" customWidth="1"/>
    <col min="12831" max="12832" width="11" style="153" customWidth="1"/>
    <col min="12833" max="12833" width="9.5" style="153" customWidth="1"/>
    <col min="12834" max="12834" width="9" style="153"/>
    <col min="12835" max="12835" width="9.375" style="153" customWidth="1"/>
    <col min="12836" max="12836" width="2.75" style="153" customWidth="1"/>
    <col min="12837" max="12838" width="10" style="153" customWidth="1"/>
    <col min="12839" max="12839" width="9.125" style="153" customWidth="1"/>
    <col min="12840" max="12840" width="9.5" style="153" customWidth="1"/>
    <col min="12841" max="12841" width="9.75" style="153" customWidth="1"/>
    <col min="12842" max="13056" width="9" style="153"/>
    <col min="13057" max="13057" width="5.5" style="153" customWidth="1"/>
    <col min="13058" max="13058" width="6.75" style="153" customWidth="1"/>
    <col min="13059" max="13059" width="5.5" style="153" customWidth="1"/>
    <col min="13060" max="13060" width="6.75" style="153" customWidth="1"/>
    <col min="13061" max="13061" width="1.75" style="153" customWidth="1"/>
    <col min="13062" max="13062" width="5.5" style="153" customWidth="1"/>
    <col min="13063" max="13063" width="6.75" style="153" customWidth="1"/>
    <col min="13064" max="13064" width="5.5" style="153" customWidth="1"/>
    <col min="13065" max="13065" width="6.75" style="153" customWidth="1"/>
    <col min="13066" max="13066" width="1.75" style="153" customWidth="1"/>
    <col min="13067" max="13067" width="4.75" style="153" customWidth="1"/>
    <col min="13068" max="13068" width="6.75" style="153" customWidth="1"/>
    <col min="13069" max="13069" width="5.5" style="153" customWidth="1"/>
    <col min="13070" max="13070" width="6.75" style="153" customWidth="1"/>
    <col min="13071" max="13071" width="1.75" style="153" customWidth="1"/>
    <col min="13072" max="13072" width="4.75" style="153" customWidth="1"/>
    <col min="13073" max="13073" width="6.75" style="153" customWidth="1"/>
    <col min="13074" max="13074" width="5.5" style="153" customWidth="1"/>
    <col min="13075" max="13075" width="6.75" style="153" customWidth="1"/>
    <col min="13076" max="13076" width="1.75" style="153" customWidth="1"/>
    <col min="13077" max="13077" width="4.75" style="153" customWidth="1"/>
    <col min="13078" max="13078" width="6.75" style="153" customWidth="1"/>
    <col min="13079" max="13079" width="5.5" style="153" customWidth="1"/>
    <col min="13080" max="13080" width="6.75" style="153" customWidth="1"/>
    <col min="13081" max="13081" width="1.75" style="153" customWidth="1"/>
    <col min="13082" max="13082" width="4.75" style="153" customWidth="1"/>
    <col min="13083" max="13083" width="6.75" style="153" customWidth="1"/>
    <col min="13084" max="13084" width="5.5" style="153" customWidth="1"/>
    <col min="13085" max="13085" width="6.75" style="153" customWidth="1"/>
    <col min="13086" max="13086" width="5" style="153" customWidth="1"/>
    <col min="13087" max="13088" width="11" style="153" customWidth="1"/>
    <col min="13089" max="13089" width="9.5" style="153" customWidth="1"/>
    <col min="13090" max="13090" width="9" style="153"/>
    <col min="13091" max="13091" width="9.375" style="153" customWidth="1"/>
    <col min="13092" max="13092" width="2.75" style="153" customWidth="1"/>
    <col min="13093" max="13094" width="10" style="153" customWidth="1"/>
    <col min="13095" max="13095" width="9.125" style="153" customWidth="1"/>
    <col min="13096" max="13096" width="9.5" style="153" customWidth="1"/>
    <col min="13097" max="13097" width="9.75" style="153" customWidth="1"/>
    <col min="13098" max="13312" width="9" style="153"/>
    <col min="13313" max="13313" width="5.5" style="153" customWidth="1"/>
    <col min="13314" max="13314" width="6.75" style="153" customWidth="1"/>
    <col min="13315" max="13315" width="5.5" style="153" customWidth="1"/>
    <col min="13316" max="13316" width="6.75" style="153" customWidth="1"/>
    <col min="13317" max="13317" width="1.75" style="153" customWidth="1"/>
    <col min="13318" max="13318" width="5.5" style="153" customWidth="1"/>
    <col min="13319" max="13319" width="6.75" style="153" customWidth="1"/>
    <col min="13320" max="13320" width="5.5" style="153" customWidth="1"/>
    <col min="13321" max="13321" width="6.75" style="153" customWidth="1"/>
    <col min="13322" max="13322" width="1.75" style="153" customWidth="1"/>
    <col min="13323" max="13323" width="4.75" style="153" customWidth="1"/>
    <col min="13324" max="13324" width="6.75" style="153" customWidth="1"/>
    <col min="13325" max="13325" width="5.5" style="153" customWidth="1"/>
    <col min="13326" max="13326" width="6.75" style="153" customWidth="1"/>
    <col min="13327" max="13327" width="1.75" style="153" customWidth="1"/>
    <col min="13328" max="13328" width="4.75" style="153" customWidth="1"/>
    <col min="13329" max="13329" width="6.75" style="153" customWidth="1"/>
    <col min="13330" max="13330" width="5.5" style="153" customWidth="1"/>
    <col min="13331" max="13331" width="6.75" style="153" customWidth="1"/>
    <col min="13332" max="13332" width="1.75" style="153" customWidth="1"/>
    <col min="13333" max="13333" width="4.75" style="153" customWidth="1"/>
    <col min="13334" max="13334" width="6.75" style="153" customWidth="1"/>
    <col min="13335" max="13335" width="5.5" style="153" customWidth="1"/>
    <col min="13336" max="13336" width="6.75" style="153" customWidth="1"/>
    <col min="13337" max="13337" width="1.75" style="153" customWidth="1"/>
    <col min="13338" max="13338" width="4.75" style="153" customWidth="1"/>
    <col min="13339" max="13339" width="6.75" style="153" customWidth="1"/>
    <col min="13340" max="13340" width="5.5" style="153" customWidth="1"/>
    <col min="13341" max="13341" width="6.75" style="153" customWidth="1"/>
    <col min="13342" max="13342" width="5" style="153" customWidth="1"/>
    <col min="13343" max="13344" width="11" style="153" customWidth="1"/>
    <col min="13345" max="13345" width="9.5" style="153" customWidth="1"/>
    <col min="13346" max="13346" width="9" style="153"/>
    <col min="13347" max="13347" width="9.375" style="153" customWidth="1"/>
    <col min="13348" max="13348" width="2.75" style="153" customWidth="1"/>
    <col min="13349" max="13350" width="10" style="153" customWidth="1"/>
    <col min="13351" max="13351" width="9.125" style="153" customWidth="1"/>
    <col min="13352" max="13352" width="9.5" style="153" customWidth="1"/>
    <col min="13353" max="13353" width="9.75" style="153" customWidth="1"/>
    <col min="13354" max="13568" width="9" style="153"/>
    <col min="13569" max="13569" width="5.5" style="153" customWidth="1"/>
    <col min="13570" max="13570" width="6.75" style="153" customWidth="1"/>
    <col min="13571" max="13571" width="5.5" style="153" customWidth="1"/>
    <col min="13572" max="13572" width="6.75" style="153" customWidth="1"/>
    <col min="13573" max="13573" width="1.75" style="153" customWidth="1"/>
    <col min="13574" max="13574" width="5.5" style="153" customWidth="1"/>
    <col min="13575" max="13575" width="6.75" style="153" customWidth="1"/>
    <col min="13576" max="13576" width="5.5" style="153" customWidth="1"/>
    <col min="13577" max="13577" width="6.75" style="153" customWidth="1"/>
    <col min="13578" max="13578" width="1.75" style="153" customWidth="1"/>
    <col min="13579" max="13579" width="4.75" style="153" customWidth="1"/>
    <col min="13580" max="13580" width="6.75" style="153" customWidth="1"/>
    <col min="13581" max="13581" width="5.5" style="153" customWidth="1"/>
    <col min="13582" max="13582" width="6.75" style="153" customWidth="1"/>
    <col min="13583" max="13583" width="1.75" style="153" customWidth="1"/>
    <col min="13584" max="13584" width="4.75" style="153" customWidth="1"/>
    <col min="13585" max="13585" width="6.75" style="153" customWidth="1"/>
    <col min="13586" max="13586" width="5.5" style="153" customWidth="1"/>
    <col min="13587" max="13587" width="6.75" style="153" customWidth="1"/>
    <col min="13588" max="13588" width="1.75" style="153" customWidth="1"/>
    <col min="13589" max="13589" width="4.75" style="153" customWidth="1"/>
    <col min="13590" max="13590" width="6.75" style="153" customWidth="1"/>
    <col min="13591" max="13591" width="5.5" style="153" customWidth="1"/>
    <col min="13592" max="13592" width="6.75" style="153" customWidth="1"/>
    <col min="13593" max="13593" width="1.75" style="153" customWidth="1"/>
    <col min="13594" max="13594" width="4.75" style="153" customWidth="1"/>
    <col min="13595" max="13595" width="6.75" style="153" customWidth="1"/>
    <col min="13596" max="13596" width="5.5" style="153" customWidth="1"/>
    <col min="13597" max="13597" width="6.75" style="153" customWidth="1"/>
    <col min="13598" max="13598" width="5" style="153" customWidth="1"/>
    <col min="13599" max="13600" width="11" style="153" customWidth="1"/>
    <col min="13601" max="13601" width="9.5" style="153" customWidth="1"/>
    <col min="13602" max="13602" width="9" style="153"/>
    <col min="13603" max="13603" width="9.375" style="153" customWidth="1"/>
    <col min="13604" max="13604" width="2.75" style="153" customWidth="1"/>
    <col min="13605" max="13606" width="10" style="153" customWidth="1"/>
    <col min="13607" max="13607" width="9.125" style="153" customWidth="1"/>
    <col min="13608" max="13608" width="9.5" style="153" customWidth="1"/>
    <col min="13609" max="13609" width="9.75" style="153" customWidth="1"/>
    <col min="13610" max="13824" width="9" style="153"/>
    <col min="13825" max="13825" width="5.5" style="153" customWidth="1"/>
    <col min="13826" max="13826" width="6.75" style="153" customWidth="1"/>
    <col min="13827" max="13827" width="5.5" style="153" customWidth="1"/>
    <col min="13828" max="13828" width="6.75" style="153" customWidth="1"/>
    <col min="13829" max="13829" width="1.75" style="153" customWidth="1"/>
    <col min="13830" max="13830" width="5.5" style="153" customWidth="1"/>
    <col min="13831" max="13831" width="6.75" style="153" customWidth="1"/>
    <col min="13832" max="13832" width="5.5" style="153" customWidth="1"/>
    <col min="13833" max="13833" width="6.75" style="153" customWidth="1"/>
    <col min="13834" max="13834" width="1.75" style="153" customWidth="1"/>
    <col min="13835" max="13835" width="4.75" style="153" customWidth="1"/>
    <col min="13836" max="13836" width="6.75" style="153" customWidth="1"/>
    <col min="13837" max="13837" width="5.5" style="153" customWidth="1"/>
    <col min="13838" max="13838" width="6.75" style="153" customWidth="1"/>
    <col min="13839" max="13839" width="1.75" style="153" customWidth="1"/>
    <col min="13840" max="13840" width="4.75" style="153" customWidth="1"/>
    <col min="13841" max="13841" width="6.75" style="153" customWidth="1"/>
    <col min="13842" max="13842" width="5.5" style="153" customWidth="1"/>
    <col min="13843" max="13843" width="6.75" style="153" customWidth="1"/>
    <col min="13844" max="13844" width="1.75" style="153" customWidth="1"/>
    <col min="13845" max="13845" width="4.75" style="153" customWidth="1"/>
    <col min="13846" max="13846" width="6.75" style="153" customWidth="1"/>
    <col min="13847" max="13847" width="5.5" style="153" customWidth="1"/>
    <col min="13848" max="13848" width="6.75" style="153" customWidth="1"/>
    <col min="13849" max="13849" width="1.75" style="153" customWidth="1"/>
    <col min="13850" max="13850" width="4.75" style="153" customWidth="1"/>
    <col min="13851" max="13851" width="6.75" style="153" customWidth="1"/>
    <col min="13852" max="13852" width="5.5" style="153" customWidth="1"/>
    <col min="13853" max="13853" width="6.75" style="153" customWidth="1"/>
    <col min="13854" max="13854" width="5" style="153" customWidth="1"/>
    <col min="13855" max="13856" width="11" style="153" customWidth="1"/>
    <col min="13857" max="13857" width="9.5" style="153" customWidth="1"/>
    <col min="13858" max="13858" width="9" style="153"/>
    <col min="13859" max="13859" width="9.375" style="153" customWidth="1"/>
    <col min="13860" max="13860" width="2.75" style="153" customWidth="1"/>
    <col min="13861" max="13862" width="10" style="153" customWidth="1"/>
    <col min="13863" max="13863" width="9.125" style="153" customWidth="1"/>
    <col min="13864" max="13864" width="9.5" style="153" customWidth="1"/>
    <col min="13865" max="13865" width="9.75" style="153" customWidth="1"/>
    <col min="13866" max="14080" width="9" style="153"/>
    <col min="14081" max="14081" width="5.5" style="153" customWidth="1"/>
    <col min="14082" max="14082" width="6.75" style="153" customWidth="1"/>
    <col min="14083" max="14083" width="5.5" style="153" customWidth="1"/>
    <col min="14084" max="14084" width="6.75" style="153" customWidth="1"/>
    <col min="14085" max="14085" width="1.75" style="153" customWidth="1"/>
    <col min="14086" max="14086" width="5.5" style="153" customWidth="1"/>
    <col min="14087" max="14087" width="6.75" style="153" customWidth="1"/>
    <col min="14088" max="14088" width="5.5" style="153" customWidth="1"/>
    <col min="14089" max="14089" width="6.75" style="153" customWidth="1"/>
    <col min="14090" max="14090" width="1.75" style="153" customWidth="1"/>
    <col min="14091" max="14091" width="4.75" style="153" customWidth="1"/>
    <col min="14092" max="14092" width="6.75" style="153" customWidth="1"/>
    <col min="14093" max="14093" width="5.5" style="153" customWidth="1"/>
    <col min="14094" max="14094" width="6.75" style="153" customWidth="1"/>
    <col min="14095" max="14095" width="1.75" style="153" customWidth="1"/>
    <col min="14096" max="14096" width="4.75" style="153" customWidth="1"/>
    <col min="14097" max="14097" width="6.75" style="153" customWidth="1"/>
    <col min="14098" max="14098" width="5.5" style="153" customWidth="1"/>
    <col min="14099" max="14099" width="6.75" style="153" customWidth="1"/>
    <col min="14100" max="14100" width="1.75" style="153" customWidth="1"/>
    <col min="14101" max="14101" width="4.75" style="153" customWidth="1"/>
    <col min="14102" max="14102" width="6.75" style="153" customWidth="1"/>
    <col min="14103" max="14103" width="5.5" style="153" customWidth="1"/>
    <col min="14104" max="14104" width="6.75" style="153" customWidth="1"/>
    <col min="14105" max="14105" width="1.75" style="153" customWidth="1"/>
    <col min="14106" max="14106" width="4.75" style="153" customWidth="1"/>
    <col min="14107" max="14107" width="6.75" style="153" customWidth="1"/>
    <col min="14108" max="14108" width="5.5" style="153" customWidth="1"/>
    <col min="14109" max="14109" width="6.75" style="153" customWidth="1"/>
    <col min="14110" max="14110" width="5" style="153" customWidth="1"/>
    <col min="14111" max="14112" width="11" style="153" customWidth="1"/>
    <col min="14113" max="14113" width="9.5" style="153" customWidth="1"/>
    <col min="14114" max="14114" width="9" style="153"/>
    <col min="14115" max="14115" width="9.375" style="153" customWidth="1"/>
    <col min="14116" max="14116" width="2.75" style="153" customWidth="1"/>
    <col min="14117" max="14118" width="10" style="153" customWidth="1"/>
    <col min="14119" max="14119" width="9.125" style="153" customWidth="1"/>
    <col min="14120" max="14120" width="9.5" style="153" customWidth="1"/>
    <col min="14121" max="14121" width="9.75" style="153" customWidth="1"/>
    <col min="14122" max="14336" width="9" style="153"/>
    <col min="14337" max="14337" width="5.5" style="153" customWidth="1"/>
    <col min="14338" max="14338" width="6.75" style="153" customWidth="1"/>
    <col min="14339" max="14339" width="5.5" style="153" customWidth="1"/>
    <col min="14340" max="14340" width="6.75" style="153" customWidth="1"/>
    <col min="14341" max="14341" width="1.75" style="153" customWidth="1"/>
    <col min="14342" max="14342" width="5.5" style="153" customWidth="1"/>
    <col min="14343" max="14343" width="6.75" style="153" customWidth="1"/>
    <col min="14344" max="14344" width="5.5" style="153" customWidth="1"/>
    <col min="14345" max="14345" width="6.75" style="153" customWidth="1"/>
    <col min="14346" max="14346" width="1.75" style="153" customWidth="1"/>
    <col min="14347" max="14347" width="4.75" style="153" customWidth="1"/>
    <col min="14348" max="14348" width="6.75" style="153" customWidth="1"/>
    <col min="14349" max="14349" width="5.5" style="153" customWidth="1"/>
    <col min="14350" max="14350" width="6.75" style="153" customWidth="1"/>
    <col min="14351" max="14351" width="1.75" style="153" customWidth="1"/>
    <col min="14352" max="14352" width="4.75" style="153" customWidth="1"/>
    <col min="14353" max="14353" width="6.75" style="153" customWidth="1"/>
    <col min="14354" max="14354" width="5.5" style="153" customWidth="1"/>
    <col min="14355" max="14355" width="6.75" style="153" customWidth="1"/>
    <col min="14356" max="14356" width="1.75" style="153" customWidth="1"/>
    <col min="14357" max="14357" width="4.75" style="153" customWidth="1"/>
    <col min="14358" max="14358" width="6.75" style="153" customWidth="1"/>
    <col min="14359" max="14359" width="5.5" style="153" customWidth="1"/>
    <col min="14360" max="14360" width="6.75" style="153" customWidth="1"/>
    <col min="14361" max="14361" width="1.75" style="153" customWidth="1"/>
    <col min="14362" max="14362" width="4.75" style="153" customWidth="1"/>
    <col min="14363" max="14363" width="6.75" style="153" customWidth="1"/>
    <col min="14364" max="14364" width="5.5" style="153" customWidth="1"/>
    <col min="14365" max="14365" width="6.75" style="153" customWidth="1"/>
    <col min="14366" max="14366" width="5" style="153" customWidth="1"/>
    <col min="14367" max="14368" width="11" style="153" customWidth="1"/>
    <col min="14369" max="14369" width="9.5" style="153" customWidth="1"/>
    <col min="14370" max="14370" width="9" style="153"/>
    <col min="14371" max="14371" width="9.375" style="153" customWidth="1"/>
    <col min="14372" max="14372" width="2.75" style="153" customWidth="1"/>
    <col min="14373" max="14374" width="10" style="153" customWidth="1"/>
    <col min="14375" max="14375" width="9.125" style="153" customWidth="1"/>
    <col min="14376" max="14376" width="9.5" style="153" customWidth="1"/>
    <col min="14377" max="14377" width="9.75" style="153" customWidth="1"/>
    <col min="14378" max="14592" width="9" style="153"/>
    <col min="14593" max="14593" width="5.5" style="153" customWidth="1"/>
    <col min="14594" max="14594" width="6.75" style="153" customWidth="1"/>
    <col min="14595" max="14595" width="5.5" style="153" customWidth="1"/>
    <col min="14596" max="14596" width="6.75" style="153" customWidth="1"/>
    <col min="14597" max="14597" width="1.75" style="153" customWidth="1"/>
    <col min="14598" max="14598" width="5.5" style="153" customWidth="1"/>
    <col min="14599" max="14599" width="6.75" style="153" customWidth="1"/>
    <col min="14600" max="14600" width="5.5" style="153" customWidth="1"/>
    <col min="14601" max="14601" width="6.75" style="153" customWidth="1"/>
    <col min="14602" max="14602" width="1.75" style="153" customWidth="1"/>
    <col min="14603" max="14603" width="4.75" style="153" customWidth="1"/>
    <col min="14604" max="14604" width="6.75" style="153" customWidth="1"/>
    <col min="14605" max="14605" width="5.5" style="153" customWidth="1"/>
    <col min="14606" max="14606" width="6.75" style="153" customWidth="1"/>
    <col min="14607" max="14607" width="1.75" style="153" customWidth="1"/>
    <col min="14608" max="14608" width="4.75" style="153" customWidth="1"/>
    <col min="14609" max="14609" width="6.75" style="153" customWidth="1"/>
    <col min="14610" max="14610" width="5.5" style="153" customWidth="1"/>
    <col min="14611" max="14611" width="6.75" style="153" customWidth="1"/>
    <col min="14612" max="14612" width="1.75" style="153" customWidth="1"/>
    <col min="14613" max="14613" width="4.75" style="153" customWidth="1"/>
    <col min="14614" max="14614" width="6.75" style="153" customWidth="1"/>
    <col min="14615" max="14615" width="5.5" style="153" customWidth="1"/>
    <col min="14616" max="14616" width="6.75" style="153" customWidth="1"/>
    <col min="14617" max="14617" width="1.75" style="153" customWidth="1"/>
    <col min="14618" max="14618" width="4.75" style="153" customWidth="1"/>
    <col min="14619" max="14619" width="6.75" style="153" customWidth="1"/>
    <col min="14620" max="14620" width="5.5" style="153" customWidth="1"/>
    <col min="14621" max="14621" width="6.75" style="153" customWidth="1"/>
    <col min="14622" max="14622" width="5" style="153" customWidth="1"/>
    <col min="14623" max="14624" width="11" style="153" customWidth="1"/>
    <col min="14625" max="14625" width="9.5" style="153" customWidth="1"/>
    <col min="14626" max="14626" width="9" style="153"/>
    <col min="14627" max="14627" width="9.375" style="153" customWidth="1"/>
    <col min="14628" max="14628" width="2.75" style="153" customWidth="1"/>
    <col min="14629" max="14630" width="10" style="153" customWidth="1"/>
    <col min="14631" max="14631" width="9.125" style="153" customWidth="1"/>
    <col min="14632" max="14632" width="9.5" style="153" customWidth="1"/>
    <col min="14633" max="14633" width="9.75" style="153" customWidth="1"/>
    <col min="14634" max="14848" width="9" style="153"/>
    <col min="14849" max="14849" width="5.5" style="153" customWidth="1"/>
    <col min="14850" max="14850" width="6.75" style="153" customWidth="1"/>
    <col min="14851" max="14851" width="5.5" style="153" customWidth="1"/>
    <col min="14852" max="14852" width="6.75" style="153" customWidth="1"/>
    <col min="14853" max="14853" width="1.75" style="153" customWidth="1"/>
    <col min="14854" max="14854" width="5.5" style="153" customWidth="1"/>
    <col min="14855" max="14855" width="6.75" style="153" customWidth="1"/>
    <col min="14856" max="14856" width="5.5" style="153" customWidth="1"/>
    <col min="14857" max="14857" width="6.75" style="153" customWidth="1"/>
    <col min="14858" max="14858" width="1.75" style="153" customWidth="1"/>
    <col min="14859" max="14859" width="4.75" style="153" customWidth="1"/>
    <col min="14860" max="14860" width="6.75" style="153" customWidth="1"/>
    <col min="14861" max="14861" width="5.5" style="153" customWidth="1"/>
    <col min="14862" max="14862" width="6.75" style="153" customWidth="1"/>
    <col min="14863" max="14863" width="1.75" style="153" customWidth="1"/>
    <col min="14864" max="14864" width="4.75" style="153" customWidth="1"/>
    <col min="14865" max="14865" width="6.75" style="153" customWidth="1"/>
    <col min="14866" max="14866" width="5.5" style="153" customWidth="1"/>
    <col min="14867" max="14867" width="6.75" style="153" customWidth="1"/>
    <col min="14868" max="14868" width="1.75" style="153" customWidth="1"/>
    <col min="14869" max="14869" width="4.75" style="153" customWidth="1"/>
    <col min="14870" max="14870" width="6.75" style="153" customWidth="1"/>
    <col min="14871" max="14871" width="5.5" style="153" customWidth="1"/>
    <col min="14872" max="14872" width="6.75" style="153" customWidth="1"/>
    <col min="14873" max="14873" width="1.75" style="153" customWidth="1"/>
    <col min="14874" max="14874" width="4.75" style="153" customWidth="1"/>
    <col min="14875" max="14875" width="6.75" style="153" customWidth="1"/>
    <col min="14876" max="14876" width="5.5" style="153" customWidth="1"/>
    <col min="14877" max="14877" width="6.75" style="153" customWidth="1"/>
    <col min="14878" max="14878" width="5" style="153" customWidth="1"/>
    <col min="14879" max="14880" width="11" style="153" customWidth="1"/>
    <col min="14881" max="14881" width="9.5" style="153" customWidth="1"/>
    <col min="14882" max="14882" width="9" style="153"/>
    <col min="14883" max="14883" width="9.375" style="153" customWidth="1"/>
    <col min="14884" max="14884" width="2.75" style="153" customWidth="1"/>
    <col min="14885" max="14886" width="10" style="153" customWidth="1"/>
    <col min="14887" max="14887" width="9.125" style="153" customWidth="1"/>
    <col min="14888" max="14888" width="9.5" style="153" customWidth="1"/>
    <col min="14889" max="14889" width="9.75" style="153" customWidth="1"/>
    <col min="14890" max="15104" width="9" style="153"/>
    <col min="15105" max="15105" width="5.5" style="153" customWidth="1"/>
    <col min="15106" max="15106" width="6.75" style="153" customWidth="1"/>
    <col min="15107" max="15107" width="5.5" style="153" customWidth="1"/>
    <col min="15108" max="15108" width="6.75" style="153" customWidth="1"/>
    <col min="15109" max="15109" width="1.75" style="153" customWidth="1"/>
    <col min="15110" max="15110" width="5.5" style="153" customWidth="1"/>
    <col min="15111" max="15111" width="6.75" style="153" customWidth="1"/>
    <col min="15112" max="15112" width="5.5" style="153" customWidth="1"/>
    <col min="15113" max="15113" width="6.75" style="153" customWidth="1"/>
    <col min="15114" max="15114" width="1.75" style="153" customWidth="1"/>
    <col min="15115" max="15115" width="4.75" style="153" customWidth="1"/>
    <col min="15116" max="15116" width="6.75" style="153" customWidth="1"/>
    <col min="15117" max="15117" width="5.5" style="153" customWidth="1"/>
    <col min="15118" max="15118" width="6.75" style="153" customWidth="1"/>
    <col min="15119" max="15119" width="1.75" style="153" customWidth="1"/>
    <col min="15120" max="15120" width="4.75" style="153" customWidth="1"/>
    <col min="15121" max="15121" width="6.75" style="153" customWidth="1"/>
    <col min="15122" max="15122" width="5.5" style="153" customWidth="1"/>
    <col min="15123" max="15123" width="6.75" style="153" customWidth="1"/>
    <col min="15124" max="15124" width="1.75" style="153" customWidth="1"/>
    <col min="15125" max="15125" width="4.75" style="153" customWidth="1"/>
    <col min="15126" max="15126" width="6.75" style="153" customWidth="1"/>
    <col min="15127" max="15127" width="5.5" style="153" customWidth="1"/>
    <col min="15128" max="15128" width="6.75" style="153" customWidth="1"/>
    <col min="15129" max="15129" width="1.75" style="153" customWidth="1"/>
    <col min="15130" max="15130" width="4.75" style="153" customWidth="1"/>
    <col min="15131" max="15131" width="6.75" style="153" customWidth="1"/>
    <col min="15132" max="15132" width="5.5" style="153" customWidth="1"/>
    <col min="15133" max="15133" width="6.75" style="153" customWidth="1"/>
    <col min="15134" max="15134" width="5" style="153" customWidth="1"/>
    <col min="15135" max="15136" width="11" style="153" customWidth="1"/>
    <col min="15137" max="15137" width="9.5" style="153" customWidth="1"/>
    <col min="15138" max="15138" width="9" style="153"/>
    <col min="15139" max="15139" width="9.375" style="153" customWidth="1"/>
    <col min="15140" max="15140" width="2.75" style="153" customWidth="1"/>
    <col min="15141" max="15142" width="10" style="153" customWidth="1"/>
    <col min="15143" max="15143" width="9.125" style="153" customWidth="1"/>
    <col min="15144" max="15144" width="9.5" style="153" customWidth="1"/>
    <col min="15145" max="15145" width="9.75" style="153" customWidth="1"/>
    <col min="15146" max="15360" width="9" style="153"/>
    <col min="15361" max="15361" width="5.5" style="153" customWidth="1"/>
    <col min="15362" max="15362" width="6.75" style="153" customWidth="1"/>
    <col min="15363" max="15363" width="5.5" style="153" customWidth="1"/>
    <col min="15364" max="15364" width="6.75" style="153" customWidth="1"/>
    <col min="15365" max="15365" width="1.75" style="153" customWidth="1"/>
    <col min="15366" max="15366" width="5.5" style="153" customWidth="1"/>
    <col min="15367" max="15367" width="6.75" style="153" customWidth="1"/>
    <col min="15368" max="15368" width="5.5" style="153" customWidth="1"/>
    <col min="15369" max="15369" width="6.75" style="153" customWidth="1"/>
    <col min="15370" max="15370" width="1.75" style="153" customWidth="1"/>
    <col min="15371" max="15371" width="4.75" style="153" customWidth="1"/>
    <col min="15372" max="15372" width="6.75" style="153" customWidth="1"/>
    <col min="15373" max="15373" width="5.5" style="153" customWidth="1"/>
    <col min="15374" max="15374" width="6.75" style="153" customWidth="1"/>
    <col min="15375" max="15375" width="1.75" style="153" customWidth="1"/>
    <col min="15376" max="15376" width="4.75" style="153" customWidth="1"/>
    <col min="15377" max="15377" width="6.75" style="153" customWidth="1"/>
    <col min="15378" max="15378" width="5.5" style="153" customWidth="1"/>
    <col min="15379" max="15379" width="6.75" style="153" customWidth="1"/>
    <col min="15380" max="15380" width="1.75" style="153" customWidth="1"/>
    <col min="15381" max="15381" width="4.75" style="153" customWidth="1"/>
    <col min="15382" max="15382" width="6.75" style="153" customWidth="1"/>
    <col min="15383" max="15383" width="5.5" style="153" customWidth="1"/>
    <col min="15384" max="15384" width="6.75" style="153" customWidth="1"/>
    <col min="15385" max="15385" width="1.75" style="153" customWidth="1"/>
    <col min="15386" max="15386" width="4.75" style="153" customWidth="1"/>
    <col min="15387" max="15387" width="6.75" style="153" customWidth="1"/>
    <col min="15388" max="15388" width="5.5" style="153" customWidth="1"/>
    <col min="15389" max="15389" width="6.75" style="153" customWidth="1"/>
    <col min="15390" max="15390" width="5" style="153" customWidth="1"/>
    <col min="15391" max="15392" width="11" style="153" customWidth="1"/>
    <col min="15393" max="15393" width="9.5" style="153" customWidth="1"/>
    <col min="15394" max="15394" width="9" style="153"/>
    <col min="15395" max="15395" width="9.375" style="153" customWidth="1"/>
    <col min="15396" max="15396" width="2.75" style="153" customWidth="1"/>
    <col min="15397" max="15398" width="10" style="153" customWidth="1"/>
    <col min="15399" max="15399" width="9.125" style="153" customWidth="1"/>
    <col min="15400" max="15400" width="9.5" style="153" customWidth="1"/>
    <col min="15401" max="15401" width="9.75" style="153" customWidth="1"/>
    <col min="15402" max="15616" width="9" style="153"/>
    <col min="15617" max="15617" width="5.5" style="153" customWidth="1"/>
    <col min="15618" max="15618" width="6.75" style="153" customWidth="1"/>
    <col min="15619" max="15619" width="5.5" style="153" customWidth="1"/>
    <col min="15620" max="15620" width="6.75" style="153" customWidth="1"/>
    <col min="15621" max="15621" width="1.75" style="153" customWidth="1"/>
    <col min="15622" max="15622" width="5.5" style="153" customWidth="1"/>
    <col min="15623" max="15623" width="6.75" style="153" customWidth="1"/>
    <col min="15624" max="15624" width="5.5" style="153" customWidth="1"/>
    <col min="15625" max="15625" width="6.75" style="153" customWidth="1"/>
    <col min="15626" max="15626" width="1.75" style="153" customWidth="1"/>
    <col min="15627" max="15627" width="4.75" style="153" customWidth="1"/>
    <col min="15628" max="15628" width="6.75" style="153" customWidth="1"/>
    <col min="15629" max="15629" width="5.5" style="153" customWidth="1"/>
    <col min="15630" max="15630" width="6.75" style="153" customWidth="1"/>
    <col min="15631" max="15631" width="1.75" style="153" customWidth="1"/>
    <col min="15632" max="15632" width="4.75" style="153" customWidth="1"/>
    <col min="15633" max="15633" width="6.75" style="153" customWidth="1"/>
    <col min="15634" max="15634" width="5.5" style="153" customWidth="1"/>
    <col min="15635" max="15635" width="6.75" style="153" customWidth="1"/>
    <col min="15636" max="15636" width="1.75" style="153" customWidth="1"/>
    <col min="15637" max="15637" width="4.75" style="153" customWidth="1"/>
    <col min="15638" max="15638" width="6.75" style="153" customWidth="1"/>
    <col min="15639" max="15639" width="5.5" style="153" customWidth="1"/>
    <col min="15640" max="15640" width="6.75" style="153" customWidth="1"/>
    <col min="15641" max="15641" width="1.75" style="153" customWidth="1"/>
    <col min="15642" max="15642" width="4.75" style="153" customWidth="1"/>
    <col min="15643" max="15643" width="6.75" style="153" customWidth="1"/>
    <col min="15644" max="15644" width="5.5" style="153" customWidth="1"/>
    <col min="15645" max="15645" width="6.75" style="153" customWidth="1"/>
    <col min="15646" max="15646" width="5" style="153" customWidth="1"/>
    <col min="15647" max="15648" width="11" style="153" customWidth="1"/>
    <col min="15649" max="15649" width="9.5" style="153" customWidth="1"/>
    <col min="15650" max="15650" width="9" style="153"/>
    <col min="15651" max="15651" width="9.375" style="153" customWidth="1"/>
    <col min="15652" max="15652" width="2.75" style="153" customWidth="1"/>
    <col min="15653" max="15654" width="10" style="153" customWidth="1"/>
    <col min="15655" max="15655" width="9.125" style="153" customWidth="1"/>
    <col min="15656" max="15656" width="9.5" style="153" customWidth="1"/>
    <col min="15657" max="15657" width="9.75" style="153" customWidth="1"/>
    <col min="15658" max="15872" width="9" style="153"/>
    <col min="15873" max="15873" width="5.5" style="153" customWidth="1"/>
    <col min="15874" max="15874" width="6.75" style="153" customWidth="1"/>
    <col min="15875" max="15875" width="5.5" style="153" customWidth="1"/>
    <col min="15876" max="15876" width="6.75" style="153" customWidth="1"/>
    <col min="15877" max="15877" width="1.75" style="153" customWidth="1"/>
    <col min="15878" max="15878" width="5.5" style="153" customWidth="1"/>
    <col min="15879" max="15879" width="6.75" style="153" customWidth="1"/>
    <col min="15880" max="15880" width="5.5" style="153" customWidth="1"/>
    <col min="15881" max="15881" width="6.75" style="153" customWidth="1"/>
    <col min="15882" max="15882" width="1.75" style="153" customWidth="1"/>
    <col min="15883" max="15883" width="4.75" style="153" customWidth="1"/>
    <col min="15884" max="15884" width="6.75" style="153" customWidth="1"/>
    <col min="15885" max="15885" width="5.5" style="153" customWidth="1"/>
    <col min="15886" max="15886" width="6.75" style="153" customWidth="1"/>
    <col min="15887" max="15887" width="1.75" style="153" customWidth="1"/>
    <col min="15888" max="15888" width="4.75" style="153" customWidth="1"/>
    <col min="15889" max="15889" width="6.75" style="153" customWidth="1"/>
    <col min="15890" max="15890" width="5.5" style="153" customWidth="1"/>
    <col min="15891" max="15891" width="6.75" style="153" customWidth="1"/>
    <col min="15892" max="15892" width="1.75" style="153" customWidth="1"/>
    <col min="15893" max="15893" width="4.75" style="153" customWidth="1"/>
    <col min="15894" max="15894" width="6.75" style="153" customWidth="1"/>
    <col min="15895" max="15895" width="5.5" style="153" customWidth="1"/>
    <col min="15896" max="15896" width="6.75" style="153" customWidth="1"/>
    <col min="15897" max="15897" width="1.75" style="153" customWidth="1"/>
    <col min="15898" max="15898" width="4.75" style="153" customWidth="1"/>
    <col min="15899" max="15899" width="6.75" style="153" customWidth="1"/>
    <col min="15900" max="15900" width="5.5" style="153" customWidth="1"/>
    <col min="15901" max="15901" width="6.75" style="153" customWidth="1"/>
    <col min="15902" max="15902" width="5" style="153" customWidth="1"/>
    <col min="15903" max="15904" width="11" style="153" customWidth="1"/>
    <col min="15905" max="15905" width="9.5" style="153" customWidth="1"/>
    <col min="15906" max="15906" width="9" style="153"/>
    <col min="15907" max="15907" width="9.375" style="153" customWidth="1"/>
    <col min="15908" max="15908" width="2.75" style="153" customWidth="1"/>
    <col min="15909" max="15910" width="10" style="153" customWidth="1"/>
    <col min="15911" max="15911" width="9.125" style="153" customWidth="1"/>
    <col min="15912" max="15912" width="9.5" style="153" customWidth="1"/>
    <col min="15913" max="15913" width="9.75" style="153" customWidth="1"/>
    <col min="15914" max="16128" width="9" style="153"/>
    <col min="16129" max="16129" width="5.5" style="153" customWidth="1"/>
    <col min="16130" max="16130" width="6.75" style="153" customWidth="1"/>
    <col min="16131" max="16131" width="5.5" style="153" customWidth="1"/>
    <col min="16132" max="16132" width="6.75" style="153" customWidth="1"/>
    <col min="16133" max="16133" width="1.75" style="153" customWidth="1"/>
    <col min="16134" max="16134" width="5.5" style="153" customWidth="1"/>
    <col min="16135" max="16135" width="6.75" style="153" customWidth="1"/>
    <col min="16136" max="16136" width="5.5" style="153" customWidth="1"/>
    <col min="16137" max="16137" width="6.75" style="153" customWidth="1"/>
    <col min="16138" max="16138" width="1.75" style="153" customWidth="1"/>
    <col min="16139" max="16139" width="4.75" style="153" customWidth="1"/>
    <col min="16140" max="16140" width="6.75" style="153" customWidth="1"/>
    <col min="16141" max="16141" width="5.5" style="153" customWidth="1"/>
    <col min="16142" max="16142" width="6.75" style="153" customWidth="1"/>
    <col min="16143" max="16143" width="1.75" style="153" customWidth="1"/>
    <col min="16144" max="16144" width="4.75" style="153" customWidth="1"/>
    <col min="16145" max="16145" width="6.75" style="153" customWidth="1"/>
    <col min="16146" max="16146" width="5.5" style="153" customWidth="1"/>
    <col min="16147" max="16147" width="6.75" style="153" customWidth="1"/>
    <col min="16148" max="16148" width="1.75" style="153" customWidth="1"/>
    <col min="16149" max="16149" width="4.75" style="153" customWidth="1"/>
    <col min="16150" max="16150" width="6.75" style="153" customWidth="1"/>
    <col min="16151" max="16151" width="5.5" style="153" customWidth="1"/>
    <col min="16152" max="16152" width="6.75" style="153" customWidth="1"/>
    <col min="16153" max="16153" width="1.75" style="153" customWidth="1"/>
    <col min="16154" max="16154" width="4.75" style="153" customWidth="1"/>
    <col min="16155" max="16155" width="6.75" style="153" customWidth="1"/>
    <col min="16156" max="16156" width="5.5" style="153" customWidth="1"/>
    <col min="16157" max="16157" width="6.75" style="153" customWidth="1"/>
    <col min="16158" max="16158" width="5" style="153" customWidth="1"/>
    <col min="16159" max="16160" width="11" style="153" customWidth="1"/>
    <col min="16161" max="16161" width="9.5" style="153" customWidth="1"/>
    <col min="16162" max="16162" width="9" style="153"/>
    <col min="16163" max="16163" width="9.375" style="153" customWidth="1"/>
    <col min="16164" max="16164" width="2.75" style="153" customWidth="1"/>
    <col min="16165" max="16166" width="10" style="153" customWidth="1"/>
    <col min="16167" max="16167" width="9.125" style="153" customWidth="1"/>
    <col min="16168" max="16168" width="9.5" style="153" customWidth="1"/>
    <col min="16169" max="16169" width="9.75" style="153" customWidth="1"/>
    <col min="16170" max="16384" width="9" style="153"/>
  </cols>
  <sheetData>
    <row r="1" spans="1:41" ht="24" customHeight="1" thickBot="1" x14ac:dyDescent="0.2">
      <c r="A1" s="151" t="s">
        <v>427</v>
      </c>
      <c r="B1" s="151"/>
      <c r="C1" s="651">
        <f>工事カード!C7</f>
        <v>0</v>
      </c>
      <c r="D1" s="651"/>
      <c r="E1" s="651"/>
      <c r="F1" s="651"/>
      <c r="G1" s="651"/>
      <c r="H1" s="651">
        <f>工事カード!C9</f>
        <v>0</v>
      </c>
      <c r="I1" s="652"/>
      <c r="J1" s="59"/>
      <c r="K1" s="59"/>
      <c r="L1" s="151" t="s">
        <v>428</v>
      </c>
      <c r="M1" s="152"/>
      <c r="N1" s="653">
        <f ca="1">TODAY()</f>
        <v>46326</v>
      </c>
      <c r="O1" s="653"/>
      <c r="P1" s="654"/>
    </row>
    <row r="2" spans="1:41" ht="9.1999999999999993" customHeight="1" x14ac:dyDescent="0.15"/>
    <row r="3" spans="1:41" ht="12.75" customHeight="1" thickBot="1" x14ac:dyDescent="0.2">
      <c r="B3" s="153" t="s">
        <v>12</v>
      </c>
      <c r="D3" s="153" t="s">
        <v>12</v>
      </c>
      <c r="AE3" s="667"/>
      <c r="AF3" s="667"/>
      <c r="AG3" s="667"/>
    </row>
    <row r="4" spans="1:41" ht="30.2" customHeight="1" x14ac:dyDescent="0.15">
      <c r="A4" s="242" t="s">
        <v>430</v>
      </c>
      <c r="B4" s="243" t="s">
        <v>431</v>
      </c>
      <c r="C4" s="243" t="s">
        <v>34</v>
      </c>
      <c r="D4" s="244" t="s">
        <v>432</v>
      </c>
      <c r="E4" s="245"/>
      <c r="F4" s="246" t="s">
        <v>433</v>
      </c>
      <c r="G4" s="243" t="s">
        <v>431</v>
      </c>
      <c r="H4" s="243" t="s">
        <v>34</v>
      </c>
      <c r="I4" s="244" t="s">
        <v>432</v>
      </c>
      <c r="J4" s="245"/>
      <c r="K4" s="247" t="s">
        <v>434</v>
      </c>
      <c r="L4" s="243" t="s">
        <v>431</v>
      </c>
      <c r="M4" s="243" t="s">
        <v>34</v>
      </c>
      <c r="N4" s="244" t="s">
        <v>432</v>
      </c>
      <c r="O4" s="245"/>
      <c r="P4" s="248" t="s">
        <v>435</v>
      </c>
      <c r="Q4" s="243" t="s">
        <v>431</v>
      </c>
      <c r="R4" s="243" t="s">
        <v>34</v>
      </c>
      <c r="S4" s="244" t="s">
        <v>432</v>
      </c>
      <c r="T4" s="245"/>
      <c r="U4" s="249" t="s">
        <v>436</v>
      </c>
      <c r="V4" s="243" t="s">
        <v>431</v>
      </c>
      <c r="W4" s="243" t="s">
        <v>34</v>
      </c>
      <c r="X4" s="244" t="s">
        <v>432</v>
      </c>
      <c r="Y4" s="245"/>
      <c r="Z4" s="249"/>
      <c r="AA4" s="243" t="s">
        <v>431</v>
      </c>
      <c r="AB4" s="243" t="s">
        <v>34</v>
      </c>
      <c r="AC4" s="244" t="s">
        <v>432</v>
      </c>
    </row>
    <row r="5" spans="1:41" ht="12.2" customHeight="1" x14ac:dyDescent="0.15">
      <c r="A5" s="655" t="s">
        <v>437</v>
      </c>
      <c r="B5" s="250"/>
      <c r="C5" s="250"/>
      <c r="D5" s="251">
        <f t="shared" ref="D5:D13" si="0">SUM(B5*C5)</f>
        <v>0</v>
      </c>
      <c r="E5" s="245"/>
      <c r="F5" s="658" t="s">
        <v>437</v>
      </c>
      <c r="G5" s="250"/>
      <c r="H5" s="250"/>
      <c r="I5" s="251">
        <f t="shared" ref="I5:I13" si="1">SUM(G5*H5)</f>
        <v>0</v>
      </c>
      <c r="J5" s="245"/>
      <c r="K5" s="661" t="s">
        <v>437</v>
      </c>
      <c r="L5" s="250"/>
      <c r="M5" s="250"/>
      <c r="N5" s="251">
        <f t="shared" ref="N5:N13" si="2">SUM(L5*M5)</f>
        <v>0</v>
      </c>
      <c r="O5" s="245"/>
      <c r="P5" s="664" t="s">
        <v>437</v>
      </c>
      <c r="Q5" s="250"/>
      <c r="R5" s="250"/>
      <c r="S5" s="251">
        <f t="shared" ref="S5:S13" si="3">SUM(Q5*R5)</f>
        <v>0</v>
      </c>
      <c r="T5" s="245"/>
      <c r="U5" s="664" t="s">
        <v>437</v>
      </c>
      <c r="V5" s="250"/>
      <c r="W5" s="250"/>
      <c r="X5" s="251">
        <f t="shared" ref="X5:X13" si="4">SUM(V5*W5)</f>
        <v>0</v>
      </c>
      <c r="Y5" s="245"/>
      <c r="Z5" s="664" t="s">
        <v>437</v>
      </c>
      <c r="AA5" s="250"/>
      <c r="AB5" s="250"/>
      <c r="AC5" s="251">
        <f>SUM(AA5*AB5)</f>
        <v>0</v>
      </c>
      <c r="AE5" s="667"/>
      <c r="AF5" s="667"/>
      <c r="AG5" s="667"/>
    </row>
    <row r="6" spans="1:41" ht="12.2" customHeight="1" x14ac:dyDescent="0.15">
      <c r="A6" s="656"/>
      <c r="B6" s="250"/>
      <c r="C6" s="250"/>
      <c r="D6" s="251">
        <f t="shared" si="0"/>
        <v>0</v>
      </c>
      <c r="E6" s="245"/>
      <c r="F6" s="659"/>
      <c r="G6" s="250"/>
      <c r="H6" s="250"/>
      <c r="I6" s="251">
        <f t="shared" si="1"/>
        <v>0</v>
      </c>
      <c r="J6" s="245"/>
      <c r="K6" s="662"/>
      <c r="L6" s="250"/>
      <c r="M6" s="250"/>
      <c r="N6" s="251">
        <f t="shared" si="2"/>
        <v>0</v>
      </c>
      <c r="O6" s="245"/>
      <c r="P6" s="665"/>
      <c r="Q6" s="250"/>
      <c r="R6" s="250"/>
      <c r="S6" s="251">
        <f t="shared" si="3"/>
        <v>0</v>
      </c>
      <c r="T6" s="245"/>
      <c r="U6" s="665"/>
      <c r="V6" s="250"/>
      <c r="W6" s="250"/>
      <c r="X6" s="251">
        <f t="shared" si="4"/>
        <v>0</v>
      </c>
      <c r="Y6" s="245"/>
      <c r="Z6" s="665"/>
      <c r="AA6" s="250"/>
      <c r="AB6" s="250"/>
      <c r="AC6" s="251">
        <f>SUM(AA6*AB6)</f>
        <v>0</v>
      </c>
    </row>
    <row r="7" spans="1:41" ht="12.2" customHeight="1" x14ac:dyDescent="0.15">
      <c r="A7" s="656"/>
      <c r="B7" s="250"/>
      <c r="C7" s="250"/>
      <c r="D7" s="251">
        <f t="shared" si="0"/>
        <v>0</v>
      </c>
      <c r="E7" s="245"/>
      <c r="F7" s="659"/>
      <c r="G7" s="250"/>
      <c r="H7" s="250"/>
      <c r="I7" s="251">
        <f t="shared" si="1"/>
        <v>0</v>
      </c>
      <c r="J7" s="245"/>
      <c r="K7" s="662"/>
      <c r="L7" s="250"/>
      <c r="M7" s="250"/>
      <c r="N7" s="251">
        <f t="shared" si="2"/>
        <v>0</v>
      </c>
      <c r="O7" s="245"/>
      <c r="P7" s="665"/>
      <c r="Q7" s="250"/>
      <c r="R7" s="250"/>
      <c r="S7" s="251">
        <f t="shared" si="3"/>
        <v>0</v>
      </c>
      <c r="T7" s="245"/>
      <c r="U7" s="665"/>
      <c r="V7" s="250"/>
      <c r="W7" s="250"/>
      <c r="X7" s="251">
        <f t="shared" si="4"/>
        <v>0</v>
      </c>
      <c r="Y7" s="245"/>
      <c r="Z7" s="665"/>
      <c r="AA7" s="250"/>
      <c r="AB7" s="250"/>
      <c r="AC7" s="251">
        <f>SUM(AA7*AB7)</f>
        <v>0</v>
      </c>
      <c r="AE7" s="667"/>
      <c r="AF7" s="667"/>
      <c r="AG7" s="667"/>
    </row>
    <row r="8" spans="1:41" ht="12.2" customHeight="1" x14ac:dyDescent="0.15">
      <c r="A8" s="656"/>
      <c r="B8" s="250"/>
      <c r="C8" s="250"/>
      <c r="D8" s="251">
        <f>SUM(B8*C8)</f>
        <v>0</v>
      </c>
      <c r="E8" s="245"/>
      <c r="F8" s="659"/>
      <c r="G8" s="250"/>
      <c r="H8" s="250"/>
      <c r="I8" s="251">
        <f>SUM(G8*H8)</f>
        <v>0</v>
      </c>
      <c r="J8" s="245"/>
      <c r="K8" s="662"/>
      <c r="L8" s="250"/>
      <c r="M8" s="250"/>
      <c r="N8" s="251">
        <f>SUM(L8*M8)</f>
        <v>0</v>
      </c>
      <c r="O8" s="245"/>
      <c r="P8" s="665"/>
      <c r="Q8" s="250"/>
      <c r="R8" s="250"/>
      <c r="S8" s="251">
        <f>SUM(Q8*R8)</f>
        <v>0</v>
      </c>
      <c r="T8" s="245"/>
      <c r="U8" s="665"/>
      <c r="V8" s="250"/>
      <c r="W8" s="250"/>
      <c r="X8" s="251">
        <f>SUM(V8*W8)</f>
        <v>0</v>
      </c>
      <c r="Y8" s="245"/>
      <c r="Z8" s="665"/>
      <c r="AA8" s="250"/>
      <c r="AB8" s="250"/>
      <c r="AC8" s="251">
        <f>SUM(AA8*AB8)</f>
        <v>0</v>
      </c>
      <c r="AE8" s="155"/>
      <c r="AF8" s="155"/>
      <c r="AG8" s="155"/>
    </row>
    <row r="9" spans="1:41" ht="12.2" customHeight="1" x14ac:dyDescent="0.15">
      <c r="A9" s="657"/>
      <c r="B9" s="250"/>
      <c r="C9" s="250"/>
      <c r="D9" s="251">
        <f>SUM(B9*C9)</f>
        <v>0</v>
      </c>
      <c r="E9" s="245"/>
      <c r="F9" s="660"/>
      <c r="G9" s="250"/>
      <c r="H9" s="250"/>
      <c r="I9" s="251">
        <f>SUM(G9*H9)</f>
        <v>0</v>
      </c>
      <c r="J9" s="245"/>
      <c r="K9" s="663"/>
      <c r="L9" s="250"/>
      <c r="M9" s="250"/>
      <c r="N9" s="251">
        <f>SUM(L9*M9)</f>
        <v>0</v>
      </c>
      <c r="O9" s="245"/>
      <c r="P9" s="666"/>
      <c r="Q9" s="250"/>
      <c r="R9" s="250"/>
      <c r="S9" s="251">
        <f>SUM(Q9*R9)</f>
        <v>0</v>
      </c>
      <c r="T9" s="245"/>
      <c r="U9" s="666"/>
      <c r="V9" s="250"/>
      <c r="W9" s="250"/>
      <c r="X9" s="251">
        <f>SUM(V9*W9)</f>
        <v>0</v>
      </c>
      <c r="Y9" s="245"/>
      <c r="Z9" s="666"/>
      <c r="AA9" s="250"/>
      <c r="AB9" s="250"/>
      <c r="AC9" s="251"/>
      <c r="AE9" s="155"/>
      <c r="AF9" s="155"/>
      <c r="AG9" s="155"/>
    </row>
    <row r="10" spans="1:41" ht="12.2" customHeight="1" x14ac:dyDescent="0.15">
      <c r="A10" s="668" t="s">
        <v>440</v>
      </c>
      <c r="B10" s="250"/>
      <c r="C10" s="250"/>
      <c r="D10" s="251">
        <f>SUM(B10*C10)</f>
        <v>0</v>
      </c>
      <c r="E10" s="245"/>
      <c r="F10" s="670" t="s">
        <v>440</v>
      </c>
      <c r="G10" s="250"/>
      <c r="H10" s="250"/>
      <c r="I10" s="251">
        <f>SUM(G10*H10)</f>
        <v>0</v>
      </c>
      <c r="J10" s="245"/>
      <c r="K10" s="672" t="s">
        <v>440</v>
      </c>
      <c r="L10" s="250"/>
      <c r="M10" s="250"/>
      <c r="N10" s="251">
        <f>SUM(L10*M10)</f>
        <v>0</v>
      </c>
      <c r="O10" s="245"/>
      <c r="P10" s="674" t="s">
        <v>440</v>
      </c>
      <c r="Q10" s="250"/>
      <c r="R10" s="250"/>
      <c r="S10" s="251">
        <f>SUM(Q10*R10)</f>
        <v>0</v>
      </c>
      <c r="T10" s="245"/>
      <c r="U10" s="674" t="s">
        <v>440</v>
      </c>
      <c r="V10" s="250"/>
      <c r="W10" s="250"/>
      <c r="X10" s="251">
        <f>SUM(V10*W10)</f>
        <v>0</v>
      </c>
      <c r="Y10" s="245"/>
      <c r="Z10" s="674" t="s">
        <v>440</v>
      </c>
      <c r="AA10" s="250"/>
      <c r="AB10" s="250"/>
      <c r="AC10" s="251">
        <f>SUM(AA10*AB10)</f>
        <v>0</v>
      </c>
      <c r="AE10" s="155"/>
      <c r="AF10" s="155"/>
      <c r="AG10" s="155"/>
    </row>
    <row r="11" spans="1:41" ht="12.2" customHeight="1" x14ac:dyDescent="0.15">
      <c r="A11" s="656"/>
      <c r="B11" s="250"/>
      <c r="C11" s="250"/>
      <c r="D11" s="251">
        <f t="shared" si="0"/>
        <v>0</v>
      </c>
      <c r="E11" s="245"/>
      <c r="F11" s="659"/>
      <c r="G11" s="250"/>
      <c r="H11" s="250"/>
      <c r="I11" s="251">
        <f t="shared" si="1"/>
        <v>0</v>
      </c>
      <c r="J11" s="245"/>
      <c r="K11" s="662"/>
      <c r="L11" s="250"/>
      <c r="M11" s="250"/>
      <c r="N11" s="251">
        <f t="shared" si="2"/>
        <v>0</v>
      </c>
      <c r="O11" s="245"/>
      <c r="P11" s="675"/>
      <c r="Q11" s="250"/>
      <c r="R11" s="250"/>
      <c r="S11" s="251">
        <f t="shared" si="3"/>
        <v>0</v>
      </c>
      <c r="T11" s="245"/>
      <c r="U11" s="665"/>
      <c r="V11" s="250"/>
      <c r="W11" s="250"/>
      <c r="X11" s="251">
        <f t="shared" si="4"/>
        <v>0</v>
      </c>
      <c r="Y11" s="245"/>
      <c r="Z11" s="665"/>
      <c r="AA11" s="250"/>
      <c r="AB11" s="250"/>
      <c r="AC11" s="251">
        <f>SUM(AA11*AB11)</f>
        <v>0</v>
      </c>
      <c r="AE11" s="252" t="s">
        <v>437</v>
      </c>
      <c r="AF11" s="253" t="s">
        <v>441</v>
      </c>
      <c r="AG11" s="254" t="s">
        <v>442</v>
      </c>
      <c r="AH11" s="254" t="s">
        <v>443</v>
      </c>
      <c r="AI11" s="254" t="s">
        <v>444</v>
      </c>
      <c r="AK11" s="252" t="s">
        <v>445</v>
      </c>
      <c r="AL11" s="253" t="s">
        <v>441</v>
      </c>
      <c r="AM11" s="254" t="s">
        <v>442</v>
      </c>
      <c r="AN11" s="254" t="s">
        <v>443</v>
      </c>
      <c r="AO11" s="254" t="s">
        <v>444</v>
      </c>
    </row>
    <row r="12" spans="1:41" ht="12.2" customHeight="1" x14ac:dyDescent="0.15">
      <c r="A12" s="656"/>
      <c r="B12" s="250"/>
      <c r="C12" s="250"/>
      <c r="D12" s="251">
        <f t="shared" si="0"/>
        <v>0</v>
      </c>
      <c r="E12" s="245"/>
      <c r="F12" s="659"/>
      <c r="G12" s="250"/>
      <c r="H12" s="250"/>
      <c r="I12" s="251">
        <f t="shared" si="1"/>
        <v>0</v>
      </c>
      <c r="J12" s="245"/>
      <c r="K12" s="662"/>
      <c r="L12" s="250"/>
      <c r="M12" s="250"/>
      <c r="N12" s="251">
        <f t="shared" si="2"/>
        <v>0</v>
      </c>
      <c r="O12" s="245"/>
      <c r="P12" s="675"/>
      <c r="Q12" s="250"/>
      <c r="R12" s="250"/>
      <c r="S12" s="251">
        <f t="shared" si="3"/>
        <v>0</v>
      </c>
      <c r="T12" s="245"/>
      <c r="U12" s="665"/>
      <c r="V12" s="250"/>
      <c r="W12" s="250"/>
      <c r="X12" s="251">
        <f t="shared" si="4"/>
        <v>0</v>
      </c>
      <c r="Y12" s="245"/>
      <c r="Z12" s="665"/>
      <c r="AA12" s="250"/>
      <c r="AB12" s="250"/>
      <c r="AC12" s="251">
        <f>SUM(AA12*AB12)</f>
        <v>0</v>
      </c>
      <c r="AE12" s="255" t="str">
        <f>A4</f>
        <v>居間</v>
      </c>
      <c r="AF12" s="256">
        <f>SUM(AG12*1.1)</f>
        <v>0</v>
      </c>
      <c r="AG12" s="257">
        <f>B14</f>
        <v>0</v>
      </c>
      <c r="AH12" s="258">
        <f t="shared" ref="AH12:AH35" si="5">SUM(AG12*0.9)</f>
        <v>0</v>
      </c>
      <c r="AI12" s="258">
        <f t="shared" ref="AI12:AI35" si="6">SUM(AG12*0.85)</f>
        <v>0</v>
      </c>
      <c r="AK12" s="259" t="str">
        <f>A15</f>
        <v>居間</v>
      </c>
      <c r="AL12" s="260">
        <f>SUM(AM12*1.1)</f>
        <v>0</v>
      </c>
      <c r="AM12" s="261">
        <f>B36</f>
        <v>0</v>
      </c>
      <c r="AN12" s="262">
        <f>SUM(AM12*0.9)</f>
        <v>0</v>
      </c>
      <c r="AO12" s="262">
        <f>SUM(AM12*0.85)</f>
        <v>0</v>
      </c>
    </row>
    <row r="13" spans="1:41" ht="12.2" customHeight="1" thickBot="1" x14ac:dyDescent="0.2">
      <c r="A13" s="669"/>
      <c r="B13" s="263"/>
      <c r="C13" s="263"/>
      <c r="D13" s="264">
        <f t="shared" si="0"/>
        <v>0</v>
      </c>
      <c r="E13" s="245"/>
      <c r="F13" s="671"/>
      <c r="G13" s="263"/>
      <c r="H13" s="263"/>
      <c r="I13" s="264">
        <f t="shared" si="1"/>
        <v>0</v>
      </c>
      <c r="J13" s="245"/>
      <c r="K13" s="673"/>
      <c r="L13" s="263"/>
      <c r="M13" s="263"/>
      <c r="N13" s="264">
        <f t="shared" si="2"/>
        <v>0</v>
      </c>
      <c r="O13" s="245"/>
      <c r="P13" s="676"/>
      <c r="Q13" s="263"/>
      <c r="R13" s="263"/>
      <c r="S13" s="264">
        <f t="shared" si="3"/>
        <v>0</v>
      </c>
      <c r="T13" s="245"/>
      <c r="U13" s="677"/>
      <c r="V13" s="263"/>
      <c r="W13" s="263"/>
      <c r="X13" s="264">
        <f t="shared" si="4"/>
        <v>0</v>
      </c>
      <c r="Y13" s="245"/>
      <c r="Z13" s="677"/>
      <c r="AA13" s="263"/>
      <c r="AB13" s="263"/>
      <c r="AC13" s="264">
        <f>SUM(AA13*AB13)</f>
        <v>0</v>
      </c>
      <c r="AD13" s="265"/>
      <c r="AE13" s="266" t="str">
        <f>A10</f>
        <v>収納
天井</v>
      </c>
      <c r="AF13" s="267">
        <f t="shared" ref="AF13:AF35" si="7">SUM(AG13*1.1)</f>
        <v>0</v>
      </c>
      <c r="AG13" s="268">
        <f>D14</f>
        <v>0</v>
      </c>
      <c r="AH13" s="269">
        <f t="shared" si="5"/>
        <v>0</v>
      </c>
      <c r="AI13" s="269">
        <f t="shared" si="6"/>
        <v>0</v>
      </c>
      <c r="AK13" s="266" t="str">
        <f>A31</f>
        <v>収納
壁</v>
      </c>
      <c r="AL13" s="267">
        <f t="shared" ref="AL13:AL36" si="8">SUM(AM13*1.1)</f>
        <v>0</v>
      </c>
      <c r="AM13" s="268">
        <f>D36</f>
        <v>0</v>
      </c>
      <c r="AN13" s="269">
        <f t="shared" ref="AN13:AN35" si="9">SUM(AM13*0.9)</f>
        <v>0</v>
      </c>
      <c r="AO13" s="269">
        <f t="shared" ref="AO13:AO35" si="10">SUM(AM13*0.85)</f>
        <v>0</v>
      </c>
    </row>
    <row r="14" spans="1:41" ht="12.2" customHeight="1" thickBot="1" x14ac:dyDescent="0.2">
      <c r="A14" s="270" t="s">
        <v>437</v>
      </c>
      <c r="B14" s="271">
        <f>SUM(D5:D9)</f>
        <v>0</v>
      </c>
      <c r="C14" s="270" t="s">
        <v>446</v>
      </c>
      <c r="D14" s="271">
        <f>SUM(D10:D13)</f>
        <v>0</v>
      </c>
      <c r="E14" s="245"/>
      <c r="F14" s="270" t="s">
        <v>437</v>
      </c>
      <c r="G14" s="271">
        <f>SUM(I5:I9)</f>
        <v>0</v>
      </c>
      <c r="H14" s="270" t="s">
        <v>446</v>
      </c>
      <c r="I14" s="271">
        <f>SUM(I10:I13)</f>
        <v>0</v>
      </c>
      <c r="J14" s="245"/>
      <c r="K14" s="270" t="s">
        <v>437</v>
      </c>
      <c r="L14" s="271">
        <f>SUM(N5:N9)</f>
        <v>0</v>
      </c>
      <c r="M14" s="270" t="s">
        <v>446</v>
      </c>
      <c r="N14" s="271">
        <f>SUM(N10:N13)</f>
        <v>0</v>
      </c>
      <c r="O14" s="245"/>
      <c r="P14" s="270" t="s">
        <v>437</v>
      </c>
      <c r="Q14" s="271">
        <f>SUM(S5:S9)</f>
        <v>0</v>
      </c>
      <c r="R14" s="270" t="s">
        <v>446</v>
      </c>
      <c r="S14" s="271">
        <f>SUM(S10:S13)</f>
        <v>0</v>
      </c>
      <c r="T14" s="245"/>
      <c r="U14" s="270" t="s">
        <v>437</v>
      </c>
      <c r="V14" s="271">
        <f>SUM(X5:X9)</f>
        <v>0</v>
      </c>
      <c r="W14" s="270" t="s">
        <v>446</v>
      </c>
      <c r="X14" s="271">
        <f>SUM(X10:X13)</f>
        <v>0</v>
      </c>
      <c r="Y14" s="245"/>
      <c r="Z14" s="270" t="s">
        <v>437</v>
      </c>
      <c r="AA14" s="271">
        <f>SUM(AC5:AC8)</f>
        <v>0</v>
      </c>
      <c r="AB14" s="270" t="s">
        <v>446</v>
      </c>
      <c r="AC14" s="271">
        <f>SUM(AC10:AC13)</f>
        <v>0</v>
      </c>
      <c r="AD14" s="272"/>
      <c r="AE14" s="255" t="str">
        <f>F4</f>
        <v>手前
(右)</v>
      </c>
      <c r="AF14" s="256">
        <f t="shared" si="7"/>
        <v>0</v>
      </c>
      <c r="AG14" s="257">
        <f>G14</f>
        <v>0</v>
      </c>
      <c r="AH14" s="258">
        <f t="shared" si="5"/>
        <v>0</v>
      </c>
      <c r="AI14" s="258">
        <f t="shared" si="6"/>
        <v>0</v>
      </c>
      <c r="AK14" s="259" t="str">
        <f>F15</f>
        <v>手前
(右)</v>
      </c>
      <c r="AL14" s="260">
        <f t="shared" si="8"/>
        <v>0</v>
      </c>
      <c r="AM14" s="261">
        <f>G36</f>
        <v>0</v>
      </c>
      <c r="AN14" s="262">
        <f t="shared" si="9"/>
        <v>0</v>
      </c>
      <c r="AO14" s="262">
        <f t="shared" si="10"/>
        <v>0</v>
      </c>
    </row>
    <row r="15" spans="1:41" ht="12.2" customHeight="1" x14ac:dyDescent="0.15">
      <c r="A15" s="273" t="str">
        <f>A4</f>
        <v>居間</v>
      </c>
      <c r="B15" s="243" t="s">
        <v>431</v>
      </c>
      <c r="C15" s="243" t="s">
        <v>34</v>
      </c>
      <c r="D15" s="244" t="s">
        <v>432</v>
      </c>
      <c r="E15" s="274"/>
      <c r="F15" s="275" t="str">
        <f>F4</f>
        <v>手前
(右)</v>
      </c>
      <c r="G15" s="243" t="s">
        <v>431</v>
      </c>
      <c r="H15" s="243" t="s">
        <v>34</v>
      </c>
      <c r="I15" s="244" t="s">
        <v>432</v>
      </c>
      <c r="J15" s="274"/>
      <c r="K15" s="276" t="str">
        <f>K4</f>
        <v>中</v>
      </c>
      <c r="L15" s="243" t="s">
        <v>431</v>
      </c>
      <c r="M15" s="243" t="s">
        <v>34</v>
      </c>
      <c r="N15" s="244" t="s">
        <v>432</v>
      </c>
      <c r="O15" s="274"/>
      <c r="P15" s="277" t="str">
        <f>P4</f>
        <v>奥
(左)</v>
      </c>
      <c r="Q15" s="243" t="s">
        <v>431</v>
      </c>
      <c r="R15" s="243" t="s">
        <v>34</v>
      </c>
      <c r="S15" s="244" t="s">
        <v>432</v>
      </c>
      <c r="T15" s="274"/>
      <c r="U15" s="277" t="str">
        <f>U4</f>
        <v>和室</v>
      </c>
      <c r="V15" s="243" t="s">
        <v>431</v>
      </c>
      <c r="W15" s="243" t="s">
        <v>34</v>
      </c>
      <c r="X15" s="244" t="s">
        <v>432</v>
      </c>
      <c r="Y15" s="274"/>
      <c r="Z15" s="277">
        <f>Z4</f>
        <v>0</v>
      </c>
      <c r="AA15" s="243" t="s">
        <v>431</v>
      </c>
      <c r="AB15" s="243" t="s">
        <v>34</v>
      </c>
      <c r="AC15" s="244" t="s">
        <v>432</v>
      </c>
      <c r="AD15" s="272"/>
      <c r="AE15" s="266" t="str">
        <f>F10</f>
        <v>収納
天井</v>
      </c>
      <c r="AF15" s="267">
        <f t="shared" si="7"/>
        <v>0</v>
      </c>
      <c r="AG15" s="268">
        <f>I14</f>
        <v>0</v>
      </c>
      <c r="AH15" s="269">
        <f t="shared" si="5"/>
        <v>0</v>
      </c>
      <c r="AI15" s="269">
        <f t="shared" si="6"/>
        <v>0</v>
      </c>
      <c r="AK15" s="266" t="str">
        <f>F31</f>
        <v>収納
壁</v>
      </c>
      <c r="AL15" s="267">
        <f t="shared" si="8"/>
        <v>0</v>
      </c>
      <c r="AM15" s="268">
        <f>I36</f>
        <v>0</v>
      </c>
      <c r="AN15" s="269">
        <f t="shared" si="9"/>
        <v>0</v>
      </c>
      <c r="AO15" s="269">
        <f t="shared" si="10"/>
        <v>0</v>
      </c>
    </row>
    <row r="16" spans="1:41" ht="12.2" customHeight="1" x14ac:dyDescent="0.15">
      <c r="A16" s="655" t="s">
        <v>445</v>
      </c>
      <c r="B16" s="250"/>
      <c r="C16" s="250"/>
      <c r="D16" s="251">
        <f>SUM(B16*C16)</f>
        <v>0</v>
      </c>
      <c r="E16" s="245"/>
      <c r="F16" s="658" t="s">
        <v>445</v>
      </c>
      <c r="G16" s="250"/>
      <c r="H16" s="250"/>
      <c r="I16" s="251">
        <f>SUM(G16*H16)</f>
        <v>0</v>
      </c>
      <c r="J16" s="245"/>
      <c r="K16" s="661" t="s">
        <v>445</v>
      </c>
      <c r="L16" s="250"/>
      <c r="M16" s="250"/>
      <c r="N16" s="251">
        <f>SUM(L16*M16)</f>
        <v>0</v>
      </c>
      <c r="O16" s="245"/>
      <c r="P16" s="664" t="s">
        <v>445</v>
      </c>
      <c r="Q16" s="250"/>
      <c r="R16" s="250"/>
      <c r="S16" s="251">
        <f>SUM(Q16*R16)</f>
        <v>0</v>
      </c>
      <c r="T16" s="245"/>
      <c r="U16" s="664" t="s">
        <v>445</v>
      </c>
      <c r="V16" s="250"/>
      <c r="W16" s="250"/>
      <c r="X16" s="251">
        <f>SUM(V16*W16)</f>
        <v>0</v>
      </c>
      <c r="Y16" s="245"/>
      <c r="Z16" s="664" t="s">
        <v>445</v>
      </c>
      <c r="AA16" s="250"/>
      <c r="AB16" s="250"/>
      <c r="AC16" s="251">
        <f>SUM(AA16*AB16)</f>
        <v>0</v>
      </c>
      <c r="AE16" s="255" t="str">
        <f>K4</f>
        <v>中</v>
      </c>
      <c r="AF16" s="256">
        <f t="shared" si="7"/>
        <v>0</v>
      </c>
      <c r="AG16" s="257">
        <f>L14</f>
        <v>0</v>
      </c>
      <c r="AH16" s="258">
        <f t="shared" si="5"/>
        <v>0</v>
      </c>
      <c r="AI16" s="258">
        <f t="shared" si="6"/>
        <v>0</v>
      </c>
      <c r="AK16" s="259" t="str">
        <f>K15</f>
        <v>中</v>
      </c>
      <c r="AL16" s="260">
        <f t="shared" si="8"/>
        <v>0</v>
      </c>
      <c r="AM16" s="261">
        <f>L36</f>
        <v>0</v>
      </c>
      <c r="AN16" s="262">
        <f t="shared" si="9"/>
        <v>0</v>
      </c>
      <c r="AO16" s="262">
        <f t="shared" si="10"/>
        <v>0</v>
      </c>
    </row>
    <row r="17" spans="1:41" ht="12.2" customHeight="1" x14ac:dyDescent="0.15">
      <c r="A17" s="656"/>
      <c r="B17" s="250"/>
      <c r="C17" s="250"/>
      <c r="D17" s="251">
        <f>SUM(B17*C17)</f>
        <v>0</v>
      </c>
      <c r="E17" s="245"/>
      <c r="F17" s="659"/>
      <c r="G17" s="250"/>
      <c r="H17" s="250"/>
      <c r="I17" s="251">
        <f>SUM(G17*H17)</f>
        <v>0</v>
      </c>
      <c r="J17" s="245"/>
      <c r="K17" s="662"/>
      <c r="L17" s="250"/>
      <c r="M17" s="250"/>
      <c r="N17" s="251">
        <f>SUM(L17*M17)</f>
        <v>0</v>
      </c>
      <c r="O17" s="245"/>
      <c r="P17" s="665"/>
      <c r="Q17" s="250"/>
      <c r="R17" s="250"/>
      <c r="S17" s="251">
        <f>SUM(Q17*R17)</f>
        <v>0</v>
      </c>
      <c r="T17" s="245"/>
      <c r="U17" s="665"/>
      <c r="V17" s="250"/>
      <c r="W17" s="250"/>
      <c r="X17" s="251">
        <f>SUM(V17*W17)</f>
        <v>0</v>
      </c>
      <c r="Y17" s="245"/>
      <c r="Z17" s="665"/>
      <c r="AA17" s="250"/>
      <c r="AB17" s="250"/>
      <c r="AC17" s="251">
        <f>SUM(AA17*AB17)</f>
        <v>0</v>
      </c>
      <c r="AE17" s="266" t="str">
        <f>K10</f>
        <v>収納
天井</v>
      </c>
      <c r="AF17" s="267">
        <f t="shared" si="7"/>
        <v>0</v>
      </c>
      <c r="AG17" s="268">
        <f>N14</f>
        <v>0</v>
      </c>
      <c r="AH17" s="269">
        <f t="shared" si="5"/>
        <v>0</v>
      </c>
      <c r="AI17" s="269">
        <f t="shared" si="6"/>
        <v>0</v>
      </c>
      <c r="AK17" s="266" t="str">
        <f>K31</f>
        <v>収納
壁</v>
      </c>
      <c r="AL17" s="267">
        <f t="shared" si="8"/>
        <v>0</v>
      </c>
      <c r="AM17" s="268">
        <f>N36</f>
        <v>0</v>
      </c>
      <c r="AN17" s="269">
        <f t="shared" si="9"/>
        <v>0</v>
      </c>
      <c r="AO17" s="269">
        <f t="shared" si="10"/>
        <v>0</v>
      </c>
    </row>
    <row r="18" spans="1:41" ht="12.2" customHeight="1" x14ac:dyDescent="0.15">
      <c r="A18" s="656"/>
      <c r="B18" s="250"/>
      <c r="C18" s="250"/>
      <c r="D18" s="251">
        <f>SUM(B18*C18)</f>
        <v>0</v>
      </c>
      <c r="E18" s="245"/>
      <c r="F18" s="659"/>
      <c r="G18" s="250"/>
      <c r="H18" s="250"/>
      <c r="I18" s="251">
        <f>SUM(G18*H18)</f>
        <v>0</v>
      </c>
      <c r="J18" s="245"/>
      <c r="K18" s="662"/>
      <c r="L18" s="250"/>
      <c r="M18" s="250"/>
      <c r="N18" s="251">
        <f>SUM(L18*M18)</f>
        <v>0</v>
      </c>
      <c r="O18" s="245"/>
      <c r="P18" s="665"/>
      <c r="Q18" s="250"/>
      <c r="R18" s="250"/>
      <c r="S18" s="251">
        <f>SUM(Q18*R18)</f>
        <v>0</v>
      </c>
      <c r="T18" s="245"/>
      <c r="U18" s="665"/>
      <c r="V18" s="250"/>
      <c r="W18" s="250"/>
      <c r="X18" s="251">
        <f>SUM(V18*W18)</f>
        <v>0</v>
      </c>
      <c r="Y18" s="245"/>
      <c r="Z18" s="665"/>
      <c r="AA18" s="250"/>
      <c r="AB18" s="250"/>
      <c r="AC18" s="251">
        <f>SUM(AA18*AB18)</f>
        <v>0</v>
      </c>
      <c r="AE18" s="255" t="str">
        <f>P4</f>
        <v>奥
(左)</v>
      </c>
      <c r="AF18" s="256">
        <f t="shared" si="7"/>
        <v>0</v>
      </c>
      <c r="AG18" s="257">
        <f>Q14</f>
        <v>0</v>
      </c>
      <c r="AH18" s="258">
        <f t="shared" si="5"/>
        <v>0</v>
      </c>
      <c r="AI18" s="258">
        <f t="shared" si="6"/>
        <v>0</v>
      </c>
      <c r="AK18" s="259" t="str">
        <f>P15</f>
        <v>奥
(左)</v>
      </c>
      <c r="AL18" s="260">
        <f t="shared" si="8"/>
        <v>0</v>
      </c>
      <c r="AM18" s="261">
        <f>Q36</f>
        <v>0</v>
      </c>
      <c r="AN18" s="262">
        <f t="shared" si="9"/>
        <v>0</v>
      </c>
      <c r="AO18" s="262">
        <f t="shared" si="10"/>
        <v>0</v>
      </c>
    </row>
    <row r="19" spans="1:41" ht="12.2" customHeight="1" x14ac:dyDescent="0.15">
      <c r="A19" s="656"/>
      <c r="B19" s="250"/>
      <c r="C19" s="250"/>
      <c r="D19" s="251">
        <f>SUM(B19*C19)</f>
        <v>0</v>
      </c>
      <c r="E19" s="245"/>
      <c r="F19" s="659"/>
      <c r="G19" s="250"/>
      <c r="H19" s="250"/>
      <c r="I19" s="251">
        <f>SUM(G19*H19)</f>
        <v>0</v>
      </c>
      <c r="J19" s="245"/>
      <c r="K19" s="662"/>
      <c r="L19" s="250"/>
      <c r="M19" s="250"/>
      <c r="N19" s="251">
        <f>SUM(L19*M19)</f>
        <v>0</v>
      </c>
      <c r="O19" s="245"/>
      <c r="P19" s="665"/>
      <c r="Q19" s="250"/>
      <c r="R19" s="250"/>
      <c r="S19" s="251">
        <f>SUM(Q19*R19)</f>
        <v>0</v>
      </c>
      <c r="T19" s="245"/>
      <c r="U19" s="665"/>
      <c r="V19" s="250"/>
      <c r="W19" s="250"/>
      <c r="X19" s="251">
        <f>SUM(V19*W19)</f>
        <v>0</v>
      </c>
      <c r="Y19" s="245"/>
      <c r="Z19" s="665"/>
      <c r="AA19" s="250"/>
      <c r="AB19" s="250"/>
      <c r="AC19" s="251">
        <f>SUM(AA19*AB19)</f>
        <v>0</v>
      </c>
      <c r="AE19" s="266" t="str">
        <f>P10</f>
        <v>収納
天井</v>
      </c>
      <c r="AF19" s="267">
        <f t="shared" si="7"/>
        <v>0</v>
      </c>
      <c r="AG19" s="268">
        <f>S14</f>
        <v>0</v>
      </c>
      <c r="AH19" s="269">
        <f t="shared" si="5"/>
        <v>0</v>
      </c>
      <c r="AI19" s="269">
        <f t="shared" si="6"/>
        <v>0</v>
      </c>
      <c r="AK19" s="266" t="str">
        <f>P31</f>
        <v>収納
壁</v>
      </c>
      <c r="AL19" s="267">
        <f t="shared" si="8"/>
        <v>0</v>
      </c>
      <c r="AM19" s="268">
        <f>S36</f>
        <v>0</v>
      </c>
      <c r="AN19" s="269">
        <f t="shared" si="9"/>
        <v>0</v>
      </c>
      <c r="AO19" s="269">
        <f t="shared" si="10"/>
        <v>0</v>
      </c>
    </row>
    <row r="20" spans="1:41" ht="12.2" customHeight="1" x14ac:dyDescent="0.15">
      <c r="A20" s="656"/>
      <c r="B20" s="250"/>
      <c r="C20" s="250"/>
      <c r="D20" s="251">
        <f>SUM(B20*C20)</f>
        <v>0</v>
      </c>
      <c r="E20" s="245"/>
      <c r="F20" s="659"/>
      <c r="G20" s="250"/>
      <c r="H20" s="250"/>
      <c r="I20" s="251">
        <f>SUM(G20*H20)</f>
        <v>0</v>
      </c>
      <c r="J20" s="245"/>
      <c r="K20" s="662"/>
      <c r="L20" s="250"/>
      <c r="M20" s="250"/>
      <c r="N20" s="251">
        <f>SUM(L20*M20)</f>
        <v>0</v>
      </c>
      <c r="O20" s="245"/>
      <c r="P20" s="665"/>
      <c r="Q20" s="250"/>
      <c r="R20" s="250"/>
      <c r="S20" s="251">
        <f>SUM(Q20*R20)</f>
        <v>0</v>
      </c>
      <c r="T20" s="245"/>
      <c r="U20" s="665"/>
      <c r="V20" s="250"/>
      <c r="W20" s="250"/>
      <c r="X20" s="251">
        <f>SUM(V20*W20)</f>
        <v>0</v>
      </c>
      <c r="Y20" s="245"/>
      <c r="Z20" s="665"/>
      <c r="AA20" s="250"/>
      <c r="AB20" s="250"/>
      <c r="AC20" s="251">
        <f>SUM(AA20*AB20)</f>
        <v>0</v>
      </c>
      <c r="AE20" s="255" t="str">
        <f>U4</f>
        <v>和室</v>
      </c>
      <c r="AF20" s="256">
        <f t="shared" si="7"/>
        <v>0</v>
      </c>
      <c r="AG20" s="257">
        <f>V14</f>
        <v>0</v>
      </c>
      <c r="AH20" s="258">
        <f t="shared" si="5"/>
        <v>0</v>
      </c>
      <c r="AI20" s="258">
        <f t="shared" si="6"/>
        <v>0</v>
      </c>
      <c r="AK20" s="259" t="str">
        <f>U15</f>
        <v>和室</v>
      </c>
      <c r="AL20" s="260">
        <f t="shared" si="8"/>
        <v>0</v>
      </c>
      <c r="AM20" s="261">
        <f>V36</f>
        <v>0</v>
      </c>
      <c r="AN20" s="262">
        <f t="shared" si="9"/>
        <v>0</v>
      </c>
      <c r="AO20" s="262">
        <f t="shared" si="10"/>
        <v>0</v>
      </c>
    </row>
    <row r="21" spans="1:41" ht="12.2" customHeight="1" x14ac:dyDescent="0.15">
      <c r="A21" s="656"/>
      <c r="B21" s="250"/>
      <c r="C21" s="250"/>
      <c r="D21" s="251">
        <f t="shared" ref="D21:D35" si="11">SUM(B21*C21)</f>
        <v>0</v>
      </c>
      <c r="E21" s="245"/>
      <c r="F21" s="659"/>
      <c r="G21" s="250"/>
      <c r="H21" s="250"/>
      <c r="I21" s="251">
        <f t="shared" ref="I21:I35" si="12">SUM(G21*H21)</f>
        <v>0</v>
      </c>
      <c r="J21" s="245"/>
      <c r="K21" s="662"/>
      <c r="L21" s="250"/>
      <c r="M21" s="250"/>
      <c r="N21" s="251">
        <f t="shared" ref="N21:N35" si="13">SUM(L21*M21)</f>
        <v>0</v>
      </c>
      <c r="O21" s="245"/>
      <c r="P21" s="665"/>
      <c r="Q21" s="250"/>
      <c r="R21" s="250"/>
      <c r="S21" s="251">
        <f t="shared" ref="S21:S35" si="14">SUM(Q21*R21)</f>
        <v>0</v>
      </c>
      <c r="T21" s="245"/>
      <c r="U21" s="665"/>
      <c r="V21" s="250"/>
      <c r="W21" s="250"/>
      <c r="X21" s="251">
        <f t="shared" ref="X21:X35" si="15">SUM(V21*W21)</f>
        <v>0</v>
      </c>
      <c r="Y21" s="245"/>
      <c r="Z21" s="665"/>
      <c r="AA21" s="250"/>
      <c r="AB21" s="250"/>
      <c r="AC21" s="251">
        <f t="shared" ref="AC21:AC35" si="16">SUM(AA21*AB21)</f>
        <v>0</v>
      </c>
      <c r="AE21" s="266" t="str">
        <f>U10</f>
        <v>収納
天井</v>
      </c>
      <c r="AF21" s="267">
        <f t="shared" si="7"/>
        <v>0</v>
      </c>
      <c r="AG21" s="268">
        <f>X14</f>
        <v>0</v>
      </c>
      <c r="AH21" s="269">
        <f t="shared" si="5"/>
        <v>0</v>
      </c>
      <c r="AI21" s="269">
        <f t="shared" si="6"/>
        <v>0</v>
      </c>
      <c r="AK21" s="266" t="str">
        <f>U31</f>
        <v>収納
壁</v>
      </c>
      <c r="AL21" s="267">
        <f t="shared" si="8"/>
        <v>0</v>
      </c>
      <c r="AM21" s="278">
        <f>X36</f>
        <v>0</v>
      </c>
      <c r="AN21" s="269">
        <f t="shared" si="9"/>
        <v>0</v>
      </c>
      <c r="AO21" s="269">
        <f t="shared" si="10"/>
        <v>0</v>
      </c>
    </row>
    <row r="22" spans="1:41" ht="12.2" customHeight="1" x14ac:dyDescent="0.15">
      <c r="A22" s="656"/>
      <c r="B22" s="250"/>
      <c r="C22" s="250"/>
      <c r="D22" s="251">
        <f t="shared" si="11"/>
        <v>0</v>
      </c>
      <c r="E22" s="245"/>
      <c r="F22" s="659"/>
      <c r="G22" s="250"/>
      <c r="H22" s="250"/>
      <c r="I22" s="251">
        <f t="shared" si="12"/>
        <v>0</v>
      </c>
      <c r="J22" s="245"/>
      <c r="K22" s="662"/>
      <c r="L22" s="250"/>
      <c r="M22" s="250"/>
      <c r="N22" s="251">
        <f t="shared" si="13"/>
        <v>0</v>
      </c>
      <c r="O22" s="245"/>
      <c r="P22" s="665"/>
      <c r="Q22" s="250"/>
      <c r="R22" s="250"/>
      <c r="S22" s="251">
        <f t="shared" si="14"/>
        <v>0</v>
      </c>
      <c r="T22" s="245"/>
      <c r="U22" s="665"/>
      <c r="V22" s="250"/>
      <c r="W22" s="250"/>
      <c r="X22" s="251">
        <f t="shared" si="15"/>
        <v>0</v>
      </c>
      <c r="Y22" s="245"/>
      <c r="Z22" s="665"/>
      <c r="AA22" s="250"/>
      <c r="AB22" s="250"/>
      <c r="AC22" s="251">
        <f t="shared" si="16"/>
        <v>0</v>
      </c>
      <c r="AE22" s="255" t="str">
        <f>A45</f>
        <v>台所</v>
      </c>
      <c r="AF22" s="256">
        <f t="shared" si="7"/>
        <v>0</v>
      </c>
      <c r="AG22" s="279">
        <f>B56</f>
        <v>0</v>
      </c>
      <c r="AH22" s="258">
        <f t="shared" si="5"/>
        <v>0</v>
      </c>
      <c r="AI22" s="258">
        <f t="shared" si="6"/>
        <v>0</v>
      </c>
      <c r="AK22" s="259" t="str">
        <f>A57</f>
        <v>台所</v>
      </c>
      <c r="AL22" s="260">
        <f t="shared" si="8"/>
        <v>0</v>
      </c>
      <c r="AM22" s="280">
        <f>B78</f>
        <v>0</v>
      </c>
      <c r="AN22" s="262">
        <f t="shared" si="9"/>
        <v>0</v>
      </c>
      <c r="AO22" s="262">
        <f t="shared" si="10"/>
        <v>0</v>
      </c>
    </row>
    <row r="23" spans="1:41" ht="12.2" customHeight="1" x14ac:dyDescent="0.15">
      <c r="A23" s="656"/>
      <c r="B23" s="250"/>
      <c r="C23" s="250"/>
      <c r="D23" s="251">
        <f t="shared" si="11"/>
        <v>0</v>
      </c>
      <c r="E23" s="245"/>
      <c r="F23" s="659"/>
      <c r="G23" s="250"/>
      <c r="H23" s="250"/>
      <c r="I23" s="251">
        <f t="shared" si="12"/>
        <v>0</v>
      </c>
      <c r="J23" s="245"/>
      <c r="K23" s="662"/>
      <c r="L23" s="250"/>
      <c r="M23" s="250"/>
      <c r="N23" s="251">
        <f t="shared" si="13"/>
        <v>0</v>
      </c>
      <c r="O23" s="245"/>
      <c r="P23" s="665"/>
      <c r="Q23" s="250"/>
      <c r="R23" s="250"/>
      <c r="S23" s="251">
        <f t="shared" si="14"/>
        <v>0</v>
      </c>
      <c r="T23" s="245"/>
      <c r="U23" s="665"/>
      <c r="V23" s="250"/>
      <c r="W23" s="250"/>
      <c r="X23" s="251">
        <f t="shared" si="15"/>
        <v>0</v>
      </c>
      <c r="Y23" s="245"/>
      <c r="Z23" s="665"/>
      <c r="AA23" s="250"/>
      <c r="AB23" s="250"/>
      <c r="AC23" s="251">
        <f t="shared" si="16"/>
        <v>0</v>
      </c>
      <c r="AE23" s="266" t="str">
        <f>A52</f>
        <v>収納
天井</v>
      </c>
      <c r="AF23" s="267">
        <f t="shared" si="7"/>
        <v>0</v>
      </c>
      <c r="AG23" s="281">
        <f>D56</f>
        <v>0</v>
      </c>
      <c r="AH23" s="269">
        <f t="shared" si="5"/>
        <v>0</v>
      </c>
      <c r="AI23" s="269">
        <f t="shared" si="6"/>
        <v>0</v>
      </c>
      <c r="AK23" s="266" t="str">
        <f>A73</f>
        <v>収納
壁</v>
      </c>
      <c r="AL23" s="267">
        <f t="shared" si="8"/>
        <v>0</v>
      </c>
      <c r="AM23" s="282">
        <f>D78</f>
        <v>0</v>
      </c>
      <c r="AN23" s="269">
        <f t="shared" si="9"/>
        <v>0</v>
      </c>
      <c r="AO23" s="269">
        <f t="shared" si="10"/>
        <v>0</v>
      </c>
    </row>
    <row r="24" spans="1:41" ht="12.2" customHeight="1" x14ac:dyDescent="0.15">
      <c r="A24" s="656"/>
      <c r="B24" s="250"/>
      <c r="C24" s="250"/>
      <c r="D24" s="251">
        <f t="shared" si="11"/>
        <v>0</v>
      </c>
      <c r="E24" s="245"/>
      <c r="F24" s="659"/>
      <c r="G24" s="250"/>
      <c r="H24" s="250"/>
      <c r="I24" s="251">
        <f t="shared" si="12"/>
        <v>0</v>
      </c>
      <c r="J24" s="245"/>
      <c r="K24" s="662"/>
      <c r="L24" s="250"/>
      <c r="M24" s="250"/>
      <c r="N24" s="251">
        <f t="shared" si="13"/>
        <v>0</v>
      </c>
      <c r="O24" s="245"/>
      <c r="P24" s="665"/>
      <c r="Q24" s="250"/>
      <c r="R24" s="250"/>
      <c r="S24" s="251">
        <f t="shared" si="14"/>
        <v>0</v>
      </c>
      <c r="T24" s="245"/>
      <c r="U24" s="665"/>
      <c r="V24" s="250"/>
      <c r="W24" s="250"/>
      <c r="X24" s="251">
        <f t="shared" si="15"/>
        <v>0</v>
      </c>
      <c r="Y24" s="245"/>
      <c r="Z24" s="665"/>
      <c r="AA24" s="250"/>
      <c r="AB24" s="250"/>
      <c r="AC24" s="251">
        <f t="shared" si="16"/>
        <v>0</v>
      </c>
      <c r="AE24" s="255" t="str">
        <f>F45</f>
        <v>UT</v>
      </c>
      <c r="AF24" s="256">
        <f t="shared" si="7"/>
        <v>0</v>
      </c>
      <c r="AG24" s="279">
        <f>G56</f>
        <v>0</v>
      </c>
      <c r="AH24" s="258">
        <f t="shared" si="5"/>
        <v>0</v>
      </c>
      <c r="AI24" s="258">
        <f t="shared" si="6"/>
        <v>0</v>
      </c>
      <c r="AK24" s="283" t="str">
        <f>F57</f>
        <v>UT</v>
      </c>
      <c r="AL24" s="260">
        <f t="shared" si="8"/>
        <v>0</v>
      </c>
      <c r="AM24" s="280">
        <f>G78</f>
        <v>0</v>
      </c>
      <c r="AN24" s="262">
        <f t="shared" si="9"/>
        <v>0</v>
      </c>
      <c r="AO24" s="262">
        <f t="shared" si="10"/>
        <v>0</v>
      </c>
    </row>
    <row r="25" spans="1:41" ht="12.2" customHeight="1" x14ac:dyDescent="0.15">
      <c r="A25" s="656"/>
      <c r="B25" s="250"/>
      <c r="C25" s="250"/>
      <c r="D25" s="251">
        <f t="shared" si="11"/>
        <v>0</v>
      </c>
      <c r="E25" s="245"/>
      <c r="F25" s="659"/>
      <c r="G25" s="250"/>
      <c r="H25" s="250"/>
      <c r="I25" s="251">
        <f t="shared" si="12"/>
        <v>0</v>
      </c>
      <c r="J25" s="245"/>
      <c r="K25" s="662"/>
      <c r="L25" s="250"/>
      <c r="M25" s="250"/>
      <c r="N25" s="251">
        <f t="shared" si="13"/>
        <v>0</v>
      </c>
      <c r="O25" s="245"/>
      <c r="P25" s="665"/>
      <c r="Q25" s="250"/>
      <c r="R25" s="250"/>
      <c r="S25" s="251">
        <f t="shared" si="14"/>
        <v>0</v>
      </c>
      <c r="T25" s="245"/>
      <c r="U25" s="665"/>
      <c r="V25" s="250"/>
      <c r="W25" s="250"/>
      <c r="X25" s="251">
        <f t="shared" si="15"/>
        <v>0</v>
      </c>
      <c r="Y25" s="245"/>
      <c r="Z25" s="665"/>
      <c r="AA25" s="250"/>
      <c r="AB25" s="250"/>
      <c r="AC25" s="251">
        <f t="shared" si="16"/>
        <v>0</v>
      </c>
      <c r="AE25" s="266" t="str">
        <f>F52</f>
        <v>収納
天井</v>
      </c>
      <c r="AF25" s="267">
        <f t="shared" si="7"/>
        <v>0</v>
      </c>
      <c r="AG25" s="281">
        <f>I56</f>
        <v>0</v>
      </c>
      <c r="AH25" s="269">
        <f t="shared" si="5"/>
        <v>0</v>
      </c>
      <c r="AI25" s="269">
        <f t="shared" si="6"/>
        <v>0</v>
      </c>
      <c r="AK25" s="284" t="str">
        <f>F73</f>
        <v>収納
壁</v>
      </c>
      <c r="AL25" s="267">
        <f t="shared" si="8"/>
        <v>0</v>
      </c>
      <c r="AM25" s="282">
        <f>I78</f>
        <v>0</v>
      </c>
      <c r="AN25" s="269">
        <f t="shared" si="9"/>
        <v>0</v>
      </c>
      <c r="AO25" s="269">
        <f t="shared" si="10"/>
        <v>0</v>
      </c>
    </row>
    <row r="26" spans="1:41" ht="12.2" customHeight="1" x14ac:dyDescent="0.15">
      <c r="A26" s="656"/>
      <c r="B26" s="250"/>
      <c r="C26" s="250"/>
      <c r="D26" s="251">
        <f t="shared" si="11"/>
        <v>0</v>
      </c>
      <c r="E26" s="245"/>
      <c r="F26" s="659"/>
      <c r="G26" s="250"/>
      <c r="H26" s="250"/>
      <c r="I26" s="251">
        <f t="shared" si="12"/>
        <v>0</v>
      </c>
      <c r="J26" s="245"/>
      <c r="K26" s="662"/>
      <c r="L26" s="250"/>
      <c r="M26" s="250"/>
      <c r="N26" s="251">
        <f t="shared" si="13"/>
        <v>0</v>
      </c>
      <c r="O26" s="245"/>
      <c r="P26" s="665"/>
      <c r="Q26" s="250"/>
      <c r="R26" s="250"/>
      <c r="S26" s="251">
        <f t="shared" si="14"/>
        <v>0</v>
      </c>
      <c r="T26" s="245"/>
      <c r="U26" s="665"/>
      <c r="V26" s="250"/>
      <c r="W26" s="250"/>
      <c r="X26" s="251">
        <f t="shared" si="15"/>
        <v>0</v>
      </c>
      <c r="Y26" s="245"/>
      <c r="Z26" s="665"/>
      <c r="AA26" s="250"/>
      <c r="AB26" s="250"/>
      <c r="AC26" s="251">
        <f t="shared" si="16"/>
        <v>0</v>
      </c>
      <c r="AE26" s="255" t="str">
        <f>K45</f>
        <v>トイレ</v>
      </c>
      <c r="AF26" s="256">
        <f t="shared" si="7"/>
        <v>0</v>
      </c>
      <c r="AG26" s="279">
        <f>L56</f>
        <v>0</v>
      </c>
      <c r="AH26" s="258">
        <f t="shared" si="5"/>
        <v>0</v>
      </c>
      <c r="AI26" s="258">
        <f t="shared" si="6"/>
        <v>0</v>
      </c>
      <c r="AK26" s="283" t="str">
        <f>K45</f>
        <v>トイレ</v>
      </c>
      <c r="AL26" s="260">
        <f t="shared" si="8"/>
        <v>0</v>
      </c>
      <c r="AM26" s="280">
        <f>L78</f>
        <v>0</v>
      </c>
      <c r="AN26" s="262">
        <f t="shared" si="9"/>
        <v>0</v>
      </c>
      <c r="AO26" s="262">
        <f t="shared" si="10"/>
        <v>0</v>
      </c>
    </row>
    <row r="27" spans="1:41" ht="12.2" customHeight="1" x14ac:dyDescent="0.15">
      <c r="A27" s="656"/>
      <c r="B27" s="250"/>
      <c r="C27" s="250"/>
      <c r="D27" s="251">
        <f t="shared" si="11"/>
        <v>0</v>
      </c>
      <c r="E27" s="245"/>
      <c r="F27" s="659"/>
      <c r="G27" s="250"/>
      <c r="H27" s="250"/>
      <c r="I27" s="251">
        <f t="shared" si="12"/>
        <v>0</v>
      </c>
      <c r="J27" s="245"/>
      <c r="K27" s="662"/>
      <c r="L27" s="250"/>
      <c r="M27" s="250"/>
      <c r="N27" s="251">
        <f t="shared" si="13"/>
        <v>0</v>
      </c>
      <c r="O27" s="245"/>
      <c r="P27" s="665"/>
      <c r="Q27" s="250"/>
      <c r="R27" s="250"/>
      <c r="S27" s="251">
        <f t="shared" si="14"/>
        <v>0</v>
      </c>
      <c r="T27" s="245"/>
      <c r="U27" s="665"/>
      <c r="V27" s="250"/>
      <c r="W27" s="250"/>
      <c r="X27" s="251">
        <f t="shared" si="15"/>
        <v>0</v>
      </c>
      <c r="Y27" s="245"/>
      <c r="Z27" s="665"/>
      <c r="AA27" s="250"/>
      <c r="AB27" s="250"/>
      <c r="AC27" s="251">
        <f t="shared" si="16"/>
        <v>0</v>
      </c>
      <c r="AE27" s="266" t="str">
        <f>K52</f>
        <v>収納
天井</v>
      </c>
      <c r="AF27" s="267">
        <f t="shared" si="7"/>
        <v>0</v>
      </c>
      <c r="AG27" s="281">
        <f>N56</f>
        <v>0</v>
      </c>
      <c r="AH27" s="269">
        <f t="shared" si="5"/>
        <v>0</v>
      </c>
      <c r="AI27" s="269">
        <f t="shared" si="6"/>
        <v>0</v>
      </c>
      <c r="AK27" s="284" t="str">
        <f>K73</f>
        <v>収納
壁</v>
      </c>
      <c r="AL27" s="267">
        <f t="shared" si="8"/>
        <v>0</v>
      </c>
      <c r="AM27" s="282">
        <f>N78</f>
        <v>0</v>
      </c>
      <c r="AN27" s="269">
        <f t="shared" si="9"/>
        <v>0</v>
      </c>
      <c r="AO27" s="269">
        <f t="shared" si="10"/>
        <v>0</v>
      </c>
    </row>
    <row r="28" spans="1:41" ht="12.2" customHeight="1" x14ac:dyDescent="0.15">
      <c r="A28" s="656"/>
      <c r="B28" s="250"/>
      <c r="C28" s="250"/>
      <c r="D28" s="251">
        <f t="shared" si="11"/>
        <v>0</v>
      </c>
      <c r="E28" s="245"/>
      <c r="F28" s="659"/>
      <c r="G28" s="250"/>
      <c r="H28" s="250"/>
      <c r="I28" s="251">
        <f t="shared" si="12"/>
        <v>0</v>
      </c>
      <c r="J28" s="245"/>
      <c r="K28" s="662"/>
      <c r="L28" s="250"/>
      <c r="M28" s="250"/>
      <c r="N28" s="251">
        <f t="shared" si="13"/>
        <v>0</v>
      </c>
      <c r="O28" s="245"/>
      <c r="P28" s="665"/>
      <c r="Q28" s="250"/>
      <c r="R28" s="250"/>
      <c r="S28" s="251">
        <f t="shared" si="14"/>
        <v>0</v>
      </c>
      <c r="T28" s="245"/>
      <c r="U28" s="665"/>
      <c r="V28" s="250"/>
      <c r="W28" s="250"/>
      <c r="X28" s="251">
        <f t="shared" si="15"/>
        <v>0</v>
      </c>
      <c r="Y28" s="245"/>
      <c r="Z28" s="665"/>
      <c r="AA28" s="250"/>
      <c r="AB28" s="250"/>
      <c r="AC28" s="251">
        <f t="shared" si="16"/>
        <v>0</v>
      </c>
      <c r="AE28" s="255" t="str">
        <f>P45</f>
        <v>玄関</v>
      </c>
      <c r="AF28" s="256">
        <f t="shared" si="7"/>
        <v>0</v>
      </c>
      <c r="AG28" s="279">
        <f>Q56</f>
        <v>0</v>
      </c>
      <c r="AH28" s="258">
        <f t="shared" si="5"/>
        <v>0</v>
      </c>
      <c r="AI28" s="258">
        <f t="shared" si="6"/>
        <v>0</v>
      </c>
      <c r="AK28" s="283" t="str">
        <f>P45</f>
        <v>玄関</v>
      </c>
      <c r="AL28" s="260">
        <f t="shared" si="8"/>
        <v>0</v>
      </c>
      <c r="AM28" s="280">
        <f>Q78</f>
        <v>0</v>
      </c>
      <c r="AN28" s="262">
        <f t="shared" si="9"/>
        <v>0</v>
      </c>
      <c r="AO28" s="262">
        <f t="shared" si="10"/>
        <v>0</v>
      </c>
    </row>
    <row r="29" spans="1:41" ht="12.2" customHeight="1" x14ac:dyDescent="0.15">
      <c r="A29" s="656"/>
      <c r="B29" s="250"/>
      <c r="C29" s="250"/>
      <c r="D29" s="251">
        <f t="shared" si="11"/>
        <v>0</v>
      </c>
      <c r="E29" s="245"/>
      <c r="F29" s="659"/>
      <c r="G29" s="250"/>
      <c r="H29" s="250"/>
      <c r="I29" s="251">
        <f t="shared" si="12"/>
        <v>0</v>
      </c>
      <c r="J29" s="245"/>
      <c r="K29" s="662"/>
      <c r="L29" s="250"/>
      <c r="M29" s="250"/>
      <c r="N29" s="251">
        <f t="shared" si="13"/>
        <v>0</v>
      </c>
      <c r="O29" s="245"/>
      <c r="P29" s="665"/>
      <c r="Q29" s="250"/>
      <c r="R29" s="250"/>
      <c r="S29" s="251">
        <f t="shared" si="14"/>
        <v>0</v>
      </c>
      <c r="T29" s="245"/>
      <c r="U29" s="665"/>
      <c r="V29" s="250"/>
      <c r="W29" s="250"/>
      <c r="X29" s="251">
        <f t="shared" si="15"/>
        <v>0</v>
      </c>
      <c r="Y29" s="245"/>
      <c r="Z29" s="665"/>
      <c r="AA29" s="250"/>
      <c r="AB29" s="250"/>
      <c r="AC29" s="251">
        <f t="shared" si="16"/>
        <v>0</v>
      </c>
      <c r="AE29" s="266" t="str">
        <f>P52</f>
        <v>収納
天井</v>
      </c>
      <c r="AF29" s="267">
        <f t="shared" si="7"/>
        <v>0</v>
      </c>
      <c r="AG29" s="281">
        <f>S56</f>
        <v>0</v>
      </c>
      <c r="AH29" s="269">
        <f t="shared" si="5"/>
        <v>0</v>
      </c>
      <c r="AI29" s="269">
        <f t="shared" si="6"/>
        <v>0</v>
      </c>
      <c r="AK29" s="284" t="str">
        <f>P73</f>
        <v>収納
壁</v>
      </c>
      <c r="AL29" s="267">
        <f t="shared" si="8"/>
        <v>0</v>
      </c>
      <c r="AM29" s="282">
        <f>S78</f>
        <v>0</v>
      </c>
      <c r="AN29" s="269">
        <f t="shared" si="9"/>
        <v>0</v>
      </c>
      <c r="AO29" s="269">
        <f t="shared" si="10"/>
        <v>0</v>
      </c>
    </row>
    <row r="30" spans="1:41" ht="12.2" customHeight="1" x14ac:dyDescent="0.15">
      <c r="A30" s="657"/>
      <c r="B30" s="250"/>
      <c r="C30" s="250"/>
      <c r="D30" s="251">
        <f t="shared" si="11"/>
        <v>0</v>
      </c>
      <c r="E30" s="245"/>
      <c r="F30" s="660"/>
      <c r="G30" s="250"/>
      <c r="H30" s="250"/>
      <c r="I30" s="251">
        <f t="shared" si="12"/>
        <v>0</v>
      </c>
      <c r="J30" s="245"/>
      <c r="K30" s="663"/>
      <c r="L30" s="250"/>
      <c r="M30" s="250"/>
      <c r="N30" s="251">
        <f t="shared" si="13"/>
        <v>0</v>
      </c>
      <c r="O30" s="245"/>
      <c r="P30" s="666"/>
      <c r="Q30" s="250"/>
      <c r="R30" s="250"/>
      <c r="S30" s="251">
        <f t="shared" si="14"/>
        <v>0</v>
      </c>
      <c r="T30" s="245"/>
      <c r="U30" s="666"/>
      <c r="V30" s="250"/>
      <c r="W30" s="250"/>
      <c r="X30" s="251">
        <f t="shared" si="15"/>
        <v>0</v>
      </c>
      <c r="Y30" s="245"/>
      <c r="Z30" s="666"/>
      <c r="AA30" s="250"/>
      <c r="AB30" s="250"/>
      <c r="AC30" s="251">
        <f t="shared" si="16"/>
        <v>0</v>
      </c>
      <c r="AE30" s="255">
        <f>Z4</f>
        <v>0</v>
      </c>
      <c r="AF30" s="256">
        <f t="shared" si="7"/>
        <v>0</v>
      </c>
      <c r="AG30" s="279">
        <f>AA14</f>
        <v>0</v>
      </c>
      <c r="AH30" s="258">
        <f t="shared" si="5"/>
        <v>0</v>
      </c>
      <c r="AI30" s="258">
        <f t="shared" si="6"/>
        <v>0</v>
      </c>
      <c r="AK30" s="283">
        <f>Z4</f>
        <v>0</v>
      </c>
      <c r="AL30" s="260">
        <f t="shared" si="8"/>
        <v>0</v>
      </c>
      <c r="AM30" s="280">
        <f>AA36</f>
        <v>0</v>
      </c>
      <c r="AN30" s="262">
        <f t="shared" si="9"/>
        <v>0</v>
      </c>
      <c r="AO30" s="262">
        <f t="shared" si="10"/>
        <v>0</v>
      </c>
    </row>
    <row r="31" spans="1:41" ht="12.2" customHeight="1" x14ac:dyDescent="0.15">
      <c r="A31" s="668" t="s">
        <v>447</v>
      </c>
      <c r="B31" s="250"/>
      <c r="C31" s="250"/>
      <c r="D31" s="251">
        <f t="shared" si="11"/>
        <v>0</v>
      </c>
      <c r="E31" s="245"/>
      <c r="F31" s="668" t="s">
        <v>447</v>
      </c>
      <c r="G31" s="250"/>
      <c r="H31" s="250"/>
      <c r="I31" s="251">
        <f t="shared" si="12"/>
        <v>0</v>
      </c>
      <c r="J31" s="245"/>
      <c r="K31" s="668" t="s">
        <v>447</v>
      </c>
      <c r="L31" s="250"/>
      <c r="M31" s="250"/>
      <c r="N31" s="251">
        <f t="shared" si="13"/>
        <v>0</v>
      </c>
      <c r="O31" s="245"/>
      <c r="P31" s="668" t="s">
        <v>447</v>
      </c>
      <c r="Q31" s="250"/>
      <c r="R31" s="250"/>
      <c r="S31" s="251">
        <f t="shared" si="14"/>
        <v>0</v>
      </c>
      <c r="T31" s="245"/>
      <c r="U31" s="668" t="s">
        <v>447</v>
      </c>
      <c r="V31" s="250"/>
      <c r="W31" s="250"/>
      <c r="X31" s="251">
        <f t="shared" si="15"/>
        <v>0</v>
      </c>
      <c r="Y31" s="245"/>
      <c r="Z31" s="668" t="s">
        <v>447</v>
      </c>
      <c r="AA31" s="250"/>
      <c r="AB31" s="250"/>
      <c r="AC31" s="251">
        <f t="shared" si="16"/>
        <v>0</v>
      </c>
      <c r="AE31" s="266" t="str">
        <f>Z10</f>
        <v>収納
天井</v>
      </c>
      <c r="AF31" s="267">
        <f t="shared" si="7"/>
        <v>0</v>
      </c>
      <c r="AG31" s="269">
        <f>AC14</f>
        <v>0</v>
      </c>
      <c r="AH31" s="269">
        <f t="shared" si="5"/>
        <v>0</v>
      </c>
      <c r="AI31" s="269">
        <f t="shared" si="6"/>
        <v>0</v>
      </c>
      <c r="AK31" s="284" t="str">
        <f>Z31</f>
        <v>収納
壁</v>
      </c>
      <c r="AL31" s="267">
        <f t="shared" si="8"/>
        <v>0</v>
      </c>
      <c r="AM31" s="282">
        <f>AC36</f>
        <v>0</v>
      </c>
      <c r="AN31" s="269">
        <f t="shared" si="9"/>
        <v>0</v>
      </c>
      <c r="AO31" s="269">
        <f t="shared" si="10"/>
        <v>0</v>
      </c>
    </row>
    <row r="32" spans="1:41" ht="12.2" customHeight="1" x14ac:dyDescent="0.15">
      <c r="A32" s="656"/>
      <c r="B32" s="250"/>
      <c r="C32" s="250"/>
      <c r="D32" s="251">
        <f t="shared" si="11"/>
        <v>0</v>
      </c>
      <c r="E32" s="245"/>
      <c r="F32" s="656"/>
      <c r="G32" s="250"/>
      <c r="H32" s="250"/>
      <c r="I32" s="251">
        <f t="shared" si="12"/>
        <v>0</v>
      </c>
      <c r="J32" s="245"/>
      <c r="K32" s="656"/>
      <c r="L32" s="250"/>
      <c r="M32" s="250"/>
      <c r="N32" s="251">
        <f t="shared" si="13"/>
        <v>0</v>
      </c>
      <c r="O32" s="245"/>
      <c r="P32" s="656"/>
      <c r="Q32" s="250"/>
      <c r="R32" s="250"/>
      <c r="S32" s="251">
        <f t="shared" si="14"/>
        <v>0</v>
      </c>
      <c r="T32" s="245"/>
      <c r="U32" s="656"/>
      <c r="V32" s="250"/>
      <c r="W32" s="250"/>
      <c r="X32" s="251">
        <f t="shared" si="15"/>
        <v>0</v>
      </c>
      <c r="Y32" s="245"/>
      <c r="Z32" s="656"/>
      <c r="AA32" s="250"/>
      <c r="AB32" s="250"/>
      <c r="AC32" s="251">
        <f t="shared" si="16"/>
        <v>0</v>
      </c>
      <c r="AE32" s="255">
        <f>U45</f>
        <v>0</v>
      </c>
      <c r="AF32" s="256">
        <f t="shared" si="7"/>
        <v>0</v>
      </c>
      <c r="AG32" s="258">
        <f>V56</f>
        <v>0</v>
      </c>
      <c r="AH32" s="258">
        <f t="shared" si="5"/>
        <v>0</v>
      </c>
      <c r="AI32" s="258">
        <f t="shared" si="6"/>
        <v>0</v>
      </c>
      <c r="AK32" s="283">
        <f>U45</f>
        <v>0</v>
      </c>
      <c r="AL32" s="260">
        <f t="shared" si="8"/>
        <v>0</v>
      </c>
      <c r="AM32" s="280">
        <f>V78</f>
        <v>0</v>
      </c>
      <c r="AN32" s="262">
        <f t="shared" si="9"/>
        <v>0</v>
      </c>
      <c r="AO32" s="262">
        <f t="shared" si="10"/>
        <v>0</v>
      </c>
    </row>
    <row r="33" spans="1:41" ht="12.2" customHeight="1" x14ac:dyDescent="0.15">
      <c r="A33" s="656"/>
      <c r="B33" s="250"/>
      <c r="C33" s="250"/>
      <c r="D33" s="251">
        <f t="shared" si="11"/>
        <v>0</v>
      </c>
      <c r="E33" s="245"/>
      <c r="F33" s="656"/>
      <c r="G33" s="250"/>
      <c r="H33" s="250"/>
      <c r="I33" s="251">
        <f t="shared" si="12"/>
        <v>0</v>
      </c>
      <c r="J33" s="245"/>
      <c r="K33" s="656"/>
      <c r="L33" s="250"/>
      <c r="M33" s="250"/>
      <c r="N33" s="251">
        <f t="shared" si="13"/>
        <v>0</v>
      </c>
      <c r="O33" s="245"/>
      <c r="P33" s="656"/>
      <c r="Q33" s="250"/>
      <c r="R33" s="250"/>
      <c r="S33" s="251">
        <f t="shared" si="14"/>
        <v>0</v>
      </c>
      <c r="T33" s="245"/>
      <c r="U33" s="656"/>
      <c r="V33" s="250"/>
      <c r="W33" s="250"/>
      <c r="X33" s="251">
        <f t="shared" si="15"/>
        <v>0</v>
      </c>
      <c r="Y33" s="245"/>
      <c r="Z33" s="656"/>
      <c r="AA33" s="250"/>
      <c r="AB33" s="250"/>
      <c r="AC33" s="251">
        <f t="shared" si="16"/>
        <v>0</v>
      </c>
      <c r="AE33" s="266" t="str">
        <f>U52</f>
        <v>収納
天井</v>
      </c>
      <c r="AF33" s="267">
        <f t="shared" si="7"/>
        <v>0</v>
      </c>
      <c r="AG33" s="269">
        <f>X56</f>
        <v>0</v>
      </c>
      <c r="AH33" s="269">
        <f t="shared" si="5"/>
        <v>0</v>
      </c>
      <c r="AI33" s="269">
        <f t="shared" si="6"/>
        <v>0</v>
      </c>
      <c r="AK33" s="284" t="str">
        <f>U73</f>
        <v>収納
壁</v>
      </c>
      <c r="AL33" s="267">
        <f t="shared" si="8"/>
        <v>0</v>
      </c>
      <c r="AM33" s="282">
        <f>X78</f>
        <v>0</v>
      </c>
      <c r="AN33" s="269">
        <f t="shared" si="9"/>
        <v>0</v>
      </c>
      <c r="AO33" s="269">
        <f t="shared" si="10"/>
        <v>0</v>
      </c>
    </row>
    <row r="34" spans="1:41" ht="12.2" customHeight="1" x14ac:dyDescent="0.15">
      <c r="A34" s="656"/>
      <c r="B34" s="250"/>
      <c r="C34" s="250"/>
      <c r="D34" s="251">
        <f t="shared" si="11"/>
        <v>0</v>
      </c>
      <c r="E34" s="245"/>
      <c r="F34" s="656"/>
      <c r="G34" s="250"/>
      <c r="H34" s="250"/>
      <c r="I34" s="251">
        <f t="shared" si="12"/>
        <v>0</v>
      </c>
      <c r="J34" s="245"/>
      <c r="K34" s="656"/>
      <c r="L34" s="250"/>
      <c r="M34" s="250"/>
      <c r="N34" s="251">
        <f t="shared" si="13"/>
        <v>0</v>
      </c>
      <c r="O34" s="245"/>
      <c r="P34" s="656"/>
      <c r="Q34" s="250"/>
      <c r="R34" s="250"/>
      <c r="S34" s="251">
        <f t="shared" si="14"/>
        <v>0</v>
      </c>
      <c r="T34" s="245"/>
      <c r="U34" s="656"/>
      <c r="V34" s="250"/>
      <c r="W34" s="250"/>
      <c r="X34" s="251">
        <f t="shared" si="15"/>
        <v>0</v>
      </c>
      <c r="Y34" s="245"/>
      <c r="Z34" s="656"/>
      <c r="AA34" s="250"/>
      <c r="AB34" s="250"/>
      <c r="AC34" s="251">
        <f t="shared" si="16"/>
        <v>0</v>
      </c>
      <c r="AE34" s="255">
        <f>Z45</f>
        <v>0</v>
      </c>
      <c r="AF34" s="256">
        <f t="shared" si="7"/>
        <v>0</v>
      </c>
      <c r="AG34" s="258">
        <f>AA56</f>
        <v>0</v>
      </c>
      <c r="AH34" s="258">
        <f t="shared" si="5"/>
        <v>0</v>
      </c>
      <c r="AI34" s="258">
        <f t="shared" si="6"/>
        <v>0</v>
      </c>
      <c r="AK34" s="283">
        <f>Z45</f>
        <v>0</v>
      </c>
      <c r="AL34" s="260">
        <f t="shared" si="8"/>
        <v>0</v>
      </c>
      <c r="AM34" s="280">
        <f>AA78</f>
        <v>0</v>
      </c>
      <c r="AN34" s="262">
        <f t="shared" si="9"/>
        <v>0</v>
      </c>
      <c r="AO34" s="262">
        <f t="shared" si="10"/>
        <v>0</v>
      </c>
    </row>
    <row r="35" spans="1:41" ht="12.2" customHeight="1" thickBot="1" x14ac:dyDescent="0.2">
      <c r="A35" s="669"/>
      <c r="B35" s="263"/>
      <c r="C35" s="263"/>
      <c r="D35" s="264">
        <f t="shared" si="11"/>
        <v>0</v>
      </c>
      <c r="E35" s="245"/>
      <c r="F35" s="669"/>
      <c r="G35" s="263"/>
      <c r="H35" s="263"/>
      <c r="I35" s="264">
        <f t="shared" si="12"/>
        <v>0</v>
      </c>
      <c r="J35" s="245"/>
      <c r="K35" s="669"/>
      <c r="L35" s="263"/>
      <c r="M35" s="263"/>
      <c r="N35" s="264">
        <f t="shared" si="13"/>
        <v>0</v>
      </c>
      <c r="O35" s="245"/>
      <c r="P35" s="669"/>
      <c r="Q35" s="263"/>
      <c r="R35" s="263"/>
      <c r="S35" s="264">
        <f t="shared" si="14"/>
        <v>0</v>
      </c>
      <c r="T35" s="245"/>
      <c r="U35" s="669"/>
      <c r="V35" s="263"/>
      <c r="W35" s="263"/>
      <c r="X35" s="264">
        <f t="shared" si="15"/>
        <v>0</v>
      </c>
      <c r="Y35" s="245"/>
      <c r="Z35" s="669"/>
      <c r="AA35" s="263"/>
      <c r="AB35" s="263"/>
      <c r="AC35" s="264">
        <f t="shared" si="16"/>
        <v>0</v>
      </c>
      <c r="AE35" s="266" t="str">
        <f>Z52</f>
        <v>収納
天井</v>
      </c>
      <c r="AF35" s="267">
        <f t="shared" si="7"/>
        <v>0</v>
      </c>
      <c r="AG35" s="269">
        <f>AC56</f>
        <v>0</v>
      </c>
      <c r="AH35" s="269">
        <f t="shared" si="5"/>
        <v>0</v>
      </c>
      <c r="AI35" s="269">
        <f t="shared" si="6"/>
        <v>0</v>
      </c>
      <c r="AK35" s="284" t="str">
        <f>Z73</f>
        <v>収納
壁</v>
      </c>
      <c r="AL35" s="267">
        <f t="shared" si="8"/>
        <v>0</v>
      </c>
      <c r="AM35" s="282">
        <f>AC78</f>
        <v>0</v>
      </c>
      <c r="AN35" s="269">
        <f t="shared" si="9"/>
        <v>0</v>
      </c>
      <c r="AO35" s="269">
        <f t="shared" si="10"/>
        <v>0</v>
      </c>
    </row>
    <row r="36" spans="1:41" ht="12.2" customHeight="1" thickBot="1" x14ac:dyDescent="0.2">
      <c r="A36" s="270" t="s">
        <v>445</v>
      </c>
      <c r="B36" s="271">
        <f>SUM(D16:D30)</f>
        <v>0</v>
      </c>
      <c r="C36" s="270" t="s">
        <v>446</v>
      </c>
      <c r="D36" s="271">
        <f>SUM(D31:D35)</f>
        <v>0</v>
      </c>
      <c r="E36" s="245"/>
      <c r="F36" s="270" t="s">
        <v>445</v>
      </c>
      <c r="G36" s="271">
        <f>SUM(I16:I30)</f>
        <v>0</v>
      </c>
      <c r="H36" s="270" t="s">
        <v>446</v>
      </c>
      <c r="I36" s="271">
        <f>SUM(I31:I35)</f>
        <v>0</v>
      </c>
      <c r="J36" s="245"/>
      <c r="K36" s="270" t="s">
        <v>445</v>
      </c>
      <c r="L36" s="271">
        <f>SUM(N16:N30)</f>
        <v>0</v>
      </c>
      <c r="M36" s="270" t="s">
        <v>446</v>
      </c>
      <c r="N36" s="271">
        <f>SUM(N31:N35)</f>
        <v>0</v>
      </c>
      <c r="O36" s="245"/>
      <c r="P36" s="270" t="s">
        <v>445</v>
      </c>
      <c r="Q36" s="271">
        <f>SUM(S16:S30)</f>
        <v>0</v>
      </c>
      <c r="R36" s="270" t="s">
        <v>446</v>
      </c>
      <c r="S36" s="271">
        <f>SUM(S31:S35)</f>
        <v>0</v>
      </c>
      <c r="T36" s="245"/>
      <c r="U36" s="270" t="s">
        <v>445</v>
      </c>
      <c r="V36" s="271">
        <f>SUM(X16:X30)</f>
        <v>0</v>
      </c>
      <c r="W36" s="270" t="s">
        <v>446</v>
      </c>
      <c r="X36" s="271">
        <f>SUM(X31:X35)</f>
        <v>0</v>
      </c>
      <c r="Y36" s="245"/>
      <c r="Z36" s="270" t="s">
        <v>445</v>
      </c>
      <c r="AA36" s="271">
        <f>SUM(AC16:AC30)</f>
        <v>0</v>
      </c>
      <c r="AB36" s="270" t="s">
        <v>446</v>
      </c>
      <c r="AC36" s="271">
        <f>SUM(AC31:AC35)</f>
        <v>0</v>
      </c>
      <c r="AE36" s="285" t="s">
        <v>405</v>
      </c>
      <c r="AF36" s="253">
        <f>SUM(AG36*1.1)</f>
        <v>0</v>
      </c>
      <c r="AG36" s="286">
        <f>SUM(AG12:AG35)</f>
        <v>0</v>
      </c>
      <c r="AH36" s="286">
        <f>SUM(AH12:AH35)</f>
        <v>0</v>
      </c>
      <c r="AI36" s="286">
        <f>SUM(AI12:AI35)</f>
        <v>0</v>
      </c>
      <c r="AK36" s="285" t="s">
        <v>405</v>
      </c>
      <c r="AL36" s="253">
        <f t="shared" si="8"/>
        <v>0</v>
      </c>
      <c r="AM36" s="286">
        <f>SUM(AM12:AM35)</f>
        <v>0</v>
      </c>
      <c r="AN36" s="286">
        <f>SUM(AN12:AN35)</f>
        <v>0</v>
      </c>
      <c r="AO36" s="286">
        <f>SUM(AO12:AO35)</f>
        <v>0</v>
      </c>
    </row>
    <row r="37" spans="1:41" ht="12.2" customHeight="1" x14ac:dyDescent="0.15">
      <c r="A37" s="273" t="str">
        <f>A4</f>
        <v>居間</v>
      </c>
      <c r="B37" s="243" t="s">
        <v>431</v>
      </c>
      <c r="C37" s="243" t="s">
        <v>34</v>
      </c>
      <c r="D37" s="244" t="s">
        <v>432</v>
      </c>
      <c r="E37" s="274"/>
      <c r="F37" s="275" t="str">
        <f>F4</f>
        <v>手前
(右)</v>
      </c>
      <c r="G37" s="243" t="s">
        <v>431</v>
      </c>
      <c r="H37" s="243" t="s">
        <v>34</v>
      </c>
      <c r="I37" s="244" t="s">
        <v>432</v>
      </c>
      <c r="J37" s="274"/>
      <c r="K37" s="276" t="str">
        <f>K4</f>
        <v>中</v>
      </c>
      <c r="L37" s="243" t="s">
        <v>431</v>
      </c>
      <c r="M37" s="243" t="s">
        <v>34</v>
      </c>
      <c r="N37" s="244" t="s">
        <v>432</v>
      </c>
      <c r="O37" s="274"/>
      <c r="P37" s="277" t="str">
        <f>P4</f>
        <v>奥
(左)</v>
      </c>
      <c r="Q37" s="243" t="s">
        <v>431</v>
      </c>
      <c r="R37" s="243" t="s">
        <v>34</v>
      </c>
      <c r="S37" s="244" t="s">
        <v>432</v>
      </c>
      <c r="T37" s="274"/>
      <c r="U37" s="277" t="str">
        <f>U4</f>
        <v>和室</v>
      </c>
      <c r="V37" s="243" t="s">
        <v>431</v>
      </c>
      <c r="W37" s="243" t="s">
        <v>34</v>
      </c>
      <c r="X37" s="244" t="s">
        <v>432</v>
      </c>
      <c r="Y37" s="274"/>
      <c r="Z37" s="277">
        <f>Z4</f>
        <v>0</v>
      </c>
      <c r="AA37" s="243" t="s">
        <v>431</v>
      </c>
      <c r="AB37" s="243" t="s">
        <v>34</v>
      </c>
      <c r="AC37" s="244" t="s">
        <v>432</v>
      </c>
      <c r="AE37" s="285"/>
      <c r="AF37" s="285"/>
    </row>
    <row r="38" spans="1:41" ht="12.2" customHeight="1" x14ac:dyDescent="0.15">
      <c r="A38" s="655" t="s">
        <v>448</v>
      </c>
      <c r="B38" s="250"/>
      <c r="C38" s="250"/>
      <c r="D38" s="287">
        <f>SUM(B38*C38)</f>
        <v>0</v>
      </c>
      <c r="E38" s="245"/>
      <c r="F38" s="658" t="s">
        <v>448</v>
      </c>
      <c r="G38" s="250"/>
      <c r="H38" s="250"/>
      <c r="I38" s="251">
        <f>SUM(G38*H38)</f>
        <v>0</v>
      </c>
      <c r="J38" s="245"/>
      <c r="K38" s="661" t="s">
        <v>448</v>
      </c>
      <c r="L38" s="250"/>
      <c r="M38" s="250"/>
      <c r="N38" s="251">
        <f>SUM(L38*M38)</f>
        <v>0</v>
      </c>
      <c r="O38" s="245"/>
      <c r="P38" s="664" t="s">
        <v>448</v>
      </c>
      <c r="Q38" s="250"/>
      <c r="R38" s="250"/>
      <c r="S38" s="251">
        <f>SUM(Q38*R38)</f>
        <v>0</v>
      </c>
      <c r="T38" s="245"/>
      <c r="U38" s="664" t="s">
        <v>448</v>
      </c>
      <c r="V38" s="250"/>
      <c r="W38" s="250"/>
      <c r="X38" s="251">
        <f>SUM(V38*W38)</f>
        <v>0</v>
      </c>
      <c r="Y38" s="245"/>
      <c r="Z38" s="664" t="s">
        <v>448</v>
      </c>
      <c r="AA38" s="250"/>
      <c r="AB38" s="250"/>
      <c r="AC38" s="251">
        <f>SUM(AA38*AB38)</f>
        <v>0</v>
      </c>
      <c r="AE38" s="288" t="s">
        <v>432</v>
      </c>
      <c r="AF38" s="253" t="s">
        <v>441</v>
      </c>
      <c r="AG38" s="254" t="s">
        <v>442</v>
      </c>
      <c r="AH38" s="254" t="s">
        <v>443</v>
      </c>
      <c r="AI38" s="254" t="s">
        <v>444</v>
      </c>
    </row>
    <row r="39" spans="1:41" ht="12.2" customHeight="1" x14ac:dyDescent="0.15">
      <c r="A39" s="656"/>
      <c r="B39" s="250"/>
      <c r="C39" s="250"/>
      <c r="D39" s="251">
        <f>SUM(B39*C39)</f>
        <v>0</v>
      </c>
      <c r="E39" s="245"/>
      <c r="F39" s="659"/>
      <c r="G39" s="250"/>
      <c r="H39" s="250"/>
      <c r="I39" s="251">
        <f>SUM(G39*H39)</f>
        <v>0</v>
      </c>
      <c r="J39" s="245"/>
      <c r="K39" s="662"/>
      <c r="L39" s="250"/>
      <c r="M39" s="250"/>
      <c r="N39" s="251">
        <f>SUM(L39*M39)</f>
        <v>0</v>
      </c>
      <c r="O39" s="245"/>
      <c r="P39" s="665"/>
      <c r="Q39" s="250"/>
      <c r="R39" s="250"/>
      <c r="S39" s="251">
        <f>SUM(Q39*R39)</f>
        <v>0</v>
      </c>
      <c r="T39" s="245"/>
      <c r="U39" s="665"/>
      <c r="V39" s="250"/>
      <c r="W39" s="250"/>
      <c r="X39" s="251">
        <f>SUM(V39*W39)</f>
        <v>0</v>
      </c>
      <c r="Y39" s="245"/>
      <c r="Z39" s="665"/>
      <c r="AA39" s="250"/>
      <c r="AB39" s="250"/>
      <c r="AC39" s="251">
        <f>SUM(AA39*AB39)</f>
        <v>0</v>
      </c>
      <c r="AE39" s="289" t="str">
        <f>AE12</f>
        <v>居間</v>
      </c>
      <c r="AF39" s="290">
        <f>SUM(AG39*1.1)</f>
        <v>0</v>
      </c>
      <c r="AG39" s="291">
        <f t="shared" ref="AG39:AG62" si="17">AG12+AM12</f>
        <v>0</v>
      </c>
      <c r="AH39" s="292">
        <f>SUM(AG39*0.9)</f>
        <v>0</v>
      </c>
      <c r="AI39" s="292">
        <f>SUM(AG39*0.85)</f>
        <v>0</v>
      </c>
    </row>
    <row r="40" spans="1:41" ht="12.2" customHeight="1" x14ac:dyDescent="0.15">
      <c r="A40" s="656"/>
      <c r="B40" s="293"/>
      <c r="C40" s="293"/>
      <c r="D40" s="251">
        <f>SUM(B40*C40)</f>
        <v>0</v>
      </c>
      <c r="E40" s="245"/>
      <c r="F40" s="659"/>
      <c r="G40" s="293"/>
      <c r="H40" s="293"/>
      <c r="I40" s="251">
        <f>SUM(G40*H40)</f>
        <v>0</v>
      </c>
      <c r="J40" s="245"/>
      <c r="K40" s="662"/>
      <c r="L40" s="293"/>
      <c r="M40" s="293"/>
      <c r="N40" s="251">
        <f>SUM(L40*M40)</f>
        <v>0</v>
      </c>
      <c r="O40" s="245"/>
      <c r="P40" s="665"/>
      <c r="Q40" s="293"/>
      <c r="R40" s="293"/>
      <c r="S40" s="251">
        <f>SUM(Q40*R40)</f>
        <v>0</v>
      </c>
      <c r="T40" s="245"/>
      <c r="U40" s="665"/>
      <c r="V40" s="293"/>
      <c r="W40" s="293"/>
      <c r="X40" s="251">
        <f>SUM(V40*W40)</f>
        <v>0</v>
      </c>
      <c r="Y40" s="245"/>
      <c r="Z40" s="665"/>
      <c r="AA40" s="293"/>
      <c r="AB40" s="293"/>
      <c r="AC40" s="251">
        <f>SUM(AA40*AB40)</f>
        <v>0</v>
      </c>
      <c r="AE40" s="266" t="str">
        <f>C36</f>
        <v>収納</v>
      </c>
      <c r="AF40" s="267">
        <f t="shared" ref="AF40:AF63" si="18">SUM(AG40*1.1)</f>
        <v>0</v>
      </c>
      <c r="AG40" s="268">
        <f t="shared" si="17"/>
        <v>0</v>
      </c>
      <c r="AH40" s="269">
        <f t="shared" ref="AH40:AH62" si="19">SUM(AG40*0.9)</f>
        <v>0</v>
      </c>
      <c r="AI40" s="269">
        <f t="shared" ref="AI40:AI62" si="20">SUM(AG40*0.85)</f>
        <v>0</v>
      </c>
    </row>
    <row r="41" spans="1:41" ht="12.2" customHeight="1" x14ac:dyDescent="0.15">
      <c r="A41" s="657"/>
      <c r="B41" s="293"/>
      <c r="C41" s="293"/>
      <c r="D41" s="251">
        <f>SUM(B41*C41)</f>
        <v>0</v>
      </c>
      <c r="E41" s="245"/>
      <c r="F41" s="660"/>
      <c r="G41" s="293"/>
      <c r="H41" s="293"/>
      <c r="I41" s="251">
        <f>SUM(G41*H41)</f>
        <v>0</v>
      </c>
      <c r="J41" s="245"/>
      <c r="K41" s="663"/>
      <c r="L41" s="293"/>
      <c r="M41" s="293"/>
      <c r="N41" s="251">
        <f>SUM(L41*M41)</f>
        <v>0</v>
      </c>
      <c r="O41" s="245"/>
      <c r="P41" s="666"/>
      <c r="Q41" s="293"/>
      <c r="R41" s="293"/>
      <c r="S41" s="251">
        <f>SUM(Q41*R41)</f>
        <v>0</v>
      </c>
      <c r="T41" s="245"/>
      <c r="U41" s="666"/>
      <c r="V41" s="293"/>
      <c r="W41" s="293"/>
      <c r="X41" s="251">
        <f>SUM(V41*W41)</f>
        <v>0</v>
      </c>
      <c r="Y41" s="245"/>
      <c r="Z41" s="666"/>
      <c r="AA41" s="293"/>
      <c r="AB41" s="293"/>
      <c r="AC41" s="251">
        <f>SUM(AA41*AB41)</f>
        <v>0</v>
      </c>
      <c r="AE41" s="289" t="str">
        <f>AE14</f>
        <v>手前
(右)</v>
      </c>
      <c r="AF41" s="290">
        <f t="shared" si="18"/>
        <v>0</v>
      </c>
      <c r="AG41" s="291">
        <f t="shared" si="17"/>
        <v>0</v>
      </c>
      <c r="AH41" s="292">
        <f t="shared" si="19"/>
        <v>0</v>
      </c>
      <c r="AI41" s="292">
        <f t="shared" si="20"/>
        <v>0</v>
      </c>
    </row>
    <row r="42" spans="1:41" ht="12.2" customHeight="1" thickBot="1" x14ac:dyDescent="0.2">
      <c r="A42" s="294" t="s">
        <v>449</v>
      </c>
      <c r="B42" s="295"/>
      <c r="C42" s="295"/>
      <c r="D42" s="296">
        <f>SUM(B42*C42)</f>
        <v>0</v>
      </c>
      <c r="E42" s="297"/>
      <c r="F42" s="298" t="s">
        <v>449</v>
      </c>
      <c r="G42" s="295"/>
      <c r="H42" s="295"/>
      <c r="I42" s="299">
        <f>SUM(G42*H42)</f>
        <v>0</v>
      </c>
      <c r="J42" s="297"/>
      <c r="K42" s="300" t="s">
        <v>449</v>
      </c>
      <c r="L42" s="295"/>
      <c r="M42" s="301"/>
      <c r="N42" s="287">
        <f>SUM(L42*M42)</f>
        <v>0</v>
      </c>
      <c r="O42" s="297"/>
      <c r="P42" s="302" t="s">
        <v>449</v>
      </c>
      <c r="Q42" s="295"/>
      <c r="R42" s="295"/>
      <c r="S42" s="299">
        <f>SUM(Q42*R42)</f>
        <v>0</v>
      </c>
      <c r="T42" s="297"/>
      <c r="U42" s="302" t="s">
        <v>449</v>
      </c>
      <c r="V42" s="295"/>
      <c r="W42" s="295"/>
      <c r="X42" s="299">
        <f>SUM(V42*W42)</f>
        <v>0</v>
      </c>
      <c r="Y42" s="297"/>
      <c r="Z42" s="302" t="s">
        <v>449</v>
      </c>
      <c r="AA42" s="295"/>
      <c r="AB42" s="295"/>
      <c r="AC42" s="299">
        <f>SUM(AA42*AB42)</f>
        <v>0</v>
      </c>
      <c r="AE42" s="266" t="str">
        <f>H36</f>
        <v>収納</v>
      </c>
      <c r="AF42" s="267">
        <f t="shared" si="18"/>
        <v>0</v>
      </c>
      <c r="AG42" s="268">
        <f t="shared" si="17"/>
        <v>0</v>
      </c>
      <c r="AH42" s="269">
        <f t="shared" si="19"/>
        <v>0</v>
      </c>
      <c r="AI42" s="269">
        <f t="shared" si="20"/>
        <v>0</v>
      </c>
    </row>
    <row r="43" spans="1:41" ht="12.2" customHeight="1" thickBot="1" x14ac:dyDescent="0.2">
      <c r="A43" s="245"/>
      <c r="B43" s="245"/>
      <c r="C43" s="270" t="s">
        <v>432</v>
      </c>
      <c r="D43" s="271">
        <f>SUM(D38:D42)</f>
        <v>0</v>
      </c>
      <c r="E43" s="245"/>
      <c r="F43" s="245"/>
      <c r="G43" s="245"/>
      <c r="H43" s="270" t="s">
        <v>432</v>
      </c>
      <c r="I43" s="271">
        <f>SUM(I38:I42)</f>
        <v>0</v>
      </c>
      <c r="J43" s="245"/>
      <c r="K43" s="245"/>
      <c r="L43" s="245"/>
      <c r="M43" s="303" t="s">
        <v>432</v>
      </c>
      <c r="N43" s="304">
        <f>SUM(N38:N42)</f>
        <v>0</v>
      </c>
      <c r="O43" s="245"/>
      <c r="P43" s="245"/>
      <c r="Q43" s="245"/>
      <c r="R43" s="270" t="s">
        <v>432</v>
      </c>
      <c r="S43" s="271">
        <f>SUM(S38:S42)</f>
        <v>0</v>
      </c>
      <c r="T43" s="245"/>
      <c r="U43" s="245"/>
      <c r="V43" s="245"/>
      <c r="W43" s="270" t="s">
        <v>432</v>
      </c>
      <c r="X43" s="271">
        <f>SUM(X38:X42)</f>
        <v>0</v>
      </c>
      <c r="Y43" s="245"/>
      <c r="Z43" s="245"/>
      <c r="AA43" s="245"/>
      <c r="AB43" s="270" t="s">
        <v>432</v>
      </c>
      <c r="AC43" s="271">
        <f>SUM(AC38:AC42)</f>
        <v>0</v>
      </c>
      <c r="AE43" s="289" t="str">
        <f>AE16</f>
        <v>中</v>
      </c>
      <c r="AF43" s="290">
        <f t="shared" si="18"/>
        <v>0</v>
      </c>
      <c r="AG43" s="291">
        <f t="shared" si="17"/>
        <v>0</v>
      </c>
      <c r="AH43" s="292">
        <f t="shared" si="19"/>
        <v>0</v>
      </c>
      <c r="AI43" s="292">
        <f t="shared" si="20"/>
        <v>0</v>
      </c>
    </row>
    <row r="44" spans="1:41" ht="15.95" customHeight="1" thickBot="1" x14ac:dyDescent="0.2">
      <c r="A44" s="245"/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5"/>
      <c r="U44" s="245"/>
      <c r="V44" s="245"/>
      <c r="W44" s="245"/>
      <c r="X44" s="245"/>
      <c r="Y44" s="245"/>
      <c r="Z44" s="245"/>
      <c r="AA44" s="245"/>
      <c r="AB44" s="245"/>
      <c r="AC44" s="245"/>
      <c r="AE44" s="266" t="str">
        <f>M36</f>
        <v>収納</v>
      </c>
      <c r="AF44" s="267">
        <f t="shared" si="18"/>
        <v>0</v>
      </c>
      <c r="AG44" s="268">
        <f t="shared" si="17"/>
        <v>0</v>
      </c>
      <c r="AH44" s="269">
        <f t="shared" si="19"/>
        <v>0</v>
      </c>
      <c r="AI44" s="269">
        <f t="shared" si="20"/>
        <v>0</v>
      </c>
    </row>
    <row r="45" spans="1:41" ht="12.2" customHeight="1" x14ac:dyDescent="0.15">
      <c r="A45" s="305" t="s">
        <v>450</v>
      </c>
      <c r="B45" s="243" t="s">
        <v>431</v>
      </c>
      <c r="C45" s="243" t="s">
        <v>34</v>
      </c>
      <c r="D45" s="244" t="s">
        <v>432</v>
      </c>
      <c r="E45" s="274"/>
      <c r="F45" s="306" t="s">
        <v>451</v>
      </c>
      <c r="G45" s="243" t="s">
        <v>431</v>
      </c>
      <c r="H45" s="243" t="s">
        <v>34</v>
      </c>
      <c r="I45" s="244" t="s">
        <v>432</v>
      </c>
      <c r="J45" s="274"/>
      <c r="K45" s="307" t="s">
        <v>452</v>
      </c>
      <c r="L45" s="243" t="s">
        <v>431</v>
      </c>
      <c r="M45" s="243" t="s">
        <v>34</v>
      </c>
      <c r="N45" s="244" t="s">
        <v>432</v>
      </c>
      <c r="O45" s="274"/>
      <c r="P45" s="308" t="s">
        <v>453</v>
      </c>
      <c r="Q45" s="243" t="s">
        <v>431</v>
      </c>
      <c r="R45" s="243" t="s">
        <v>34</v>
      </c>
      <c r="S45" s="244" t="s">
        <v>432</v>
      </c>
      <c r="T45" s="274"/>
      <c r="U45" s="308"/>
      <c r="V45" s="243" t="s">
        <v>431</v>
      </c>
      <c r="W45" s="243" t="s">
        <v>34</v>
      </c>
      <c r="X45" s="244" t="s">
        <v>432</v>
      </c>
      <c r="Y45" s="274"/>
      <c r="Z45" s="308"/>
      <c r="AA45" s="243" t="s">
        <v>431</v>
      </c>
      <c r="AB45" s="243" t="s">
        <v>34</v>
      </c>
      <c r="AC45" s="244" t="s">
        <v>432</v>
      </c>
      <c r="AE45" s="289" t="str">
        <f>AE18</f>
        <v>奥
(左)</v>
      </c>
      <c r="AF45" s="290">
        <f t="shared" si="18"/>
        <v>0</v>
      </c>
      <c r="AG45" s="291">
        <f t="shared" si="17"/>
        <v>0</v>
      </c>
      <c r="AH45" s="292">
        <f t="shared" si="19"/>
        <v>0</v>
      </c>
      <c r="AI45" s="292">
        <f t="shared" si="20"/>
        <v>0</v>
      </c>
    </row>
    <row r="46" spans="1:41" ht="12.2" customHeight="1" x14ac:dyDescent="0.15">
      <c r="A46" s="678" t="s">
        <v>437</v>
      </c>
      <c r="B46" s="250"/>
      <c r="C46" s="250"/>
      <c r="D46" s="251">
        <f t="shared" ref="D46:D55" si="21">SUM(B46*C46)</f>
        <v>0</v>
      </c>
      <c r="E46" s="245"/>
      <c r="F46" s="681" t="s">
        <v>437</v>
      </c>
      <c r="G46" s="250"/>
      <c r="H46" s="250"/>
      <c r="I46" s="251">
        <f t="shared" ref="I46:I55" si="22">SUM(G46*H46)</f>
        <v>0</v>
      </c>
      <c r="J46" s="245"/>
      <c r="K46" s="684" t="s">
        <v>437</v>
      </c>
      <c r="L46" s="250"/>
      <c r="M46" s="250"/>
      <c r="N46" s="251">
        <f t="shared" ref="N46:N55" si="23">SUM(L46*M46)</f>
        <v>0</v>
      </c>
      <c r="O46" s="245"/>
      <c r="P46" s="655" t="s">
        <v>437</v>
      </c>
      <c r="Q46" s="250"/>
      <c r="R46" s="250"/>
      <c r="S46" s="251">
        <f t="shared" ref="S46:S55" si="24">SUM(Q46*R46)</f>
        <v>0</v>
      </c>
      <c r="T46" s="245"/>
      <c r="U46" s="655" t="s">
        <v>437</v>
      </c>
      <c r="V46" s="250"/>
      <c r="W46" s="250"/>
      <c r="X46" s="251">
        <f t="shared" ref="X46:X55" si="25">SUM(V46*W46)</f>
        <v>0</v>
      </c>
      <c r="Y46" s="245"/>
      <c r="Z46" s="655" t="s">
        <v>437</v>
      </c>
      <c r="AA46" s="250"/>
      <c r="AB46" s="250"/>
      <c r="AC46" s="251">
        <f t="shared" ref="AC46:AC55" si="26">SUM(AA46*AB46)</f>
        <v>0</v>
      </c>
      <c r="AE46" s="266" t="str">
        <f>R36</f>
        <v>収納</v>
      </c>
      <c r="AF46" s="267">
        <f t="shared" si="18"/>
        <v>0</v>
      </c>
      <c r="AG46" s="268">
        <f t="shared" si="17"/>
        <v>0</v>
      </c>
      <c r="AH46" s="269">
        <f t="shared" si="19"/>
        <v>0</v>
      </c>
      <c r="AI46" s="269">
        <f t="shared" si="20"/>
        <v>0</v>
      </c>
    </row>
    <row r="47" spans="1:41" ht="12.2" customHeight="1" x14ac:dyDescent="0.15">
      <c r="A47" s="679"/>
      <c r="B47" s="250"/>
      <c r="C47" s="250"/>
      <c r="D47" s="251">
        <f t="shared" si="21"/>
        <v>0</v>
      </c>
      <c r="E47" s="245"/>
      <c r="F47" s="682"/>
      <c r="G47" s="250"/>
      <c r="H47" s="250"/>
      <c r="I47" s="251">
        <f t="shared" si="22"/>
        <v>0</v>
      </c>
      <c r="J47" s="245"/>
      <c r="K47" s="685"/>
      <c r="L47" s="250"/>
      <c r="M47" s="250"/>
      <c r="N47" s="251">
        <f t="shared" si="23"/>
        <v>0</v>
      </c>
      <c r="O47" s="245"/>
      <c r="P47" s="656"/>
      <c r="Q47" s="250"/>
      <c r="R47" s="250"/>
      <c r="S47" s="251">
        <f t="shared" si="24"/>
        <v>0</v>
      </c>
      <c r="T47" s="245"/>
      <c r="U47" s="656"/>
      <c r="V47" s="250"/>
      <c r="W47" s="250"/>
      <c r="X47" s="251">
        <f t="shared" si="25"/>
        <v>0</v>
      </c>
      <c r="Y47" s="245"/>
      <c r="Z47" s="656"/>
      <c r="AA47" s="250"/>
      <c r="AB47" s="250"/>
      <c r="AC47" s="251">
        <f t="shared" si="26"/>
        <v>0</v>
      </c>
      <c r="AE47" s="289" t="str">
        <f>AE20</f>
        <v>和室</v>
      </c>
      <c r="AF47" s="290">
        <f t="shared" si="18"/>
        <v>0</v>
      </c>
      <c r="AG47" s="291">
        <f t="shared" si="17"/>
        <v>0</v>
      </c>
      <c r="AH47" s="292">
        <f t="shared" si="19"/>
        <v>0</v>
      </c>
      <c r="AI47" s="292">
        <f t="shared" si="20"/>
        <v>0</v>
      </c>
    </row>
    <row r="48" spans="1:41" ht="12.2" customHeight="1" x14ac:dyDescent="0.15">
      <c r="A48" s="679"/>
      <c r="B48" s="250"/>
      <c r="C48" s="250"/>
      <c r="D48" s="251">
        <f t="shared" si="21"/>
        <v>0</v>
      </c>
      <c r="E48" s="245"/>
      <c r="F48" s="682"/>
      <c r="G48" s="250"/>
      <c r="H48" s="250"/>
      <c r="I48" s="251">
        <f t="shared" si="22"/>
        <v>0</v>
      </c>
      <c r="J48" s="245"/>
      <c r="K48" s="685"/>
      <c r="L48" s="250"/>
      <c r="M48" s="250"/>
      <c r="N48" s="251">
        <f t="shared" si="23"/>
        <v>0</v>
      </c>
      <c r="O48" s="245"/>
      <c r="P48" s="656"/>
      <c r="Q48" s="250"/>
      <c r="R48" s="250"/>
      <c r="S48" s="251">
        <f t="shared" si="24"/>
        <v>0</v>
      </c>
      <c r="T48" s="245"/>
      <c r="U48" s="656"/>
      <c r="V48" s="250"/>
      <c r="W48" s="250"/>
      <c r="X48" s="251">
        <f t="shared" si="25"/>
        <v>0</v>
      </c>
      <c r="Y48" s="245"/>
      <c r="Z48" s="656"/>
      <c r="AA48" s="250"/>
      <c r="AB48" s="250"/>
      <c r="AC48" s="251">
        <f t="shared" si="26"/>
        <v>0</v>
      </c>
      <c r="AE48" s="266" t="str">
        <f>W36</f>
        <v>収納</v>
      </c>
      <c r="AF48" s="267">
        <f t="shared" si="18"/>
        <v>0</v>
      </c>
      <c r="AG48" s="268">
        <f t="shared" si="17"/>
        <v>0</v>
      </c>
      <c r="AH48" s="269">
        <f t="shared" si="19"/>
        <v>0</v>
      </c>
      <c r="AI48" s="269">
        <f t="shared" si="20"/>
        <v>0</v>
      </c>
    </row>
    <row r="49" spans="1:35" ht="12.2" customHeight="1" x14ac:dyDescent="0.15">
      <c r="A49" s="679"/>
      <c r="B49" s="250"/>
      <c r="C49" s="250"/>
      <c r="D49" s="251">
        <f t="shared" si="21"/>
        <v>0</v>
      </c>
      <c r="E49" s="245"/>
      <c r="F49" s="682"/>
      <c r="G49" s="250"/>
      <c r="H49" s="250"/>
      <c r="I49" s="251">
        <f t="shared" si="22"/>
        <v>0</v>
      </c>
      <c r="J49" s="245"/>
      <c r="K49" s="685"/>
      <c r="L49" s="250"/>
      <c r="M49" s="250"/>
      <c r="N49" s="251">
        <f t="shared" si="23"/>
        <v>0</v>
      </c>
      <c r="O49" s="245"/>
      <c r="P49" s="656"/>
      <c r="Q49" s="250"/>
      <c r="R49" s="250"/>
      <c r="S49" s="251">
        <f t="shared" si="24"/>
        <v>0</v>
      </c>
      <c r="T49" s="245"/>
      <c r="U49" s="656"/>
      <c r="V49" s="250"/>
      <c r="W49" s="250"/>
      <c r="X49" s="251">
        <f t="shared" si="25"/>
        <v>0</v>
      </c>
      <c r="Y49" s="245"/>
      <c r="Z49" s="656"/>
      <c r="AA49" s="250"/>
      <c r="AB49" s="250"/>
      <c r="AC49" s="251">
        <f t="shared" si="26"/>
        <v>0</v>
      </c>
      <c r="AE49" s="289" t="str">
        <f>AE22</f>
        <v>台所</v>
      </c>
      <c r="AF49" s="290">
        <f t="shared" si="18"/>
        <v>0</v>
      </c>
      <c r="AG49" s="291">
        <f t="shared" si="17"/>
        <v>0</v>
      </c>
      <c r="AH49" s="292">
        <f t="shared" si="19"/>
        <v>0</v>
      </c>
      <c r="AI49" s="292">
        <f t="shared" si="20"/>
        <v>0</v>
      </c>
    </row>
    <row r="50" spans="1:35" ht="12.2" customHeight="1" x14ac:dyDescent="0.15">
      <c r="A50" s="679"/>
      <c r="B50" s="250"/>
      <c r="C50" s="250"/>
      <c r="D50" s="251">
        <f t="shared" si="21"/>
        <v>0</v>
      </c>
      <c r="E50" s="245"/>
      <c r="F50" s="682"/>
      <c r="G50" s="250"/>
      <c r="H50" s="250"/>
      <c r="I50" s="251">
        <f t="shared" si="22"/>
        <v>0</v>
      </c>
      <c r="J50" s="245"/>
      <c r="K50" s="685"/>
      <c r="L50" s="250"/>
      <c r="M50" s="250"/>
      <c r="N50" s="251">
        <f t="shared" si="23"/>
        <v>0</v>
      </c>
      <c r="O50" s="245"/>
      <c r="P50" s="656"/>
      <c r="Q50" s="250"/>
      <c r="R50" s="250"/>
      <c r="S50" s="251">
        <f t="shared" si="24"/>
        <v>0</v>
      </c>
      <c r="T50" s="245"/>
      <c r="U50" s="656"/>
      <c r="V50" s="250"/>
      <c r="W50" s="250"/>
      <c r="X50" s="251">
        <f t="shared" si="25"/>
        <v>0</v>
      </c>
      <c r="Y50" s="245"/>
      <c r="Z50" s="656"/>
      <c r="AA50" s="250"/>
      <c r="AB50" s="250"/>
      <c r="AC50" s="251">
        <f t="shared" si="26"/>
        <v>0</v>
      </c>
      <c r="AE50" s="266" t="str">
        <f>C56</f>
        <v>収納</v>
      </c>
      <c r="AF50" s="267">
        <f t="shared" si="18"/>
        <v>0</v>
      </c>
      <c r="AG50" s="268">
        <f t="shared" si="17"/>
        <v>0</v>
      </c>
      <c r="AH50" s="269">
        <f t="shared" si="19"/>
        <v>0</v>
      </c>
      <c r="AI50" s="269">
        <f t="shared" si="20"/>
        <v>0</v>
      </c>
    </row>
    <row r="51" spans="1:35" ht="12.2" customHeight="1" x14ac:dyDescent="0.15">
      <c r="A51" s="680"/>
      <c r="B51" s="250"/>
      <c r="C51" s="250"/>
      <c r="D51" s="251">
        <f t="shared" si="21"/>
        <v>0</v>
      </c>
      <c r="E51" s="245"/>
      <c r="F51" s="683"/>
      <c r="G51" s="250"/>
      <c r="H51" s="250"/>
      <c r="I51" s="251">
        <f t="shared" si="22"/>
        <v>0</v>
      </c>
      <c r="J51" s="245"/>
      <c r="K51" s="686"/>
      <c r="L51" s="250"/>
      <c r="M51" s="250"/>
      <c r="N51" s="251">
        <f t="shared" si="23"/>
        <v>0</v>
      </c>
      <c r="O51" s="245"/>
      <c r="P51" s="657"/>
      <c r="Q51" s="250"/>
      <c r="R51" s="250"/>
      <c r="S51" s="251">
        <f t="shared" si="24"/>
        <v>0</v>
      </c>
      <c r="T51" s="245"/>
      <c r="U51" s="657"/>
      <c r="V51" s="250"/>
      <c r="W51" s="250"/>
      <c r="X51" s="251">
        <f t="shared" si="25"/>
        <v>0</v>
      </c>
      <c r="Y51" s="245"/>
      <c r="Z51" s="657"/>
      <c r="AA51" s="250"/>
      <c r="AB51" s="250"/>
      <c r="AC51" s="251">
        <f t="shared" si="26"/>
        <v>0</v>
      </c>
      <c r="AE51" s="289" t="str">
        <f>AE24</f>
        <v>UT</v>
      </c>
      <c r="AF51" s="290">
        <f t="shared" si="18"/>
        <v>0</v>
      </c>
      <c r="AG51" s="291">
        <f t="shared" si="17"/>
        <v>0</v>
      </c>
      <c r="AH51" s="292">
        <f t="shared" si="19"/>
        <v>0</v>
      </c>
      <c r="AI51" s="292">
        <f t="shared" si="20"/>
        <v>0</v>
      </c>
    </row>
    <row r="52" spans="1:35" ht="12.2" customHeight="1" x14ac:dyDescent="0.15">
      <c r="A52" s="690" t="s">
        <v>440</v>
      </c>
      <c r="B52" s="250"/>
      <c r="C52" s="250"/>
      <c r="D52" s="251">
        <f t="shared" si="21"/>
        <v>0</v>
      </c>
      <c r="E52" s="245"/>
      <c r="F52" s="692" t="s">
        <v>440</v>
      </c>
      <c r="G52" s="250"/>
      <c r="H52" s="250"/>
      <c r="I52" s="251">
        <f t="shared" si="22"/>
        <v>0</v>
      </c>
      <c r="J52" s="245"/>
      <c r="K52" s="694" t="s">
        <v>440</v>
      </c>
      <c r="L52" s="250"/>
      <c r="M52" s="250"/>
      <c r="N52" s="251">
        <f t="shared" si="23"/>
        <v>0</v>
      </c>
      <c r="O52" s="245"/>
      <c r="P52" s="668" t="s">
        <v>440</v>
      </c>
      <c r="Q52" s="250"/>
      <c r="R52" s="250"/>
      <c r="S52" s="251">
        <f t="shared" si="24"/>
        <v>0</v>
      </c>
      <c r="T52" s="245"/>
      <c r="U52" s="668" t="s">
        <v>440</v>
      </c>
      <c r="V52" s="250"/>
      <c r="W52" s="250"/>
      <c r="X52" s="251">
        <f t="shared" si="25"/>
        <v>0</v>
      </c>
      <c r="Y52" s="245"/>
      <c r="Z52" s="668" t="s">
        <v>440</v>
      </c>
      <c r="AA52" s="250"/>
      <c r="AB52" s="250"/>
      <c r="AC52" s="251">
        <f t="shared" si="26"/>
        <v>0</v>
      </c>
      <c r="AE52" s="266" t="str">
        <f>H56</f>
        <v>収納</v>
      </c>
      <c r="AF52" s="267">
        <f t="shared" si="18"/>
        <v>0</v>
      </c>
      <c r="AG52" s="268">
        <f t="shared" si="17"/>
        <v>0</v>
      </c>
      <c r="AH52" s="269">
        <f t="shared" si="19"/>
        <v>0</v>
      </c>
      <c r="AI52" s="269">
        <f t="shared" si="20"/>
        <v>0</v>
      </c>
    </row>
    <row r="53" spans="1:35" ht="12.2" customHeight="1" x14ac:dyDescent="0.15">
      <c r="A53" s="679"/>
      <c r="B53" s="250"/>
      <c r="C53" s="250"/>
      <c r="D53" s="251">
        <f t="shared" si="21"/>
        <v>0</v>
      </c>
      <c r="E53" s="245"/>
      <c r="F53" s="682"/>
      <c r="G53" s="250"/>
      <c r="H53" s="250"/>
      <c r="I53" s="251">
        <f t="shared" si="22"/>
        <v>0</v>
      </c>
      <c r="J53" s="245"/>
      <c r="K53" s="685"/>
      <c r="L53" s="250"/>
      <c r="M53" s="250"/>
      <c r="N53" s="251">
        <f t="shared" si="23"/>
        <v>0</v>
      </c>
      <c r="O53" s="245"/>
      <c r="P53" s="656"/>
      <c r="Q53" s="250"/>
      <c r="R53" s="250"/>
      <c r="S53" s="251">
        <f t="shared" si="24"/>
        <v>0</v>
      </c>
      <c r="T53" s="245"/>
      <c r="U53" s="656"/>
      <c r="V53" s="250"/>
      <c r="W53" s="250"/>
      <c r="X53" s="251">
        <f t="shared" si="25"/>
        <v>0</v>
      </c>
      <c r="Y53" s="245"/>
      <c r="Z53" s="656"/>
      <c r="AA53" s="250"/>
      <c r="AB53" s="250"/>
      <c r="AC53" s="251">
        <f t="shared" si="26"/>
        <v>0</v>
      </c>
      <c r="AE53" s="289" t="str">
        <f>AE26</f>
        <v>トイレ</v>
      </c>
      <c r="AF53" s="290">
        <f t="shared" si="18"/>
        <v>0</v>
      </c>
      <c r="AG53" s="309">
        <f t="shared" si="17"/>
        <v>0</v>
      </c>
      <c r="AH53" s="292">
        <f t="shared" si="19"/>
        <v>0</v>
      </c>
      <c r="AI53" s="292">
        <f t="shared" si="20"/>
        <v>0</v>
      </c>
    </row>
    <row r="54" spans="1:35" ht="12.2" customHeight="1" x14ac:dyDescent="0.15">
      <c r="A54" s="679"/>
      <c r="B54" s="250"/>
      <c r="C54" s="250"/>
      <c r="D54" s="251">
        <f t="shared" si="21"/>
        <v>0</v>
      </c>
      <c r="E54" s="245"/>
      <c r="F54" s="682"/>
      <c r="G54" s="250"/>
      <c r="H54" s="250"/>
      <c r="I54" s="251">
        <f t="shared" si="22"/>
        <v>0</v>
      </c>
      <c r="J54" s="245"/>
      <c r="K54" s="685"/>
      <c r="L54" s="250"/>
      <c r="M54" s="250"/>
      <c r="N54" s="251">
        <f t="shared" si="23"/>
        <v>0</v>
      </c>
      <c r="O54" s="245"/>
      <c r="P54" s="656"/>
      <c r="Q54" s="250"/>
      <c r="R54" s="250"/>
      <c r="S54" s="251">
        <f t="shared" si="24"/>
        <v>0</v>
      </c>
      <c r="T54" s="245"/>
      <c r="U54" s="656"/>
      <c r="V54" s="250"/>
      <c r="W54" s="250"/>
      <c r="X54" s="251">
        <f t="shared" si="25"/>
        <v>0</v>
      </c>
      <c r="Y54" s="245"/>
      <c r="Z54" s="656"/>
      <c r="AA54" s="250"/>
      <c r="AB54" s="250"/>
      <c r="AC54" s="251">
        <f t="shared" si="26"/>
        <v>0</v>
      </c>
      <c r="AE54" s="266" t="str">
        <f>M56</f>
        <v>収納</v>
      </c>
      <c r="AF54" s="267">
        <f t="shared" si="18"/>
        <v>0</v>
      </c>
      <c r="AG54" s="281">
        <f t="shared" si="17"/>
        <v>0</v>
      </c>
      <c r="AH54" s="269">
        <f t="shared" si="19"/>
        <v>0</v>
      </c>
      <c r="AI54" s="269">
        <f t="shared" si="20"/>
        <v>0</v>
      </c>
    </row>
    <row r="55" spans="1:35" ht="12.2" customHeight="1" thickBot="1" x14ac:dyDescent="0.2">
      <c r="A55" s="691"/>
      <c r="B55" s="263"/>
      <c r="C55" s="263"/>
      <c r="D55" s="264">
        <f t="shared" si="21"/>
        <v>0</v>
      </c>
      <c r="E55" s="245"/>
      <c r="F55" s="693"/>
      <c r="G55" s="263"/>
      <c r="H55" s="263"/>
      <c r="I55" s="264">
        <f t="shared" si="22"/>
        <v>0</v>
      </c>
      <c r="J55" s="245"/>
      <c r="K55" s="695"/>
      <c r="L55" s="263"/>
      <c r="M55" s="263"/>
      <c r="N55" s="264">
        <f t="shared" si="23"/>
        <v>0</v>
      </c>
      <c r="O55" s="245"/>
      <c r="P55" s="669"/>
      <c r="Q55" s="263"/>
      <c r="R55" s="263"/>
      <c r="S55" s="264">
        <f t="shared" si="24"/>
        <v>0</v>
      </c>
      <c r="T55" s="245"/>
      <c r="U55" s="669"/>
      <c r="V55" s="263"/>
      <c r="W55" s="263"/>
      <c r="X55" s="264">
        <f t="shared" si="25"/>
        <v>0</v>
      </c>
      <c r="Y55" s="245"/>
      <c r="Z55" s="669"/>
      <c r="AA55" s="263"/>
      <c r="AB55" s="263"/>
      <c r="AC55" s="264">
        <f t="shared" si="26"/>
        <v>0</v>
      </c>
      <c r="AE55" s="289" t="str">
        <f>AE28</f>
        <v>玄関</v>
      </c>
      <c r="AF55" s="290">
        <f t="shared" si="18"/>
        <v>0</v>
      </c>
      <c r="AG55" s="309">
        <f t="shared" si="17"/>
        <v>0</v>
      </c>
      <c r="AH55" s="292">
        <f t="shared" si="19"/>
        <v>0</v>
      </c>
      <c r="AI55" s="292">
        <f t="shared" si="20"/>
        <v>0</v>
      </c>
    </row>
    <row r="56" spans="1:35" ht="12.2" customHeight="1" thickBot="1" x14ac:dyDescent="0.2">
      <c r="A56" s="270" t="s">
        <v>437</v>
      </c>
      <c r="B56" s="271">
        <f>SUM(D46:D51)</f>
        <v>0</v>
      </c>
      <c r="C56" s="270" t="s">
        <v>446</v>
      </c>
      <c r="D56" s="271">
        <f>SUM(D52:D55)</f>
        <v>0</v>
      </c>
      <c r="E56" s="245"/>
      <c r="F56" s="270" t="s">
        <v>437</v>
      </c>
      <c r="G56" s="271">
        <f>SUM(I46:I51)</f>
        <v>0</v>
      </c>
      <c r="H56" s="270" t="s">
        <v>446</v>
      </c>
      <c r="I56" s="271">
        <f>SUM(I52:I55)</f>
        <v>0</v>
      </c>
      <c r="J56" s="245"/>
      <c r="K56" s="270" t="s">
        <v>437</v>
      </c>
      <c r="L56" s="271">
        <f>SUM(N46:N51)</f>
        <v>0</v>
      </c>
      <c r="M56" s="270" t="s">
        <v>446</v>
      </c>
      <c r="N56" s="271">
        <f>SUM(N52:N55)</f>
        <v>0</v>
      </c>
      <c r="O56" s="245"/>
      <c r="P56" s="270" t="s">
        <v>437</v>
      </c>
      <c r="Q56" s="271">
        <f>SUM(S46:S51)</f>
        <v>0</v>
      </c>
      <c r="R56" s="270" t="s">
        <v>446</v>
      </c>
      <c r="S56" s="271">
        <f>SUM(S52:S55)</f>
        <v>0</v>
      </c>
      <c r="T56" s="245"/>
      <c r="U56" s="270" t="s">
        <v>437</v>
      </c>
      <c r="V56" s="271">
        <f>SUM(X46:X51)</f>
        <v>0</v>
      </c>
      <c r="W56" s="270" t="s">
        <v>446</v>
      </c>
      <c r="X56" s="271">
        <f>SUM(X52:X55)</f>
        <v>0</v>
      </c>
      <c r="Y56" s="245"/>
      <c r="Z56" s="270" t="s">
        <v>437</v>
      </c>
      <c r="AA56" s="271">
        <f>SUM(AC46:AC51)</f>
        <v>0</v>
      </c>
      <c r="AB56" s="270" t="s">
        <v>446</v>
      </c>
      <c r="AC56" s="271">
        <f>SUM(AC52:AC55)</f>
        <v>0</v>
      </c>
      <c r="AE56" s="266" t="str">
        <f>R56</f>
        <v>収納</v>
      </c>
      <c r="AF56" s="267">
        <f t="shared" si="18"/>
        <v>0</v>
      </c>
      <c r="AG56" s="281">
        <f t="shared" si="17"/>
        <v>0</v>
      </c>
      <c r="AH56" s="269">
        <f t="shared" si="19"/>
        <v>0</v>
      </c>
      <c r="AI56" s="269">
        <f t="shared" si="20"/>
        <v>0</v>
      </c>
    </row>
    <row r="57" spans="1:35" ht="12.2" customHeight="1" x14ac:dyDescent="0.15">
      <c r="A57" s="305" t="str">
        <f>A45</f>
        <v>台所</v>
      </c>
      <c r="B57" s="243" t="s">
        <v>431</v>
      </c>
      <c r="C57" s="243" t="s">
        <v>34</v>
      </c>
      <c r="D57" s="244" t="s">
        <v>432</v>
      </c>
      <c r="E57" s="274"/>
      <c r="F57" s="306" t="str">
        <f>F45</f>
        <v>UT</v>
      </c>
      <c r="G57" s="243" t="s">
        <v>431</v>
      </c>
      <c r="H57" s="243" t="s">
        <v>34</v>
      </c>
      <c r="I57" s="244" t="s">
        <v>432</v>
      </c>
      <c r="J57" s="274"/>
      <c r="K57" s="307" t="str">
        <f>K45</f>
        <v>トイレ</v>
      </c>
      <c r="L57" s="243" t="s">
        <v>431</v>
      </c>
      <c r="M57" s="243" t="s">
        <v>34</v>
      </c>
      <c r="N57" s="244" t="s">
        <v>432</v>
      </c>
      <c r="O57" s="274"/>
      <c r="P57" s="308" t="str">
        <f>P45</f>
        <v>玄関</v>
      </c>
      <c r="Q57" s="243" t="s">
        <v>431</v>
      </c>
      <c r="R57" s="243" t="s">
        <v>34</v>
      </c>
      <c r="S57" s="244" t="s">
        <v>432</v>
      </c>
      <c r="T57" s="274"/>
      <c r="U57" s="308">
        <f>U45</f>
        <v>0</v>
      </c>
      <c r="V57" s="243" t="s">
        <v>431</v>
      </c>
      <c r="W57" s="243" t="s">
        <v>34</v>
      </c>
      <c r="X57" s="244" t="s">
        <v>432</v>
      </c>
      <c r="Y57" s="274"/>
      <c r="Z57" s="308">
        <f>Z45</f>
        <v>0</v>
      </c>
      <c r="AA57" s="243" t="s">
        <v>431</v>
      </c>
      <c r="AB57" s="243" t="s">
        <v>34</v>
      </c>
      <c r="AC57" s="244" t="s">
        <v>432</v>
      </c>
      <c r="AE57" s="289">
        <f>AE30</f>
        <v>0</v>
      </c>
      <c r="AF57" s="290">
        <f t="shared" si="18"/>
        <v>0</v>
      </c>
      <c r="AG57" s="309">
        <f t="shared" si="17"/>
        <v>0</v>
      </c>
      <c r="AH57" s="292">
        <f t="shared" si="19"/>
        <v>0</v>
      </c>
      <c r="AI57" s="292">
        <f t="shared" si="20"/>
        <v>0</v>
      </c>
    </row>
    <row r="58" spans="1:35" ht="12.2" customHeight="1" x14ac:dyDescent="0.15">
      <c r="A58" s="678" t="s">
        <v>445</v>
      </c>
      <c r="B58" s="250"/>
      <c r="C58" s="250"/>
      <c r="D58" s="251">
        <f>SUM(B58*C58)</f>
        <v>0</v>
      </c>
      <c r="E58" s="245"/>
      <c r="F58" s="681" t="s">
        <v>445</v>
      </c>
      <c r="G58" s="250"/>
      <c r="H58" s="250"/>
      <c r="I58" s="251">
        <f>SUM(G58*H58)</f>
        <v>0</v>
      </c>
      <c r="J58" s="245"/>
      <c r="K58" s="699" t="s">
        <v>445</v>
      </c>
      <c r="L58" s="250"/>
      <c r="M58" s="250"/>
      <c r="N58" s="251">
        <f>SUM(L58*M58)</f>
        <v>0</v>
      </c>
      <c r="O58" s="245"/>
      <c r="P58" s="687" t="s">
        <v>445</v>
      </c>
      <c r="Q58" s="250"/>
      <c r="R58" s="250"/>
      <c r="S58" s="251">
        <f>SUM(Q58*R58)</f>
        <v>0</v>
      </c>
      <c r="T58" s="245"/>
      <c r="U58" s="687" t="s">
        <v>445</v>
      </c>
      <c r="V58" s="250"/>
      <c r="W58" s="250"/>
      <c r="X58" s="251">
        <f>SUM(V58*W58)</f>
        <v>0</v>
      </c>
      <c r="Y58" s="245"/>
      <c r="Z58" s="687" t="s">
        <v>445</v>
      </c>
      <c r="AA58" s="250"/>
      <c r="AB58" s="250"/>
      <c r="AC58" s="251">
        <f>SUM(AA58*AB58)</f>
        <v>0</v>
      </c>
      <c r="AE58" s="266" t="str">
        <f>AB36</f>
        <v>収納</v>
      </c>
      <c r="AF58" s="267">
        <f t="shared" si="18"/>
        <v>0</v>
      </c>
      <c r="AG58" s="269">
        <f t="shared" si="17"/>
        <v>0</v>
      </c>
      <c r="AH58" s="269">
        <f t="shared" si="19"/>
        <v>0</v>
      </c>
      <c r="AI58" s="269">
        <f t="shared" si="20"/>
        <v>0</v>
      </c>
    </row>
    <row r="59" spans="1:35" ht="12.2" customHeight="1" x14ac:dyDescent="0.15">
      <c r="A59" s="679"/>
      <c r="B59" s="250"/>
      <c r="C59" s="250"/>
      <c r="D59" s="251">
        <f>SUM(B59*C59)</f>
        <v>0</v>
      </c>
      <c r="E59" s="245"/>
      <c r="F59" s="682"/>
      <c r="G59" s="250"/>
      <c r="H59" s="250"/>
      <c r="I59" s="251">
        <f>SUM(G59*H59)</f>
        <v>0</v>
      </c>
      <c r="J59" s="245"/>
      <c r="K59" s="700"/>
      <c r="L59" s="250"/>
      <c r="M59" s="250"/>
      <c r="N59" s="251">
        <f>SUM(L59*M59)</f>
        <v>0</v>
      </c>
      <c r="O59" s="245"/>
      <c r="P59" s="688"/>
      <c r="Q59" s="250"/>
      <c r="R59" s="250"/>
      <c r="S59" s="251">
        <f>SUM(Q59*R59)</f>
        <v>0</v>
      </c>
      <c r="T59" s="245"/>
      <c r="U59" s="688"/>
      <c r="V59" s="250"/>
      <c r="W59" s="250"/>
      <c r="X59" s="251">
        <f>SUM(V59*W59)</f>
        <v>0</v>
      </c>
      <c r="Y59" s="245"/>
      <c r="Z59" s="688"/>
      <c r="AA59" s="250"/>
      <c r="AB59" s="250"/>
      <c r="AC59" s="251">
        <f>SUM(AA59*AB59)</f>
        <v>0</v>
      </c>
      <c r="AE59" s="289">
        <f>AE32</f>
        <v>0</v>
      </c>
      <c r="AF59" s="290">
        <f t="shared" si="18"/>
        <v>0</v>
      </c>
      <c r="AG59" s="292">
        <f t="shared" si="17"/>
        <v>0</v>
      </c>
      <c r="AH59" s="292">
        <f t="shared" si="19"/>
        <v>0</v>
      </c>
      <c r="AI59" s="292">
        <f t="shared" si="20"/>
        <v>0</v>
      </c>
    </row>
    <row r="60" spans="1:35" ht="12.2" customHeight="1" x14ac:dyDescent="0.15">
      <c r="A60" s="679"/>
      <c r="B60" s="250"/>
      <c r="C60" s="250"/>
      <c r="D60" s="251">
        <f>SUM(B60*C60)</f>
        <v>0</v>
      </c>
      <c r="E60" s="245"/>
      <c r="F60" s="682"/>
      <c r="G60" s="250"/>
      <c r="H60" s="250"/>
      <c r="I60" s="251">
        <f>SUM(G60*H60)</f>
        <v>0</v>
      </c>
      <c r="J60" s="245"/>
      <c r="K60" s="700"/>
      <c r="L60" s="250"/>
      <c r="M60" s="250"/>
      <c r="N60" s="251">
        <f>SUM(L60*M60)</f>
        <v>0</v>
      </c>
      <c r="O60" s="245"/>
      <c r="P60" s="688"/>
      <c r="Q60" s="250"/>
      <c r="R60" s="250"/>
      <c r="S60" s="251">
        <f>SUM(Q60*R60)</f>
        <v>0</v>
      </c>
      <c r="T60" s="245"/>
      <c r="U60" s="688"/>
      <c r="V60" s="250"/>
      <c r="W60" s="250"/>
      <c r="X60" s="251">
        <f>SUM(V60*W60)</f>
        <v>0</v>
      </c>
      <c r="Y60" s="245"/>
      <c r="Z60" s="688"/>
      <c r="AA60" s="250"/>
      <c r="AB60" s="250"/>
      <c r="AC60" s="251">
        <f>SUM(AA60*AB60)</f>
        <v>0</v>
      </c>
      <c r="AE60" s="266" t="str">
        <f>W56</f>
        <v>収納</v>
      </c>
      <c r="AF60" s="267">
        <f t="shared" si="18"/>
        <v>0</v>
      </c>
      <c r="AG60" s="269">
        <f t="shared" si="17"/>
        <v>0</v>
      </c>
      <c r="AH60" s="269">
        <f t="shared" si="19"/>
        <v>0</v>
      </c>
      <c r="AI60" s="269">
        <f t="shared" si="20"/>
        <v>0</v>
      </c>
    </row>
    <row r="61" spans="1:35" ht="12.2" customHeight="1" x14ac:dyDescent="0.15">
      <c r="A61" s="679"/>
      <c r="B61" s="250"/>
      <c r="C61" s="250"/>
      <c r="D61" s="251">
        <f>SUM(B61*C61)</f>
        <v>0</v>
      </c>
      <c r="E61" s="245"/>
      <c r="F61" s="682"/>
      <c r="G61" s="250"/>
      <c r="H61" s="250"/>
      <c r="I61" s="251">
        <f>SUM(G61*H61)</f>
        <v>0</v>
      </c>
      <c r="J61" s="245"/>
      <c r="K61" s="700"/>
      <c r="L61" s="250"/>
      <c r="M61" s="250"/>
      <c r="N61" s="251">
        <f>SUM(L61*M61)</f>
        <v>0</v>
      </c>
      <c r="O61" s="245"/>
      <c r="P61" s="688"/>
      <c r="Q61" s="250"/>
      <c r="R61" s="250"/>
      <c r="S61" s="251">
        <f>SUM(Q61*R61)</f>
        <v>0</v>
      </c>
      <c r="T61" s="245"/>
      <c r="U61" s="688"/>
      <c r="V61" s="250"/>
      <c r="W61" s="250"/>
      <c r="X61" s="251">
        <f>SUM(V61*W61)</f>
        <v>0</v>
      </c>
      <c r="Y61" s="245"/>
      <c r="Z61" s="688"/>
      <c r="AA61" s="250"/>
      <c r="AB61" s="250"/>
      <c r="AC61" s="251">
        <f>SUM(AA61*AB61)</f>
        <v>0</v>
      </c>
      <c r="AE61" s="289">
        <f>AE34</f>
        <v>0</v>
      </c>
      <c r="AF61" s="290">
        <f t="shared" si="18"/>
        <v>0</v>
      </c>
      <c r="AG61" s="292">
        <f t="shared" si="17"/>
        <v>0</v>
      </c>
      <c r="AH61" s="292">
        <f t="shared" si="19"/>
        <v>0</v>
      </c>
      <c r="AI61" s="292">
        <f t="shared" si="20"/>
        <v>0</v>
      </c>
    </row>
    <row r="62" spans="1:35" ht="12.2" customHeight="1" x14ac:dyDescent="0.15">
      <c r="A62" s="679"/>
      <c r="B62" s="250"/>
      <c r="C62" s="250"/>
      <c r="D62" s="251">
        <f>SUM(B62*C62)</f>
        <v>0</v>
      </c>
      <c r="E62" s="245"/>
      <c r="F62" s="682"/>
      <c r="G62" s="250"/>
      <c r="H62" s="250"/>
      <c r="I62" s="251">
        <f>SUM(G62*H62)</f>
        <v>0</v>
      </c>
      <c r="J62" s="245"/>
      <c r="K62" s="700"/>
      <c r="L62" s="250"/>
      <c r="M62" s="250"/>
      <c r="N62" s="251">
        <f>SUM(L62*M62)</f>
        <v>0</v>
      </c>
      <c r="O62" s="245"/>
      <c r="P62" s="688"/>
      <c r="Q62" s="250"/>
      <c r="R62" s="250"/>
      <c r="S62" s="251">
        <f>SUM(Q62*R62)</f>
        <v>0</v>
      </c>
      <c r="T62" s="245"/>
      <c r="U62" s="688"/>
      <c r="V62" s="250"/>
      <c r="W62" s="250"/>
      <c r="X62" s="251">
        <f>SUM(V62*W62)</f>
        <v>0</v>
      </c>
      <c r="Y62" s="245"/>
      <c r="Z62" s="688"/>
      <c r="AA62" s="250"/>
      <c r="AB62" s="250"/>
      <c r="AC62" s="251">
        <f>SUM(AA62*AB62)</f>
        <v>0</v>
      </c>
      <c r="AE62" s="266" t="str">
        <f>AB56</f>
        <v>収納</v>
      </c>
      <c r="AF62" s="267">
        <f t="shared" si="18"/>
        <v>0</v>
      </c>
      <c r="AG62" s="269">
        <f t="shared" si="17"/>
        <v>0</v>
      </c>
      <c r="AH62" s="269">
        <f t="shared" si="19"/>
        <v>0</v>
      </c>
      <c r="AI62" s="269">
        <f t="shared" si="20"/>
        <v>0</v>
      </c>
    </row>
    <row r="63" spans="1:35" ht="12.2" customHeight="1" x14ac:dyDescent="0.15">
      <c r="A63" s="679"/>
      <c r="B63" s="250"/>
      <c r="C63" s="250"/>
      <c r="D63" s="251">
        <f t="shared" ref="D63:D77" si="27">SUM(B63*C63)</f>
        <v>0</v>
      </c>
      <c r="E63" s="245"/>
      <c r="F63" s="682"/>
      <c r="G63" s="250"/>
      <c r="H63" s="250"/>
      <c r="I63" s="251">
        <f t="shared" ref="I63:I77" si="28">SUM(G63*H63)</f>
        <v>0</v>
      </c>
      <c r="J63" s="245"/>
      <c r="K63" s="700"/>
      <c r="L63" s="250"/>
      <c r="M63" s="250"/>
      <c r="N63" s="251">
        <f t="shared" ref="N63:N77" si="29">SUM(L63*M63)</f>
        <v>0</v>
      </c>
      <c r="O63" s="245"/>
      <c r="P63" s="688"/>
      <c r="Q63" s="250"/>
      <c r="R63" s="250"/>
      <c r="S63" s="251">
        <f t="shared" ref="S63:S77" si="30">SUM(Q63*R63)</f>
        <v>0</v>
      </c>
      <c r="T63" s="245"/>
      <c r="U63" s="688"/>
      <c r="V63" s="250"/>
      <c r="W63" s="250"/>
      <c r="X63" s="251">
        <f t="shared" ref="X63:X77" si="31">SUM(V63*W63)</f>
        <v>0</v>
      </c>
      <c r="Y63" s="245"/>
      <c r="Z63" s="688"/>
      <c r="AA63" s="250"/>
      <c r="AB63" s="250"/>
      <c r="AC63" s="251">
        <f t="shared" ref="AC63:AC77" si="32">SUM(AA63*AB63)</f>
        <v>0</v>
      </c>
      <c r="AE63" s="285" t="s">
        <v>405</v>
      </c>
      <c r="AF63" s="310">
        <f t="shared" si="18"/>
        <v>0</v>
      </c>
      <c r="AG63" s="286">
        <f>SUM(AG39:AG62)</f>
        <v>0</v>
      </c>
      <c r="AH63" s="286">
        <f>SUM(AH39:AH62)</f>
        <v>0</v>
      </c>
      <c r="AI63" s="286">
        <f>SUM(AI39:AI62)</f>
        <v>0</v>
      </c>
    </row>
    <row r="64" spans="1:35" ht="12.2" customHeight="1" x14ac:dyDescent="0.15">
      <c r="A64" s="679"/>
      <c r="B64" s="250"/>
      <c r="C64" s="250"/>
      <c r="D64" s="251">
        <f t="shared" si="27"/>
        <v>0</v>
      </c>
      <c r="E64" s="245"/>
      <c r="F64" s="682"/>
      <c r="G64" s="250"/>
      <c r="H64" s="250"/>
      <c r="I64" s="251">
        <f t="shared" si="28"/>
        <v>0</v>
      </c>
      <c r="J64" s="245"/>
      <c r="K64" s="700"/>
      <c r="L64" s="250"/>
      <c r="M64" s="250"/>
      <c r="N64" s="251">
        <f t="shared" si="29"/>
        <v>0</v>
      </c>
      <c r="O64" s="245"/>
      <c r="P64" s="688"/>
      <c r="Q64" s="250"/>
      <c r="R64" s="250"/>
      <c r="S64" s="251">
        <f t="shared" si="30"/>
        <v>0</v>
      </c>
      <c r="T64" s="245"/>
      <c r="U64" s="688"/>
      <c r="V64" s="250"/>
      <c r="W64" s="250"/>
      <c r="X64" s="251">
        <f t="shared" si="31"/>
        <v>0</v>
      </c>
      <c r="Y64" s="245"/>
      <c r="Z64" s="688"/>
      <c r="AA64" s="250"/>
      <c r="AB64" s="250"/>
      <c r="AC64" s="251">
        <f t="shared" si="32"/>
        <v>0</v>
      </c>
      <c r="AE64" s="285"/>
      <c r="AF64" s="285"/>
      <c r="AG64" s="285"/>
      <c r="AH64" s="285"/>
      <c r="AI64" s="285"/>
    </row>
    <row r="65" spans="1:35" x14ac:dyDescent="0.15">
      <c r="A65" s="679"/>
      <c r="B65" s="250"/>
      <c r="C65" s="250"/>
      <c r="D65" s="251">
        <f t="shared" si="27"/>
        <v>0</v>
      </c>
      <c r="E65" s="245"/>
      <c r="F65" s="682"/>
      <c r="G65" s="250"/>
      <c r="H65" s="250"/>
      <c r="I65" s="251">
        <f t="shared" si="28"/>
        <v>0</v>
      </c>
      <c r="J65" s="245"/>
      <c r="K65" s="700"/>
      <c r="L65" s="250"/>
      <c r="M65" s="250"/>
      <c r="N65" s="251">
        <f t="shared" si="29"/>
        <v>0</v>
      </c>
      <c r="O65" s="245"/>
      <c r="P65" s="688"/>
      <c r="Q65" s="250"/>
      <c r="R65" s="250"/>
      <c r="S65" s="251">
        <f t="shared" si="30"/>
        <v>0</v>
      </c>
      <c r="T65" s="245"/>
      <c r="U65" s="688"/>
      <c r="V65" s="250"/>
      <c r="W65" s="250"/>
      <c r="X65" s="251">
        <f t="shared" si="31"/>
        <v>0</v>
      </c>
      <c r="Y65" s="245"/>
      <c r="Z65" s="688"/>
      <c r="AA65" s="250"/>
      <c r="AB65" s="250"/>
      <c r="AC65" s="251">
        <f t="shared" si="32"/>
        <v>0</v>
      </c>
      <c r="AE65" s="285" t="s">
        <v>454</v>
      </c>
      <c r="AF65" s="253" t="s">
        <v>441</v>
      </c>
      <c r="AG65" s="253" t="s">
        <v>442</v>
      </c>
      <c r="AH65" s="253" t="s">
        <v>443</v>
      </c>
      <c r="AI65" s="253" t="s">
        <v>444</v>
      </c>
    </row>
    <row r="66" spans="1:35" x14ac:dyDescent="0.15">
      <c r="A66" s="679"/>
      <c r="B66" s="250"/>
      <c r="C66" s="250"/>
      <c r="D66" s="251">
        <f t="shared" si="27"/>
        <v>0</v>
      </c>
      <c r="E66" s="245"/>
      <c r="F66" s="682"/>
      <c r="G66" s="250"/>
      <c r="H66" s="250"/>
      <c r="I66" s="251">
        <f t="shared" si="28"/>
        <v>0</v>
      </c>
      <c r="J66" s="245"/>
      <c r="K66" s="700"/>
      <c r="L66" s="250"/>
      <c r="M66" s="250"/>
      <c r="N66" s="251">
        <f t="shared" si="29"/>
        <v>0</v>
      </c>
      <c r="O66" s="245"/>
      <c r="P66" s="688"/>
      <c r="Q66" s="250"/>
      <c r="R66" s="250"/>
      <c r="S66" s="251">
        <f t="shared" si="30"/>
        <v>0</v>
      </c>
      <c r="T66" s="245"/>
      <c r="U66" s="688"/>
      <c r="V66" s="250"/>
      <c r="W66" s="250"/>
      <c r="X66" s="251">
        <f t="shared" si="31"/>
        <v>0</v>
      </c>
      <c r="Y66" s="245"/>
      <c r="Z66" s="688"/>
      <c r="AA66" s="250"/>
      <c r="AB66" s="250"/>
      <c r="AC66" s="251">
        <f t="shared" si="32"/>
        <v>0</v>
      </c>
      <c r="AE66" s="311" t="str">
        <f>A37</f>
        <v>居間</v>
      </c>
      <c r="AF66" s="312">
        <f>SUM(AG66*1.1)</f>
        <v>0</v>
      </c>
      <c r="AG66" s="313">
        <f>D43</f>
        <v>0</v>
      </c>
      <c r="AH66" s="313">
        <f t="shared" ref="AH66:AH77" si="33">SUM(AG66*0.9)</f>
        <v>0</v>
      </c>
      <c r="AI66" s="313">
        <f t="shared" ref="AI66:AI77" si="34">SUM(AG66*0.85)</f>
        <v>0</v>
      </c>
    </row>
    <row r="67" spans="1:35" x14ac:dyDescent="0.15">
      <c r="A67" s="679"/>
      <c r="B67" s="250"/>
      <c r="C67" s="250"/>
      <c r="D67" s="251">
        <f t="shared" si="27"/>
        <v>0</v>
      </c>
      <c r="E67" s="245"/>
      <c r="F67" s="682"/>
      <c r="G67" s="250"/>
      <c r="H67" s="250"/>
      <c r="I67" s="251">
        <f t="shared" si="28"/>
        <v>0</v>
      </c>
      <c r="J67" s="245"/>
      <c r="K67" s="700"/>
      <c r="L67" s="250"/>
      <c r="M67" s="250"/>
      <c r="N67" s="251">
        <f t="shared" si="29"/>
        <v>0</v>
      </c>
      <c r="O67" s="245"/>
      <c r="P67" s="688"/>
      <c r="Q67" s="250"/>
      <c r="R67" s="250"/>
      <c r="S67" s="251">
        <f t="shared" si="30"/>
        <v>0</v>
      </c>
      <c r="T67" s="245"/>
      <c r="U67" s="688"/>
      <c r="V67" s="250"/>
      <c r="W67" s="250"/>
      <c r="X67" s="251">
        <f t="shared" si="31"/>
        <v>0</v>
      </c>
      <c r="Y67" s="245"/>
      <c r="Z67" s="688"/>
      <c r="AA67" s="250"/>
      <c r="AB67" s="250"/>
      <c r="AC67" s="251">
        <f t="shared" si="32"/>
        <v>0</v>
      </c>
      <c r="AE67" s="266" t="str">
        <f>F37</f>
        <v>手前
(右)</v>
      </c>
      <c r="AF67" s="266">
        <f t="shared" ref="AF67:AF78" si="35">SUM(AG67*1.1)</f>
        <v>0</v>
      </c>
      <c r="AG67" s="269">
        <f>I43</f>
        <v>0</v>
      </c>
      <c r="AH67" s="269">
        <f t="shared" si="33"/>
        <v>0</v>
      </c>
      <c r="AI67" s="269">
        <f t="shared" si="34"/>
        <v>0</v>
      </c>
    </row>
    <row r="68" spans="1:35" x14ac:dyDescent="0.15">
      <c r="A68" s="679"/>
      <c r="B68" s="250"/>
      <c r="C68" s="250"/>
      <c r="D68" s="251">
        <f t="shared" si="27"/>
        <v>0</v>
      </c>
      <c r="E68" s="245"/>
      <c r="F68" s="682"/>
      <c r="G68" s="250"/>
      <c r="H68" s="250"/>
      <c r="I68" s="251">
        <f t="shared" si="28"/>
        <v>0</v>
      </c>
      <c r="J68" s="245"/>
      <c r="K68" s="700"/>
      <c r="L68" s="250"/>
      <c r="M68" s="250"/>
      <c r="N68" s="251">
        <f t="shared" si="29"/>
        <v>0</v>
      </c>
      <c r="O68" s="245"/>
      <c r="P68" s="688"/>
      <c r="Q68" s="250"/>
      <c r="R68" s="250"/>
      <c r="S68" s="251">
        <f t="shared" si="30"/>
        <v>0</v>
      </c>
      <c r="T68" s="245"/>
      <c r="U68" s="688"/>
      <c r="V68" s="250"/>
      <c r="W68" s="250"/>
      <c r="X68" s="251">
        <f t="shared" si="31"/>
        <v>0</v>
      </c>
      <c r="Y68" s="245"/>
      <c r="Z68" s="688"/>
      <c r="AA68" s="250"/>
      <c r="AB68" s="250"/>
      <c r="AC68" s="251">
        <f t="shared" si="32"/>
        <v>0</v>
      </c>
      <c r="AE68" s="311" t="str">
        <f>K37</f>
        <v>中</v>
      </c>
      <c r="AF68" s="312">
        <f t="shared" si="35"/>
        <v>0</v>
      </c>
      <c r="AG68" s="313">
        <f>N43</f>
        <v>0</v>
      </c>
      <c r="AH68" s="313">
        <f t="shared" si="33"/>
        <v>0</v>
      </c>
      <c r="AI68" s="313">
        <f t="shared" si="34"/>
        <v>0</v>
      </c>
    </row>
    <row r="69" spans="1:35" x14ac:dyDescent="0.15">
      <c r="A69" s="679"/>
      <c r="B69" s="250"/>
      <c r="C69" s="250"/>
      <c r="D69" s="251">
        <f t="shared" si="27"/>
        <v>0</v>
      </c>
      <c r="E69" s="245"/>
      <c r="F69" s="682"/>
      <c r="G69" s="250"/>
      <c r="H69" s="250"/>
      <c r="I69" s="251">
        <f t="shared" si="28"/>
        <v>0</v>
      </c>
      <c r="J69" s="245"/>
      <c r="K69" s="700"/>
      <c r="L69" s="250"/>
      <c r="M69" s="250"/>
      <c r="N69" s="251">
        <f t="shared" si="29"/>
        <v>0</v>
      </c>
      <c r="O69" s="245"/>
      <c r="P69" s="688"/>
      <c r="Q69" s="250"/>
      <c r="R69" s="250"/>
      <c r="S69" s="251">
        <f t="shared" si="30"/>
        <v>0</v>
      </c>
      <c r="T69" s="245"/>
      <c r="U69" s="688"/>
      <c r="V69" s="250"/>
      <c r="W69" s="250"/>
      <c r="X69" s="251">
        <f t="shared" si="31"/>
        <v>0</v>
      </c>
      <c r="Y69" s="245"/>
      <c r="Z69" s="688"/>
      <c r="AA69" s="250"/>
      <c r="AB69" s="250"/>
      <c r="AC69" s="251">
        <f t="shared" si="32"/>
        <v>0</v>
      </c>
      <c r="AE69" s="266" t="str">
        <f>P37</f>
        <v>奥
(左)</v>
      </c>
      <c r="AF69" s="266">
        <f t="shared" si="35"/>
        <v>0</v>
      </c>
      <c r="AG69" s="269">
        <f>S43</f>
        <v>0</v>
      </c>
      <c r="AH69" s="269">
        <f t="shared" si="33"/>
        <v>0</v>
      </c>
      <c r="AI69" s="269">
        <f t="shared" si="34"/>
        <v>0</v>
      </c>
    </row>
    <row r="70" spans="1:35" x14ac:dyDescent="0.15">
      <c r="A70" s="679"/>
      <c r="B70" s="250"/>
      <c r="C70" s="250"/>
      <c r="D70" s="251">
        <f t="shared" si="27"/>
        <v>0</v>
      </c>
      <c r="E70" s="245"/>
      <c r="F70" s="682"/>
      <c r="G70" s="250"/>
      <c r="H70" s="250"/>
      <c r="I70" s="251">
        <f t="shared" si="28"/>
        <v>0</v>
      </c>
      <c r="J70" s="245"/>
      <c r="K70" s="700"/>
      <c r="L70" s="250"/>
      <c r="M70" s="250"/>
      <c r="N70" s="251">
        <f t="shared" si="29"/>
        <v>0</v>
      </c>
      <c r="O70" s="245"/>
      <c r="P70" s="688"/>
      <c r="Q70" s="250"/>
      <c r="R70" s="250"/>
      <c r="S70" s="251">
        <f t="shared" si="30"/>
        <v>0</v>
      </c>
      <c r="T70" s="245"/>
      <c r="U70" s="688"/>
      <c r="V70" s="250"/>
      <c r="W70" s="250"/>
      <c r="X70" s="251">
        <f t="shared" si="31"/>
        <v>0</v>
      </c>
      <c r="Y70" s="245"/>
      <c r="Z70" s="688"/>
      <c r="AA70" s="250"/>
      <c r="AB70" s="250"/>
      <c r="AC70" s="251">
        <f t="shared" si="32"/>
        <v>0</v>
      </c>
      <c r="AE70" s="311" t="str">
        <f>U37</f>
        <v>和室</v>
      </c>
      <c r="AF70" s="312">
        <f t="shared" si="35"/>
        <v>0</v>
      </c>
      <c r="AG70" s="313">
        <f>X43</f>
        <v>0</v>
      </c>
      <c r="AH70" s="313">
        <f t="shared" si="33"/>
        <v>0</v>
      </c>
      <c r="AI70" s="313">
        <f t="shared" si="34"/>
        <v>0</v>
      </c>
    </row>
    <row r="71" spans="1:35" x14ac:dyDescent="0.15">
      <c r="A71" s="679"/>
      <c r="B71" s="250"/>
      <c r="C71" s="250"/>
      <c r="D71" s="251">
        <f t="shared" si="27"/>
        <v>0</v>
      </c>
      <c r="E71" s="245"/>
      <c r="F71" s="682"/>
      <c r="G71" s="250"/>
      <c r="H71" s="250"/>
      <c r="I71" s="251">
        <f t="shared" si="28"/>
        <v>0</v>
      </c>
      <c r="J71" s="245"/>
      <c r="K71" s="700"/>
      <c r="L71" s="250"/>
      <c r="M71" s="250"/>
      <c r="N71" s="251">
        <f t="shared" si="29"/>
        <v>0</v>
      </c>
      <c r="O71" s="245"/>
      <c r="P71" s="688"/>
      <c r="Q71" s="250"/>
      <c r="R71" s="250"/>
      <c r="S71" s="251">
        <f t="shared" si="30"/>
        <v>0</v>
      </c>
      <c r="T71" s="245"/>
      <c r="U71" s="688"/>
      <c r="V71" s="250"/>
      <c r="W71" s="250"/>
      <c r="X71" s="251">
        <f t="shared" si="31"/>
        <v>0</v>
      </c>
      <c r="Y71" s="245"/>
      <c r="Z71" s="688"/>
      <c r="AA71" s="250"/>
      <c r="AB71" s="250"/>
      <c r="AC71" s="251">
        <f t="shared" si="32"/>
        <v>0</v>
      </c>
      <c r="AE71" s="266" t="str">
        <f>A79</f>
        <v>台所</v>
      </c>
      <c r="AF71" s="266">
        <f t="shared" si="35"/>
        <v>0</v>
      </c>
      <c r="AG71" s="269">
        <f>D85</f>
        <v>0</v>
      </c>
      <c r="AH71" s="269">
        <f t="shared" si="33"/>
        <v>0</v>
      </c>
      <c r="AI71" s="269">
        <f t="shared" si="34"/>
        <v>0</v>
      </c>
    </row>
    <row r="72" spans="1:35" x14ac:dyDescent="0.15">
      <c r="A72" s="680"/>
      <c r="B72" s="250"/>
      <c r="C72" s="250"/>
      <c r="D72" s="251">
        <f t="shared" si="27"/>
        <v>0</v>
      </c>
      <c r="E72" s="245"/>
      <c r="F72" s="683"/>
      <c r="G72" s="250"/>
      <c r="H72" s="250"/>
      <c r="I72" s="251">
        <f t="shared" si="28"/>
        <v>0</v>
      </c>
      <c r="J72" s="245"/>
      <c r="K72" s="701"/>
      <c r="L72" s="250"/>
      <c r="M72" s="250"/>
      <c r="N72" s="251">
        <f t="shared" si="29"/>
        <v>0</v>
      </c>
      <c r="O72" s="245"/>
      <c r="P72" s="689"/>
      <c r="Q72" s="250"/>
      <c r="R72" s="250"/>
      <c r="S72" s="251">
        <f t="shared" si="30"/>
        <v>0</v>
      </c>
      <c r="T72" s="245"/>
      <c r="U72" s="689"/>
      <c r="V72" s="250"/>
      <c r="W72" s="250"/>
      <c r="X72" s="251">
        <f t="shared" si="31"/>
        <v>0</v>
      </c>
      <c r="Y72" s="245"/>
      <c r="Z72" s="689"/>
      <c r="AA72" s="250"/>
      <c r="AB72" s="250"/>
      <c r="AC72" s="251">
        <f t="shared" si="32"/>
        <v>0</v>
      </c>
      <c r="AE72" s="311" t="str">
        <f>F79</f>
        <v>UT</v>
      </c>
      <c r="AF72" s="312">
        <f t="shared" si="35"/>
        <v>0</v>
      </c>
      <c r="AG72" s="313">
        <f>I85</f>
        <v>0</v>
      </c>
      <c r="AH72" s="313">
        <f t="shared" si="33"/>
        <v>0</v>
      </c>
      <c r="AI72" s="313">
        <f t="shared" si="34"/>
        <v>0</v>
      </c>
    </row>
    <row r="73" spans="1:35" x14ac:dyDescent="0.15">
      <c r="A73" s="668" t="s">
        <v>447</v>
      </c>
      <c r="B73" s="250"/>
      <c r="C73" s="250"/>
      <c r="D73" s="251">
        <f t="shared" si="27"/>
        <v>0</v>
      </c>
      <c r="E73" s="245"/>
      <c r="F73" s="668" t="s">
        <v>447</v>
      </c>
      <c r="G73" s="250"/>
      <c r="H73" s="250"/>
      <c r="I73" s="251">
        <f t="shared" si="28"/>
        <v>0</v>
      </c>
      <c r="J73" s="245"/>
      <c r="K73" s="668" t="s">
        <v>447</v>
      </c>
      <c r="L73" s="250"/>
      <c r="M73" s="250"/>
      <c r="N73" s="251">
        <f t="shared" si="29"/>
        <v>0</v>
      </c>
      <c r="O73" s="245"/>
      <c r="P73" s="668" t="s">
        <v>447</v>
      </c>
      <c r="Q73" s="250"/>
      <c r="R73" s="250"/>
      <c r="S73" s="251">
        <f t="shared" si="30"/>
        <v>0</v>
      </c>
      <c r="T73" s="245"/>
      <c r="U73" s="668" t="s">
        <v>447</v>
      </c>
      <c r="V73" s="250"/>
      <c r="W73" s="250"/>
      <c r="X73" s="251">
        <f t="shared" si="31"/>
        <v>0</v>
      </c>
      <c r="Y73" s="245"/>
      <c r="Z73" s="668" t="s">
        <v>447</v>
      </c>
      <c r="AA73" s="250"/>
      <c r="AB73" s="250"/>
      <c r="AC73" s="251">
        <f t="shared" si="32"/>
        <v>0</v>
      </c>
      <c r="AE73" s="266" t="str">
        <f>K79</f>
        <v>トイレ</v>
      </c>
      <c r="AF73" s="266">
        <f t="shared" si="35"/>
        <v>0</v>
      </c>
      <c r="AG73" s="269">
        <f>N85</f>
        <v>0</v>
      </c>
      <c r="AH73" s="269">
        <f t="shared" si="33"/>
        <v>0</v>
      </c>
      <c r="AI73" s="269">
        <f t="shared" si="34"/>
        <v>0</v>
      </c>
    </row>
    <row r="74" spans="1:35" x14ac:dyDescent="0.15">
      <c r="A74" s="656"/>
      <c r="B74" s="250"/>
      <c r="C74" s="250"/>
      <c r="D74" s="251">
        <f t="shared" si="27"/>
        <v>0</v>
      </c>
      <c r="E74" s="245"/>
      <c r="F74" s="656"/>
      <c r="G74" s="250"/>
      <c r="H74" s="250"/>
      <c r="I74" s="251">
        <f t="shared" si="28"/>
        <v>0</v>
      </c>
      <c r="J74" s="245"/>
      <c r="K74" s="656"/>
      <c r="L74" s="250"/>
      <c r="M74" s="250"/>
      <c r="N74" s="251">
        <f t="shared" si="29"/>
        <v>0</v>
      </c>
      <c r="O74" s="245"/>
      <c r="P74" s="656"/>
      <c r="Q74" s="250"/>
      <c r="R74" s="250"/>
      <c r="S74" s="251">
        <f t="shared" si="30"/>
        <v>0</v>
      </c>
      <c r="T74" s="245"/>
      <c r="U74" s="656"/>
      <c r="V74" s="250"/>
      <c r="W74" s="250"/>
      <c r="X74" s="251">
        <f t="shared" si="31"/>
        <v>0</v>
      </c>
      <c r="Y74" s="245"/>
      <c r="Z74" s="656"/>
      <c r="AA74" s="250"/>
      <c r="AB74" s="250"/>
      <c r="AC74" s="251">
        <f t="shared" si="32"/>
        <v>0</v>
      </c>
      <c r="AE74" s="311" t="str">
        <f>P79</f>
        <v>玄関</v>
      </c>
      <c r="AF74" s="312">
        <f t="shared" si="35"/>
        <v>0</v>
      </c>
      <c r="AG74" s="313">
        <f>S85</f>
        <v>0</v>
      </c>
      <c r="AH74" s="313">
        <f t="shared" si="33"/>
        <v>0</v>
      </c>
      <c r="AI74" s="313">
        <f t="shared" si="34"/>
        <v>0</v>
      </c>
    </row>
    <row r="75" spans="1:35" x14ac:dyDescent="0.15">
      <c r="A75" s="656"/>
      <c r="B75" s="250"/>
      <c r="C75" s="250"/>
      <c r="D75" s="251">
        <f t="shared" si="27"/>
        <v>0</v>
      </c>
      <c r="E75" s="245"/>
      <c r="F75" s="656"/>
      <c r="G75" s="250"/>
      <c r="H75" s="250"/>
      <c r="I75" s="251">
        <f t="shared" si="28"/>
        <v>0</v>
      </c>
      <c r="J75" s="245"/>
      <c r="K75" s="656"/>
      <c r="L75" s="250"/>
      <c r="M75" s="250"/>
      <c r="N75" s="251">
        <f t="shared" si="29"/>
        <v>0</v>
      </c>
      <c r="O75" s="245"/>
      <c r="P75" s="656"/>
      <c r="Q75" s="250"/>
      <c r="R75" s="250"/>
      <c r="S75" s="251">
        <f t="shared" si="30"/>
        <v>0</v>
      </c>
      <c r="T75" s="245"/>
      <c r="U75" s="656"/>
      <c r="V75" s="250"/>
      <c r="W75" s="250"/>
      <c r="X75" s="251">
        <f t="shared" si="31"/>
        <v>0</v>
      </c>
      <c r="Y75" s="245"/>
      <c r="Z75" s="656"/>
      <c r="AA75" s="250"/>
      <c r="AB75" s="250"/>
      <c r="AC75" s="251">
        <f t="shared" si="32"/>
        <v>0</v>
      </c>
      <c r="AE75" s="266">
        <f>Z37</f>
        <v>0</v>
      </c>
      <c r="AF75" s="266">
        <f t="shared" si="35"/>
        <v>0</v>
      </c>
      <c r="AG75" s="269">
        <f>AC43</f>
        <v>0</v>
      </c>
      <c r="AH75" s="269">
        <f t="shared" si="33"/>
        <v>0</v>
      </c>
      <c r="AI75" s="269">
        <f t="shared" si="34"/>
        <v>0</v>
      </c>
    </row>
    <row r="76" spans="1:35" x14ac:dyDescent="0.15">
      <c r="A76" s="656"/>
      <c r="B76" s="250"/>
      <c r="C76" s="250"/>
      <c r="D76" s="251">
        <f t="shared" si="27"/>
        <v>0</v>
      </c>
      <c r="E76" s="245"/>
      <c r="F76" s="656"/>
      <c r="G76" s="250"/>
      <c r="H76" s="250"/>
      <c r="I76" s="251">
        <f t="shared" si="28"/>
        <v>0</v>
      </c>
      <c r="J76" s="245"/>
      <c r="K76" s="656"/>
      <c r="L76" s="250"/>
      <c r="M76" s="250"/>
      <c r="N76" s="251">
        <f t="shared" si="29"/>
        <v>0</v>
      </c>
      <c r="O76" s="245"/>
      <c r="P76" s="656"/>
      <c r="Q76" s="250"/>
      <c r="R76" s="250"/>
      <c r="S76" s="251">
        <f t="shared" si="30"/>
        <v>0</v>
      </c>
      <c r="T76" s="245"/>
      <c r="U76" s="656"/>
      <c r="V76" s="250"/>
      <c r="W76" s="250"/>
      <c r="X76" s="251">
        <f t="shared" si="31"/>
        <v>0</v>
      </c>
      <c r="Y76" s="245"/>
      <c r="Z76" s="656"/>
      <c r="AA76" s="250"/>
      <c r="AB76" s="250"/>
      <c r="AC76" s="251">
        <f t="shared" si="32"/>
        <v>0</v>
      </c>
      <c r="AE76" s="311">
        <f>U79</f>
        <v>0</v>
      </c>
      <c r="AF76" s="312">
        <f t="shared" si="35"/>
        <v>0</v>
      </c>
      <c r="AG76" s="313">
        <f>X85</f>
        <v>0</v>
      </c>
      <c r="AH76" s="313">
        <f t="shared" si="33"/>
        <v>0</v>
      </c>
      <c r="AI76" s="313">
        <f t="shared" si="34"/>
        <v>0</v>
      </c>
    </row>
    <row r="77" spans="1:35" ht="12.75" thickBot="1" x14ac:dyDescent="0.2">
      <c r="A77" s="669"/>
      <c r="B77" s="263"/>
      <c r="C77" s="263"/>
      <c r="D77" s="264">
        <f t="shared" si="27"/>
        <v>0</v>
      </c>
      <c r="E77" s="245"/>
      <c r="F77" s="669"/>
      <c r="G77" s="263"/>
      <c r="H77" s="263"/>
      <c r="I77" s="264">
        <f t="shared" si="28"/>
        <v>0</v>
      </c>
      <c r="J77" s="245"/>
      <c r="K77" s="669"/>
      <c r="L77" s="263"/>
      <c r="M77" s="263"/>
      <c r="N77" s="264">
        <f t="shared" si="29"/>
        <v>0</v>
      </c>
      <c r="O77" s="245"/>
      <c r="P77" s="669"/>
      <c r="Q77" s="263"/>
      <c r="R77" s="263"/>
      <c r="S77" s="264">
        <f t="shared" si="30"/>
        <v>0</v>
      </c>
      <c r="T77" s="245"/>
      <c r="U77" s="669"/>
      <c r="V77" s="263"/>
      <c r="W77" s="263"/>
      <c r="X77" s="264">
        <f t="shared" si="31"/>
        <v>0</v>
      </c>
      <c r="Y77" s="245"/>
      <c r="Z77" s="669"/>
      <c r="AA77" s="263"/>
      <c r="AB77" s="263"/>
      <c r="AC77" s="264">
        <f t="shared" si="32"/>
        <v>0</v>
      </c>
      <c r="AE77" s="266">
        <f>Z79</f>
        <v>0</v>
      </c>
      <c r="AF77" s="266">
        <f t="shared" si="35"/>
        <v>0</v>
      </c>
      <c r="AG77" s="269">
        <f>AC85</f>
        <v>0</v>
      </c>
      <c r="AH77" s="269">
        <f t="shared" si="33"/>
        <v>0</v>
      </c>
      <c r="AI77" s="269">
        <f t="shared" si="34"/>
        <v>0</v>
      </c>
    </row>
    <row r="78" spans="1:35" ht="12.75" thickBot="1" x14ac:dyDescent="0.2">
      <c r="A78" s="270" t="s">
        <v>445</v>
      </c>
      <c r="B78" s="271">
        <f>SUM(D58:D72)</f>
        <v>0</v>
      </c>
      <c r="C78" s="270" t="s">
        <v>446</v>
      </c>
      <c r="D78" s="271">
        <f>SUM(D73:D77)</f>
        <v>0</v>
      </c>
      <c r="E78" s="245"/>
      <c r="F78" s="270" t="s">
        <v>445</v>
      </c>
      <c r="G78" s="271">
        <f>SUM(I58:I72)</f>
        <v>0</v>
      </c>
      <c r="H78" s="270" t="s">
        <v>446</v>
      </c>
      <c r="I78" s="271">
        <f>SUM(I73:I77)</f>
        <v>0</v>
      </c>
      <c r="J78" s="245"/>
      <c r="K78" s="270" t="s">
        <v>445</v>
      </c>
      <c r="L78" s="271">
        <f>SUM(N58:N72)</f>
        <v>0</v>
      </c>
      <c r="M78" s="270" t="s">
        <v>446</v>
      </c>
      <c r="N78" s="271">
        <f>SUM(N73:N77)</f>
        <v>0</v>
      </c>
      <c r="O78" s="245"/>
      <c r="P78" s="270" t="s">
        <v>445</v>
      </c>
      <c r="Q78" s="271">
        <f>SUM(S58:S72)</f>
        <v>0</v>
      </c>
      <c r="R78" s="270" t="s">
        <v>446</v>
      </c>
      <c r="S78" s="271">
        <f>SUM(S73:S77)</f>
        <v>0</v>
      </c>
      <c r="T78" s="245"/>
      <c r="U78" s="270" t="s">
        <v>445</v>
      </c>
      <c r="V78" s="271">
        <f>SUM(X58:X72)</f>
        <v>0</v>
      </c>
      <c r="W78" s="270" t="s">
        <v>446</v>
      </c>
      <c r="X78" s="271">
        <f>SUM(X73:X77)</f>
        <v>0</v>
      </c>
      <c r="Y78" s="245"/>
      <c r="Z78" s="270" t="s">
        <v>445</v>
      </c>
      <c r="AA78" s="271">
        <f>SUM(AC58:AC72)</f>
        <v>0</v>
      </c>
      <c r="AB78" s="270" t="s">
        <v>446</v>
      </c>
      <c r="AC78" s="271">
        <f>SUM(AC73:AC77)</f>
        <v>0</v>
      </c>
      <c r="AE78" s="285" t="s">
        <v>405</v>
      </c>
      <c r="AF78" s="253">
        <f t="shared" si="35"/>
        <v>0</v>
      </c>
      <c r="AG78" s="286">
        <f>SUM(AG66:AG77)</f>
        <v>0</v>
      </c>
      <c r="AH78" s="286">
        <f>SUM(AH66:AH77)</f>
        <v>0</v>
      </c>
      <c r="AI78" s="286">
        <f>SUM(AI66:AI77)</f>
        <v>0</v>
      </c>
    </row>
    <row r="79" spans="1:35" ht="13.5" x14ac:dyDescent="0.15">
      <c r="A79" s="305" t="str">
        <f>A45</f>
        <v>台所</v>
      </c>
      <c r="B79" s="243" t="s">
        <v>431</v>
      </c>
      <c r="C79" s="243" t="s">
        <v>34</v>
      </c>
      <c r="D79" s="244" t="s">
        <v>432</v>
      </c>
      <c r="E79" s="274"/>
      <c r="F79" s="306" t="str">
        <f>F45</f>
        <v>UT</v>
      </c>
      <c r="G79" s="243" t="s">
        <v>431</v>
      </c>
      <c r="H79" s="243" t="s">
        <v>34</v>
      </c>
      <c r="I79" s="244" t="s">
        <v>432</v>
      </c>
      <c r="J79" s="274"/>
      <c r="K79" s="307" t="str">
        <f>K45</f>
        <v>トイレ</v>
      </c>
      <c r="L79" s="243" t="s">
        <v>431</v>
      </c>
      <c r="M79" s="243" t="s">
        <v>34</v>
      </c>
      <c r="N79" s="244" t="s">
        <v>432</v>
      </c>
      <c r="O79" s="274"/>
      <c r="P79" s="308" t="str">
        <f>P45</f>
        <v>玄関</v>
      </c>
      <c r="Q79" s="243" t="s">
        <v>431</v>
      </c>
      <c r="R79" s="243" t="s">
        <v>34</v>
      </c>
      <c r="S79" s="244" t="s">
        <v>432</v>
      </c>
      <c r="T79" s="274"/>
      <c r="U79" s="308">
        <f>U45</f>
        <v>0</v>
      </c>
      <c r="V79" s="243" t="s">
        <v>431</v>
      </c>
      <c r="W79" s="243" t="s">
        <v>34</v>
      </c>
      <c r="X79" s="244" t="s">
        <v>432</v>
      </c>
      <c r="Y79" s="274"/>
      <c r="Z79" s="308">
        <f>Z45</f>
        <v>0</v>
      </c>
      <c r="AA79" s="243" t="s">
        <v>431</v>
      </c>
      <c r="AB79" s="243" t="s">
        <v>34</v>
      </c>
      <c r="AC79" s="244" t="s">
        <v>432</v>
      </c>
      <c r="AE79" s="314"/>
      <c r="AF79" s="314"/>
      <c r="AG79" s="315"/>
      <c r="AH79" s="315"/>
      <c r="AI79" s="315"/>
    </row>
    <row r="80" spans="1:35" ht="13.5" x14ac:dyDescent="0.15">
      <c r="A80" s="696" t="s">
        <v>448</v>
      </c>
      <c r="B80" s="250"/>
      <c r="C80" s="250"/>
      <c r="D80" s="251">
        <f>SUM(B80*C80)</f>
        <v>0</v>
      </c>
      <c r="E80" s="245"/>
      <c r="F80" s="681" t="s">
        <v>448</v>
      </c>
      <c r="G80" s="250"/>
      <c r="H80" s="250"/>
      <c r="I80" s="251">
        <f>SUM(G80*H80)</f>
        <v>0</v>
      </c>
      <c r="J80" s="245"/>
      <c r="K80" s="699" t="s">
        <v>448</v>
      </c>
      <c r="L80" s="250"/>
      <c r="M80" s="250"/>
      <c r="N80" s="251">
        <f>SUM(L80*M80)</f>
        <v>0</v>
      </c>
      <c r="O80" s="245"/>
      <c r="P80" s="687" t="s">
        <v>448</v>
      </c>
      <c r="Q80" s="316"/>
      <c r="R80" s="316"/>
      <c r="S80" s="317">
        <f>SUM(Q80*R80)</f>
        <v>0</v>
      </c>
      <c r="T80" s="245"/>
      <c r="U80" s="687" t="s">
        <v>448</v>
      </c>
      <c r="V80" s="316"/>
      <c r="W80" s="316"/>
      <c r="X80" s="317">
        <f>SUM(V80*W80)</f>
        <v>0</v>
      </c>
      <c r="Y80" s="245"/>
      <c r="Z80" s="687" t="s">
        <v>448</v>
      </c>
      <c r="AA80" s="316"/>
      <c r="AB80" s="316"/>
      <c r="AC80" s="317">
        <f>SUM(AA80*AB80)</f>
        <v>0</v>
      </c>
      <c r="AE80" s="285"/>
      <c r="AF80" s="285"/>
      <c r="AG80" s="315"/>
      <c r="AH80" s="315"/>
      <c r="AI80" s="315"/>
    </row>
    <row r="81" spans="1:32" s="154" customFormat="1" ht="13.5" x14ac:dyDescent="0.15">
      <c r="A81" s="697"/>
      <c r="B81" s="250"/>
      <c r="C81" s="250"/>
      <c r="D81" s="251">
        <f>SUM(B81*C81)</f>
        <v>0</v>
      </c>
      <c r="E81" s="245"/>
      <c r="F81" s="682"/>
      <c r="G81" s="250"/>
      <c r="H81" s="250"/>
      <c r="I81" s="251">
        <f>SUM(G81*H81)</f>
        <v>0</v>
      </c>
      <c r="J81" s="245"/>
      <c r="K81" s="700"/>
      <c r="L81" s="250"/>
      <c r="M81" s="250"/>
      <c r="N81" s="251">
        <f>SUM(L81*M81)</f>
        <v>0</v>
      </c>
      <c r="O81" s="245"/>
      <c r="P81" s="688"/>
      <c r="Q81" s="250"/>
      <c r="R81" s="250"/>
      <c r="S81" s="251">
        <f>SUM(Q81*R81)</f>
        <v>0</v>
      </c>
      <c r="T81" s="245"/>
      <c r="U81" s="688"/>
      <c r="V81" s="250"/>
      <c r="W81" s="250"/>
      <c r="X81" s="251">
        <f>SUM(V81*W81)</f>
        <v>0</v>
      </c>
      <c r="Y81" s="245"/>
      <c r="Z81" s="688"/>
      <c r="AA81" s="250"/>
      <c r="AB81" s="250"/>
      <c r="AC81" s="251">
        <f>SUM(AA81*AB81)</f>
        <v>0</v>
      </c>
      <c r="AD81" s="153"/>
      <c r="AE81" s="314"/>
      <c r="AF81" s="314"/>
    </row>
    <row r="82" spans="1:32" s="154" customFormat="1" ht="13.5" x14ac:dyDescent="0.15">
      <c r="A82" s="697"/>
      <c r="B82" s="293"/>
      <c r="C82" s="293"/>
      <c r="D82" s="251">
        <f>SUM(B82*C82)</f>
        <v>0</v>
      </c>
      <c r="E82" s="245"/>
      <c r="F82" s="682"/>
      <c r="G82" s="293"/>
      <c r="H82" s="293"/>
      <c r="I82" s="251">
        <f>SUM(G82*H82)</f>
        <v>0</v>
      </c>
      <c r="J82" s="245"/>
      <c r="K82" s="700"/>
      <c r="L82" s="293"/>
      <c r="M82" s="293"/>
      <c r="N82" s="251">
        <f>SUM(L82*M82)</f>
        <v>0</v>
      </c>
      <c r="O82" s="245"/>
      <c r="P82" s="688"/>
      <c r="Q82" s="293"/>
      <c r="R82" s="293"/>
      <c r="S82" s="251">
        <f>SUM(Q82*R82)</f>
        <v>0</v>
      </c>
      <c r="T82" s="245"/>
      <c r="U82" s="688"/>
      <c r="V82" s="293"/>
      <c r="W82" s="293"/>
      <c r="X82" s="251">
        <f>SUM(V82*W82)</f>
        <v>0</v>
      </c>
      <c r="Y82" s="245"/>
      <c r="Z82" s="688"/>
      <c r="AA82" s="293"/>
      <c r="AB82" s="293"/>
      <c r="AC82" s="251">
        <f>SUM(AA82*AB82)</f>
        <v>0</v>
      </c>
      <c r="AD82" s="153"/>
      <c r="AE82" s="314"/>
      <c r="AF82" s="314"/>
    </row>
    <row r="83" spans="1:32" s="154" customFormat="1" ht="13.5" x14ac:dyDescent="0.15">
      <c r="A83" s="698"/>
      <c r="B83" s="293"/>
      <c r="C83" s="293"/>
      <c r="D83" s="251">
        <f>SUM(B83*C83)</f>
        <v>0</v>
      </c>
      <c r="E83" s="245"/>
      <c r="F83" s="683"/>
      <c r="G83" s="293"/>
      <c r="H83" s="293"/>
      <c r="I83" s="251">
        <f>SUM(G83*H83)</f>
        <v>0</v>
      </c>
      <c r="J83" s="245"/>
      <c r="K83" s="701"/>
      <c r="L83" s="293"/>
      <c r="M83" s="293"/>
      <c r="N83" s="251">
        <f>SUM(L83*M83)</f>
        <v>0</v>
      </c>
      <c r="O83" s="245"/>
      <c r="P83" s="689"/>
      <c r="Q83" s="293"/>
      <c r="R83" s="293"/>
      <c r="S83" s="251">
        <f>SUM(Q83*R83)</f>
        <v>0</v>
      </c>
      <c r="T83" s="245"/>
      <c r="U83" s="689"/>
      <c r="V83" s="293"/>
      <c r="W83" s="293"/>
      <c r="X83" s="251">
        <f>SUM(V83*W83)</f>
        <v>0</v>
      </c>
      <c r="Y83" s="245"/>
      <c r="Z83" s="689"/>
      <c r="AA83" s="293"/>
      <c r="AB83" s="293"/>
      <c r="AC83" s="251">
        <f>SUM(AA83*AB83)</f>
        <v>0</v>
      </c>
      <c r="AD83" s="153"/>
      <c r="AE83" s="314"/>
      <c r="AF83" s="314"/>
    </row>
    <row r="84" spans="1:32" s="154" customFormat="1" ht="14.25" thickBot="1" x14ac:dyDescent="0.2">
      <c r="A84" s="318" t="s">
        <v>449</v>
      </c>
      <c r="B84" s="263"/>
      <c r="C84" s="263"/>
      <c r="D84" s="264">
        <f>SUM(B84*C84)</f>
        <v>0</v>
      </c>
      <c r="E84" s="245"/>
      <c r="F84" s="319" t="s">
        <v>449</v>
      </c>
      <c r="G84" s="263"/>
      <c r="H84" s="263"/>
      <c r="I84" s="264">
        <f>SUM(G84*H84)</f>
        <v>0</v>
      </c>
      <c r="J84" s="245"/>
      <c r="K84" s="320" t="s">
        <v>449</v>
      </c>
      <c r="L84" s="263"/>
      <c r="M84" s="263"/>
      <c r="N84" s="264">
        <f>SUM(L84*M84)</f>
        <v>0</v>
      </c>
      <c r="O84" s="245"/>
      <c r="P84" s="321" t="s">
        <v>449</v>
      </c>
      <c r="Q84" s="263"/>
      <c r="R84" s="263"/>
      <c r="S84" s="264">
        <f>SUM(Q84*R84)</f>
        <v>0</v>
      </c>
      <c r="T84" s="245"/>
      <c r="U84" s="321" t="s">
        <v>449</v>
      </c>
      <c r="V84" s="263"/>
      <c r="W84" s="263"/>
      <c r="X84" s="264">
        <f>SUM(V84*W84)</f>
        <v>0</v>
      </c>
      <c r="Y84" s="245"/>
      <c r="Z84" s="321" t="s">
        <v>449</v>
      </c>
      <c r="AA84" s="263"/>
      <c r="AB84" s="263"/>
      <c r="AC84" s="264">
        <f>SUM(AA84*AB84)</f>
        <v>0</v>
      </c>
      <c r="AD84" s="153"/>
      <c r="AE84" s="314"/>
      <c r="AF84" s="314"/>
    </row>
    <row r="85" spans="1:32" s="154" customFormat="1" ht="14.25" thickBot="1" x14ac:dyDescent="0.2">
      <c r="A85" s="245"/>
      <c r="B85" s="245"/>
      <c r="C85" s="270" t="s">
        <v>432</v>
      </c>
      <c r="D85" s="271">
        <f>SUM(D80:D84)</f>
        <v>0</v>
      </c>
      <c r="E85" s="245"/>
      <c r="F85" s="245"/>
      <c r="G85" s="245"/>
      <c r="H85" s="270" t="s">
        <v>432</v>
      </c>
      <c r="I85" s="271">
        <f>SUM(I80:I84)</f>
        <v>0</v>
      </c>
      <c r="J85" s="245"/>
      <c r="K85" s="245"/>
      <c r="L85" s="245"/>
      <c r="M85" s="270" t="s">
        <v>432</v>
      </c>
      <c r="N85" s="271">
        <f>SUM(N80:N84)</f>
        <v>0</v>
      </c>
      <c r="O85" s="245"/>
      <c r="P85" s="245"/>
      <c r="Q85" s="245"/>
      <c r="R85" s="270" t="s">
        <v>432</v>
      </c>
      <c r="S85" s="271">
        <f>SUM(S80:S84)</f>
        <v>0</v>
      </c>
      <c r="T85" s="245"/>
      <c r="U85" s="245"/>
      <c r="V85" s="245"/>
      <c r="W85" s="270" t="s">
        <v>432</v>
      </c>
      <c r="X85" s="271">
        <f>SUM(X80:X84)</f>
        <v>0</v>
      </c>
      <c r="Y85" s="245"/>
      <c r="Z85" s="245"/>
      <c r="AA85" s="245"/>
      <c r="AB85" s="270" t="s">
        <v>432</v>
      </c>
      <c r="AC85" s="271">
        <f>SUM(AC80:AC84)</f>
        <v>0</v>
      </c>
      <c r="AD85" s="153"/>
      <c r="AE85" s="314"/>
      <c r="AF85" s="314"/>
    </row>
    <row r="86" spans="1:32" s="154" customFormat="1" x14ac:dyDescent="0.15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285"/>
      <c r="AF86" s="285"/>
    </row>
  </sheetData>
  <mergeCells count="66">
    <mergeCell ref="AE3:AG3"/>
    <mergeCell ref="A80:A83"/>
    <mergeCell ref="F80:F83"/>
    <mergeCell ref="K80:K83"/>
    <mergeCell ref="P80:P83"/>
    <mergeCell ref="U80:U83"/>
    <mergeCell ref="Z80:Z83"/>
    <mergeCell ref="A73:A77"/>
    <mergeCell ref="F73:F77"/>
    <mergeCell ref="K73:K77"/>
    <mergeCell ref="P73:P77"/>
    <mergeCell ref="U73:U77"/>
    <mergeCell ref="Z73:Z77"/>
    <mergeCell ref="A58:A72"/>
    <mergeCell ref="F58:F72"/>
    <mergeCell ref="K58:K72"/>
    <mergeCell ref="P58:P72"/>
    <mergeCell ref="U58:U72"/>
    <mergeCell ref="Z58:Z72"/>
    <mergeCell ref="A52:A55"/>
    <mergeCell ref="F52:F55"/>
    <mergeCell ref="K52:K55"/>
    <mergeCell ref="P52:P55"/>
    <mergeCell ref="U52:U55"/>
    <mergeCell ref="Z52:Z55"/>
    <mergeCell ref="Z46:Z51"/>
    <mergeCell ref="A38:A41"/>
    <mergeCell ref="F38:F41"/>
    <mergeCell ref="K38:K41"/>
    <mergeCell ref="P38:P41"/>
    <mergeCell ref="U38:U41"/>
    <mergeCell ref="Z38:Z41"/>
    <mergeCell ref="A46:A51"/>
    <mergeCell ref="F46:F51"/>
    <mergeCell ref="K46:K51"/>
    <mergeCell ref="P46:P51"/>
    <mergeCell ref="U46:U51"/>
    <mergeCell ref="Z31:Z35"/>
    <mergeCell ref="A16:A30"/>
    <mergeCell ref="F16:F30"/>
    <mergeCell ref="K16:K30"/>
    <mergeCell ref="P16:P30"/>
    <mergeCell ref="U16:U30"/>
    <mergeCell ref="Z16:Z30"/>
    <mergeCell ref="A31:A35"/>
    <mergeCell ref="F31:F35"/>
    <mergeCell ref="K31:K35"/>
    <mergeCell ref="P31:P35"/>
    <mergeCell ref="U31:U35"/>
    <mergeCell ref="AE5:AG5"/>
    <mergeCell ref="AE7:AG7"/>
    <mergeCell ref="A10:A13"/>
    <mergeCell ref="F10:F13"/>
    <mergeCell ref="K10:K13"/>
    <mergeCell ref="P10:P13"/>
    <mergeCell ref="U10:U13"/>
    <mergeCell ref="Z10:Z13"/>
    <mergeCell ref="U5:U9"/>
    <mergeCell ref="Z5:Z9"/>
    <mergeCell ref="C1:G1"/>
    <mergeCell ref="H1:I1"/>
    <mergeCell ref="N1:P1"/>
    <mergeCell ref="A5:A9"/>
    <mergeCell ref="F5:F9"/>
    <mergeCell ref="K5:K9"/>
    <mergeCell ref="P5:P9"/>
  </mergeCells>
  <phoneticPr fontId="3"/>
  <pageMargins left="0.25" right="0.25" top="0.75" bottom="0.75" header="0.3" footer="0.3"/>
  <pageSetup paperSize="9" scale="51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C90C-536D-478A-BE36-EA0F663BBE73}">
  <sheetPr codeName="Sheet11">
    <tabColor rgb="FFFFC000"/>
    <pageSetUpPr fitToPage="1"/>
  </sheetPr>
  <dimension ref="A1:AD68"/>
  <sheetViews>
    <sheetView showGridLines="0" showZeros="0" zoomScale="90" zoomScaleNormal="90" workbookViewId="0">
      <selection activeCell="B6" sqref="B6"/>
    </sheetView>
  </sheetViews>
  <sheetFormatPr defaultRowHeight="12" x14ac:dyDescent="0.15"/>
  <cols>
    <col min="1" max="1" width="5.5" style="153" customWidth="1"/>
    <col min="2" max="3" width="6.5" style="153" customWidth="1"/>
    <col min="4" max="4" width="6.25" style="153" customWidth="1"/>
    <col min="5" max="5" width="2" style="153" customWidth="1"/>
    <col min="6" max="6" width="6.75" style="153" bestFit="1" customWidth="1"/>
    <col min="7" max="8" width="6.5" style="153" customWidth="1"/>
    <col min="9" max="9" width="6.75" style="153" customWidth="1"/>
    <col min="10" max="10" width="1.75" style="153" customWidth="1"/>
    <col min="11" max="11" width="6.75" style="153" bestFit="1" customWidth="1"/>
    <col min="12" max="13" width="6.5" style="153" customWidth="1"/>
    <col min="14" max="14" width="6.75" style="153" customWidth="1"/>
    <col min="15" max="15" width="1.5" style="153" customWidth="1"/>
    <col min="16" max="16" width="5.5" style="153" customWidth="1"/>
    <col min="17" max="18" width="6.5" style="153" customWidth="1"/>
    <col min="19" max="19" width="6.25" style="153" customWidth="1"/>
    <col min="20" max="20" width="1.5" style="153" customWidth="1"/>
    <col min="21" max="21" width="5.5" style="153" customWidth="1"/>
    <col min="22" max="23" width="6.5" style="153" customWidth="1"/>
    <col min="24" max="24" width="6.25" style="153" customWidth="1"/>
    <col min="25" max="25" width="5" style="153" customWidth="1"/>
    <col min="26" max="26" width="6.75" style="154" customWidth="1"/>
    <col min="27" max="27" width="8" style="154" customWidth="1"/>
    <col min="28" max="28" width="7.75" style="154" customWidth="1"/>
    <col min="29" max="29" width="7.375" style="154" customWidth="1"/>
    <col min="30" max="256" width="9" style="153"/>
    <col min="257" max="257" width="5.5" style="153" customWidth="1"/>
    <col min="258" max="259" width="6.5" style="153" customWidth="1"/>
    <col min="260" max="260" width="6.25" style="153" customWidth="1"/>
    <col min="261" max="261" width="2" style="153" customWidth="1"/>
    <col min="262" max="262" width="5.5" style="153" customWidth="1"/>
    <col min="263" max="264" width="6.5" style="153" customWidth="1"/>
    <col min="265" max="265" width="6.75" style="153" customWidth="1"/>
    <col min="266" max="266" width="1.75" style="153" customWidth="1"/>
    <col min="267" max="267" width="5.5" style="153" customWidth="1"/>
    <col min="268" max="269" width="6.5" style="153" customWidth="1"/>
    <col min="270" max="270" width="6.75" style="153" customWidth="1"/>
    <col min="271" max="271" width="1.5" style="153" customWidth="1"/>
    <col min="272" max="272" width="5.5" style="153" customWidth="1"/>
    <col min="273" max="274" width="6.5" style="153" customWidth="1"/>
    <col min="275" max="275" width="6.25" style="153" customWidth="1"/>
    <col min="276" max="276" width="1.5" style="153" customWidth="1"/>
    <col min="277" max="277" width="5.5" style="153" customWidth="1"/>
    <col min="278" max="279" width="6.5" style="153" customWidth="1"/>
    <col min="280" max="280" width="6.25" style="153" customWidth="1"/>
    <col min="281" max="281" width="5" style="153" customWidth="1"/>
    <col min="282" max="282" width="6.75" style="153" customWidth="1"/>
    <col min="283" max="283" width="8" style="153" customWidth="1"/>
    <col min="284" max="284" width="7.75" style="153" customWidth="1"/>
    <col min="285" max="285" width="7.375" style="153" customWidth="1"/>
    <col min="286" max="512" width="9" style="153"/>
    <col min="513" max="513" width="5.5" style="153" customWidth="1"/>
    <col min="514" max="515" width="6.5" style="153" customWidth="1"/>
    <col min="516" max="516" width="6.25" style="153" customWidth="1"/>
    <col min="517" max="517" width="2" style="153" customWidth="1"/>
    <col min="518" max="518" width="5.5" style="153" customWidth="1"/>
    <col min="519" max="520" width="6.5" style="153" customWidth="1"/>
    <col min="521" max="521" width="6.75" style="153" customWidth="1"/>
    <col min="522" max="522" width="1.75" style="153" customWidth="1"/>
    <col min="523" max="523" width="5.5" style="153" customWidth="1"/>
    <col min="524" max="525" width="6.5" style="153" customWidth="1"/>
    <col min="526" max="526" width="6.75" style="153" customWidth="1"/>
    <col min="527" max="527" width="1.5" style="153" customWidth="1"/>
    <col min="528" max="528" width="5.5" style="153" customWidth="1"/>
    <col min="529" max="530" width="6.5" style="153" customWidth="1"/>
    <col min="531" max="531" width="6.25" style="153" customWidth="1"/>
    <col min="532" max="532" width="1.5" style="153" customWidth="1"/>
    <col min="533" max="533" width="5.5" style="153" customWidth="1"/>
    <col min="534" max="535" width="6.5" style="153" customWidth="1"/>
    <col min="536" max="536" width="6.25" style="153" customWidth="1"/>
    <col min="537" max="537" width="5" style="153" customWidth="1"/>
    <col min="538" max="538" width="6.75" style="153" customWidth="1"/>
    <col min="539" max="539" width="8" style="153" customWidth="1"/>
    <col min="540" max="540" width="7.75" style="153" customWidth="1"/>
    <col min="541" max="541" width="7.375" style="153" customWidth="1"/>
    <col min="542" max="768" width="9" style="153"/>
    <col min="769" max="769" width="5.5" style="153" customWidth="1"/>
    <col min="770" max="771" width="6.5" style="153" customWidth="1"/>
    <col min="772" max="772" width="6.25" style="153" customWidth="1"/>
    <col min="773" max="773" width="2" style="153" customWidth="1"/>
    <col min="774" max="774" width="5.5" style="153" customWidth="1"/>
    <col min="775" max="776" width="6.5" style="153" customWidth="1"/>
    <col min="777" max="777" width="6.75" style="153" customWidth="1"/>
    <col min="778" max="778" width="1.75" style="153" customWidth="1"/>
    <col min="779" max="779" width="5.5" style="153" customWidth="1"/>
    <col min="780" max="781" width="6.5" style="153" customWidth="1"/>
    <col min="782" max="782" width="6.75" style="153" customWidth="1"/>
    <col min="783" max="783" width="1.5" style="153" customWidth="1"/>
    <col min="784" max="784" width="5.5" style="153" customWidth="1"/>
    <col min="785" max="786" width="6.5" style="153" customWidth="1"/>
    <col min="787" max="787" width="6.25" style="153" customWidth="1"/>
    <col min="788" max="788" width="1.5" style="153" customWidth="1"/>
    <col min="789" max="789" width="5.5" style="153" customWidth="1"/>
    <col min="790" max="791" width="6.5" style="153" customWidth="1"/>
    <col min="792" max="792" width="6.25" style="153" customWidth="1"/>
    <col min="793" max="793" width="5" style="153" customWidth="1"/>
    <col min="794" max="794" width="6.75" style="153" customWidth="1"/>
    <col min="795" max="795" width="8" style="153" customWidth="1"/>
    <col min="796" max="796" width="7.75" style="153" customWidth="1"/>
    <col min="797" max="797" width="7.375" style="153" customWidth="1"/>
    <col min="798" max="1024" width="9" style="153"/>
    <col min="1025" max="1025" width="5.5" style="153" customWidth="1"/>
    <col min="1026" max="1027" width="6.5" style="153" customWidth="1"/>
    <col min="1028" max="1028" width="6.25" style="153" customWidth="1"/>
    <col min="1029" max="1029" width="2" style="153" customWidth="1"/>
    <col min="1030" max="1030" width="5.5" style="153" customWidth="1"/>
    <col min="1031" max="1032" width="6.5" style="153" customWidth="1"/>
    <col min="1033" max="1033" width="6.75" style="153" customWidth="1"/>
    <col min="1034" max="1034" width="1.75" style="153" customWidth="1"/>
    <col min="1035" max="1035" width="5.5" style="153" customWidth="1"/>
    <col min="1036" max="1037" width="6.5" style="153" customWidth="1"/>
    <col min="1038" max="1038" width="6.75" style="153" customWidth="1"/>
    <col min="1039" max="1039" width="1.5" style="153" customWidth="1"/>
    <col min="1040" max="1040" width="5.5" style="153" customWidth="1"/>
    <col min="1041" max="1042" width="6.5" style="153" customWidth="1"/>
    <col min="1043" max="1043" width="6.25" style="153" customWidth="1"/>
    <col min="1044" max="1044" width="1.5" style="153" customWidth="1"/>
    <col min="1045" max="1045" width="5.5" style="153" customWidth="1"/>
    <col min="1046" max="1047" width="6.5" style="153" customWidth="1"/>
    <col min="1048" max="1048" width="6.25" style="153" customWidth="1"/>
    <col min="1049" max="1049" width="5" style="153" customWidth="1"/>
    <col min="1050" max="1050" width="6.75" style="153" customWidth="1"/>
    <col min="1051" max="1051" width="8" style="153" customWidth="1"/>
    <col min="1052" max="1052" width="7.75" style="153" customWidth="1"/>
    <col min="1053" max="1053" width="7.375" style="153" customWidth="1"/>
    <col min="1054" max="1280" width="9" style="153"/>
    <col min="1281" max="1281" width="5.5" style="153" customWidth="1"/>
    <col min="1282" max="1283" width="6.5" style="153" customWidth="1"/>
    <col min="1284" max="1284" width="6.25" style="153" customWidth="1"/>
    <col min="1285" max="1285" width="2" style="153" customWidth="1"/>
    <col min="1286" max="1286" width="5.5" style="153" customWidth="1"/>
    <col min="1287" max="1288" width="6.5" style="153" customWidth="1"/>
    <col min="1289" max="1289" width="6.75" style="153" customWidth="1"/>
    <col min="1290" max="1290" width="1.75" style="153" customWidth="1"/>
    <col min="1291" max="1291" width="5.5" style="153" customWidth="1"/>
    <col min="1292" max="1293" width="6.5" style="153" customWidth="1"/>
    <col min="1294" max="1294" width="6.75" style="153" customWidth="1"/>
    <col min="1295" max="1295" width="1.5" style="153" customWidth="1"/>
    <col min="1296" max="1296" width="5.5" style="153" customWidth="1"/>
    <col min="1297" max="1298" width="6.5" style="153" customWidth="1"/>
    <col min="1299" max="1299" width="6.25" style="153" customWidth="1"/>
    <col min="1300" max="1300" width="1.5" style="153" customWidth="1"/>
    <col min="1301" max="1301" width="5.5" style="153" customWidth="1"/>
    <col min="1302" max="1303" width="6.5" style="153" customWidth="1"/>
    <col min="1304" max="1304" width="6.25" style="153" customWidth="1"/>
    <col min="1305" max="1305" width="5" style="153" customWidth="1"/>
    <col min="1306" max="1306" width="6.75" style="153" customWidth="1"/>
    <col min="1307" max="1307" width="8" style="153" customWidth="1"/>
    <col min="1308" max="1308" width="7.75" style="153" customWidth="1"/>
    <col min="1309" max="1309" width="7.375" style="153" customWidth="1"/>
    <col min="1310" max="1536" width="9" style="153"/>
    <col min="1537" max="1537" width="5.5" style="153" customWidth="1"/>
    <col min="1538" max="1539" width="6.5" style="153" customWidth="1"/>
    <col min="1540" max="1540" width="6.25" style="153" customWidth="1"/>
    <col min="1541" max="1541" width="2" style="153" customWidth="1"/>
    <col min="1542" max="1542" width="5.5" style="153" customWidth="1"/>
    <col min="1543" max="1544" width="6.5" style="153" customWidth="1"/>
    <col min="1545" max="1545" width="6.75" style="153" customWidth="1"/>
    <col min="1546" max="1546" width="1.75" style="153" customWidth="1"/>
    <col min="1547" max="1547" width="5.5" style="153" customWidth="1"/>
    <col min="1548" max="1549" width="6.5" style="153" customWidth="1"/>
    <col min="1550" max="1550" width="6.75" style="153" customWidth="1"/>
    <col min="1551" max="1551" width="1.5" style="153" customWidth="1"/>
    <col min="1552" max="1552" width="5.5" style="153" customWidth="1"/>
    <col min="1553" max="1554" width="6.5" style="153" customWidth="1"/>
    <col min="1555" max="1555" width="6.25" style="153" customWidth="1"/>
    <col min="1556" max="1556" width="1.5" style="153" customWidth="1"/>
    <col min="1557" max="1557" width="5.5" style="153" customWidth="1"/>
    <col min="1558" max="1559" width="6.5" style="153" customWidth="1"/>
    <col min="1560" max="1560" width="6.25" style="153" customWidth="1"/>
    <col min="1561" max="1561" width="5" style="153" customWidth="1"/>
    <col min="1562" max="1562" width="6.75" style="153" customWidth="1"/>
    <col min="1563" max="1563" width="8" style="153" customWidth="1"/>
    <col min="1564" max="1564" width="7.75" style="153" customWidth="1"/>
    <col min="1565" max="1565" width="7.375" style="153" customWidth="1"/>
    <col min="1566" max="1792" width="9" style="153"/>
    <col min="1793" max="1793" width="5.5" style="153" customWidth="1"/>
    <col min="1794" max="1795" width="6.5" style="153" customWidth="1"/>
    <col min="1796" max="1796" width="6.25" style="153" customWidth="1"/>
    <col min="1797" max="1797" width="2" style="153" customWidth="1"/>
    <col min="1798" max="1798" width="5.5" style="153" customWidth="1"/>
    <col min="1799" max="1800" width="6.5" style="153" customWidth="1"/>
    <col min="1801" max="1801" width="6.75" style="153" customWidth="1"/>
    <col min="1802" max="1802" width="1.75" style="153" customWidth="1"/>
    <col min="1803" max="1803" width="5.5" style="153" customWidth="1"/>
    <col min="1804" max="1805" width="6.5" style="153" customWidth="1"/>
    <col min="1806" max="1806" width="6.75" style="153" customWidth="1"/>
    <col min="1807" max="1807" width="1.5" style="153" customWidth="1"/>
    <col min="1808" max="1808" width="5.5" style="153" customWidth="1"/>
    <col min="1809" max="1810" width="6.5" style="153" customWidth="1"/>
    <col min="1811" max="1811" width="6.25" style="153" customWidth="1"/>
    <col min="1812" max="1812" width="1.5" style="153" customWidth="1"/>
    <col min="1813" max="1813" width="5.5" style="153" customWidth="1"/>
    <col min="1814" max="1815" width="6.5" style="153" customWidth="1"/>
    <col min="1816" max="1816" width="6.25" style="153" customWidth="1"/>
    <col min="1817" max="1817" width="5" style="153" customWidth="1"/>
    <col min="1818" max="1818" width="6.75" style="153" customWidth="1"/>
    <col min="1819" max="1819" width="8" style="153" customWidth="1"/>
    <col min="1820" max="1820" width="7.75" style="153" customWidth="1"/>
    <col min="1821" max="1821" width="7.375" style="153" customWidth="1"/>
    <col min="1822" max="2048" width="9" style="153"/>
    <col min="2049" max="2049" width="5.5" style="153" customWidth="1"/>
    <col min="2050" max="2051" width="6.5" style="153" customWidth="1"/>
    <col min="2052" max="2052" width="6.25" style="153" customWidth="1"/>
    <col min="2053" max="2053" width="2" style="153" customWidth="1"/>
    <col min="2054" max="2054" width="5.5" style="153" customWidth="1"/>
    <col min="2055" max="2056" width="6.5" style="153" customWidth="1"/>
    <col min="2057" max="2057" width="6.75" style="153" customWidth="1"/>
    <col min="2058" max="2058" width="1.75" style="153" customWidth="1"/>
    <col min="2059" max="2059" width="5.5" style="153" customWidth="1"/>
    <col min="2060" max="2061" width="6.5" style="153" customWidth="1"/>
    <col min="2062" max="2062" width="6.75" style="153" customWidth="1"/>
    <col min="2063" max="2063" width="1.5" style="153" customWidth="1"/>
    <col min="2064" max="2064" width="5.5" style="153" customWidth="1"/>
    <col min="2065" max="2066" width="6.5" style="153" customWidth="1"/>
    <col min="2067" max="2067" width="6.25" style="153" customWidth="1"/>
    <col min="2068" max="2068" width="1.5" style="153" customWidth="1"/>
    <col min="2069" max="2069" width="5.5" style="153" customWidth="1"/>
    <col min="2070" max="2071" width="6.5" style="153" customWidth="1"/>
    <col min="2072" max="2072" width="6.25" style="153" customWidth="1"/>
    <col min="2073" max="2073" width="5" style="153" customWidth="1"/>
    <col min="2074" max="2074" width="6.75" style="153" customWidth="1"/>
    <col min="2075" max="2075" width="8" style="153" customWidth="1"/>
    <col min="2076" max="2076" width="7.75" style="153" customWidth="1"/>
    <col min="2077" max="2077" width="7.375" style="153" customWidth="1"/>
    <col min="2078" max="2304" width="9" style="153"/>
    <col min="2305" max="2305" width="5.5" style="153" customWidth="1"/>
    <col min="2306" max="2307" width="6.5" style="153" customWidth="1"/>
    <col min="2308" max="2308" width="6.25" style="153" customWidth="1"/>
    <col min="2309" max="2309" width="2" style="153" customWidth="1"/>
    <col min="2310" max="2310" width="5.5" style="153" customWidth="1"/>
    <col min="2311" max="2312" width="6.5" style="153" customWidth="1"/>
    <col min="2313" max="2313" width="6.75" style="153" customWidth="1"/>
    <col min="2314" max="2314" width="1.75" style="153" customWidth="1"/>
    <col min="2315" max="2315" width="5.5" style="153" customWidth="1"/>
    <col min="2316" max="2317" width="6.5" style="153" customWidth="1"/>
    <col min="2318" max="2318" width="6.75" style="153" customWidth="1"/>
    <col min="2319" max="2319" width="1.5" style="153" customWidth="1"/>
    <col min="2320" max="2320" width="5.5" style="153" customWidth="1"/>
    <col min="2321" max="2322" width="6.5" style="153" customWidth="1"/>
    <col min="2323" max="2323" width="6.25" style="153" customWidth="1"/>
    <col min="2324" max="2324" width="1.5" style="153" customWidth="1"/>
    <col min="2325" max="2325" width="5.5" style="153" customWidth="1"/>
    <col min="2326" max="2327" width="6.5" style="153" customWidth="1"/>
    <col min="2328" max="2328" width="6.25" style="153" customWidth="1"/>
    <col min="2329" max="2329" width="5" style="153" customWidth="1"/>
    <col min="2330" max="2330" width="6.75" style="153" customWidth="1"/>
    <col min="2331" max="2331" width="8" style="153" customWidth="1"/>
    <col min="2332" max="2332" width="7.75" style="153" customWidth="1"/>
    <col min="2333" max="2333" width="7.375" style="153" customWidth="1"/>
    <col min="2334" max="2560" width="9" style="153"/>
    <col min="2561" max="2561" width="5.5" style="153" customWidth="1"/>
    <col min="2562" max="2563" width="6.5" style="153" customWidth="1"/>
    <col min="2564" max="2564" width="6.25" style="153" customWidth="1"/>
    <col min="2565" max="2565" width="2" style="153" customWidth="1"/>
    <col min="2566" max="2566" width="5.5" style="153" customWidth="1"/>
    <col min="2567" max="2568" width="6.5" style="153" customWidth="1"/>
    <col min="2569" max="2569" width="6.75" style="153" customWidth="1"/>
    <col min="2570" max="2570" width="1.75" style="153" customWidth="1"/>
    <col min="2571" max="2571" width="5.5" style="153" customWidth="1"/>
    <col min="2572" max="2573" width="6.5" style="153" customWidth="1"/>
    <col min="2574" max="2574" width="6.75" style="153" customWidth="1"/>
    <col min="2575" max="2575" width="1.5" style="153" customWidth="1"/>
    <col min="2576" max="2576" width="5.5" style="153" customWidth="1"/>
    <col min="2577" max="2578" width="6.5" style="153" customWidth="1"/>
    <col min="2579" max="2579" width="6.25" style="153" customWidth="1"/>
    <col min="2580" max="2580" width="1.5" style="153" customWidth="1"/>
    <col min="2581" max="2581" width="5.5" style="153" customWidth="1"/>
    <col min="2582" max="2583" width="6.5" style="153" customWidth="1"/>
    <col min="2584" max="2584" width="6.25" style="153" customWidth="1"/>
    <col min="2585" max="2585" width="5" style="153" customWidth="1"/>
    <col min="2586" max="2586" width="6.75" style="153" customWidth="1"/>
    <col min="2587" max="2587" width="8" style="153" customWidth="1"/>
    <col min="2588" max="2588" width="7.75" style="153" customWidth="1"/>
    <col min="2589" max="2589" width="7.375" style="153" customWidth="1"/>
    <col min="2590" max="2816" width="9" style="153"/>
    <col min="2817" max="2817" width="5.5" style="153" customWidth="1"/>
    <col min="2818" max="2819" width="6.5" style="153" customWidth="1"/>
    <col min="2820" max="2820" width="6.25" style="153" customWidth="1"/>
    <col min="2821" max="2821" width="2" style="153" customWidth="1"/>
    <col min="2822" max="2822" width="5.5" style="153" customWidth="1"/>
    <col min="2823" max="2824" width="6.5" style="153" customWidth="1"/>
    <col min="2825" max="2825" width="6.75" style="153" customWidth="1"/>
    <col min="2826" max="2826" width="1.75" style="153" customWidth="1"/>
    <col min="2827" max="2827" width="5.5" style="153" customWidth="1"/>
    <col min="2828" max="2829" width="6.5" style="153" customWidth="1"/>
    <col min="2830" max="2830" width="6.75" style="153" customWidth="1"/>
    <col min="2831" max="2831" width="1.5" style="153" customWidth="1"/>
    <col min="2832" max="2832" width="5.5" style="153" customWidth="1"/>
    <col min="2833" max="2834" width="6.5" style="153" customWidth="1"/>
    <col min="2835" max="2835" width="6.25" style="153" customWidth="1"/>
    <col min="2836" max="2836" width="1.5" style="153" customWidth="1"/>
    <col min="2837" max="2837" width="5.5" style="153" customWidth="1"/>
    <col min="2838" max="2839" width="6.5" style="153" customWidth="1"/>
    <col min="2840" max="2840" width="6.25" style="153" customWidth="1"/>
    <col min="2841" max="2841" width="5" style="153" customWidth="1"/>
    <col min="2842" max="2842" width="6.75" style="153" customWidth="1"/>
    <col min="2843" max="2843" width="8" style="153" customWidth="1"/>
    <col min="2844" max="2844" width="7.75" style="153" customWidth="1"/>
    <col min="2845" max="2845" width="7.375" style="153" customWidth="1"/>
    <col min="2846" max="3072" width="9" style="153"/>
    <col min="3073" max="3073" width="5.5" style="153" customWidth="1"/>
    <col min="3074" max="3075" width="6.5" style="153" customWidth="1"/>
    <col min="3076" max="3076" width="6.25" style="153" customWidth="1"/>
    <col min="3077" max="3077" width="2" style="153" customWidth="1"/>
    <col min="3078" max="3078" width="5.5" style="153" customWidth="1"/>
    <col min="3079" max="3080" width="6.5" style="153" customWidth="1"/>
    <col min="3081" max="3081" width="6.75" style="153" customWidth="1"/>
    <col min="3082" max="3082" width="1.75" style="153" customWidth="1"/>
    <col min="3083" max="3083" width="5.5" style="153" customWidth="1"/>
    <col min="3084" max="3085" width="6.5" style="153" customWidth="1"/>
    <col min="3086" max="3086" width="6.75" style="153" customWidth="1"/>
    <col min="3087" max="3087" width="1.5" style="153" customWidth="1"/>
    <col min="3088" max="3088" width="5.5" style="153" customWidth="1"/>
    <col min="3089" max="3090" width="6.5" style="153" customWidth="1"/>
    <col min="3091" max="3091" width="6.25" style="153" customWidth="1"/>
    <col min="3092" max="3092" width="1.5" style="153" customWidth="1"/>
    <col min="3093" max="3093" width="5.5" style="153" customWidth="1"/>
    <col min="3094" max="3095" width="6.5" style="153" customWidth="1"/>
    <col min="3096" max="3096" width="6.25" style="153" customWidth="1"/>
    <col min="3097" max="3097" width="5" style="153" customWidth="1"/>
    <col min="3098" max="3098" width="6.75" style="153" customWidth="1"/>
    <col min="3099" max="3099" width="8" style="153" customWidth="1"/>
    <col min="3100" max="3100" width="7.75" style="153" customWidth="1"/>
    <col min="3101" max="3101" width="7.375" style="153" customWidth="1"/>
    <col min="3102" max="3328" width="9" style="153"/>
    <col min="3329" max="3329" width="5.5" style="153" customWidth="1"/>
    <col min="3330" max="3331" width="6.5" style="153" customWidth="1"/>
    <col min="3332" max="3332" width="6.25" style="153" customWidth="1"/>
    <col min="3333" max="3333" width="2" style="153" customWidth="1"/>
    <col min="3334" max="3334" width="5.5" style="153" customWidth="1"/>
    <col min="3335" max="3336" width="6.5" style="153" customWidth="1"/>
    <col min="3337" max="3337" width="6.75" style="153" customWidth="1"/>
    <col min="3338" max="3338" width="1.75" style="153" customWidth="1"/>
    <col min="3339" max="3339" width="5.5" style="153" customWidth="1"/>
    <col min="3340" max="3341" width="6.5" style="153" customWidth="1"/>
    <col min="3342" max="3342" width="6.75" style="153" customWidth="1"/>
    <col min="3343" max="3343" width="1.5" style="153" customWidth="1"/>
    <col min="3344" max="3344" width="5.5" style="153" customWidth="1"/>
    <col min="3345" max="3346" width="6.5" style="153" customWidth="1"/>
    <col min="3347" max="3347" width="6.25" style="153" customWidth="1"/>
    <col min="3348" max="3348" width="1.5" style="153" customWidth="1"/>
    <col min="3349" max="3349" width="5.5" style="153" customWidth="1"/>
    <col min="3350" max="3351" width="6.5" style="153" customWidth="1"/>
    <col min="3352" max="3352" width="6.25" style="153" customWidth="1"/>
    <col min="3353" max="3353" width="5" style="153" customWidth="1"/>
    <col min="3354" max="3354" width="6.75" style="153" customWidth="1"/>
    <col min="3355" max="3355" width="8" style="153" customWidth="1"/>
    <col min="3356" max="3356" width="7.75" style="153" customWidth="1"/>
    <col min="3357" max="3357" width="7.375" style="153" customWidth="1"/>
    <col min="3358" max="3584" width="9" style="153"/>
    <col min="3585" max="3585" width="5.5" style="153" customWidth="1"/>
    <col min="3586" max="3587" width="6.5" style="153" customWidth="1"/>
    <col min="3588" max="3588" width="6.25" style="153" customWidth="1"/>
    <col min="3589" max="3589" width="2" style="153" customWidth="1"/>
    <col min="3590" max="3590" width="5.5" style="153" customWidth="1"/>
    <col min="3591" max="3592" width="6.5" style="153" customWidth="1"/>
    <col min="3593" max="3593" width="6.75" style="153" customWidth="1"/>
    <col min="3594" max="3594" width="1.75" style="153" customWidth="1"/>
    <col min="3595" max="3595" width="5.5" style="153" customWidth="1"/>
    <col min="3596" max="3597" width="6.5" style="153" customWidth="1"/>
    <col min="3598" max="3598" width="6.75" style="153" customWidth="1"/>
    <col min="3599" max="3599" width="1.5" style="153" customWidth="1"/>
    <col min="3600" max="3600" width="5.5" style="153" customWidth="1"/>
    <col min="3601" max="3602" width="6.5" style="153" customWidth="1"/>
    <col min="3603" max="3603" width="6.25" style="153" customWidth="1"/>
    <col min="3604" max="3604" width="1.5" style="153" customWidth="1"/>
    <col min="3605" max="3605" width="5.5" style="153" customWidth="1"/>
    <col min="3606" max="3607" width="6.5" style="153" customWidth="1"/>
    <col min="3608" max="3608" width="6.25" style="153" customWidth="1"/>
    <col min="3609" max="3609" width="5" style="153" customWidth="1"/>
    <col min="3610" max="3610" width="6.75" style="153" customWidth="1"/>
    <col min="3611" max="3611" width="8" style="153" customWidth="1"/>
    <col min="3612" max="3612" width="7.75" style="153" customWidth="1"/>
    <col min="3613" max="3613" width="7.375" style="153" customWidth="1"/>
    <col min="3614" max="3840" width="9" style="153"/>
    <col min="3841" max="3841" width="5.5" style="153" customWidth="1"/>
    <col min="3842" max="3843" width="6.5" style="153" customWidth="1"/>
    <col min="3844" max="3844" width="6.25" style="153" customWidth="1"/>
    <col min="3845" max="3845" width="2" style="153" customWidth="1"/>
    <col min="3846" max="3846" width="5.5" style="153" customWidth="1"/>
    <col min="3847" max="3848" width="6.5" style="153" customWidth="1"/>
    <col min="3849" max="3849" width="6.75" style="153" customWidth="1"/>
    <col min="3850" max="3850" width="1.75" style="153" customWidth="1"/>
    <col min="3851" max="3851" width="5.5" style="153" customWidth="1"/>
    <col min="3852" max="3853" width="6.5" style="153" customWidth="1"/>
    <col min="3854" max="3854" width="6.75" style="153" customWidth="1"/>
    <col min="3855" max="3855" width="1.5" style="153" customWidth="1"/>
    <col min="3856" max="3856" width="5.5" style="153" customWidth="1"/>
    <col min="3857" max="3858" width="6.5" style="153" customWidth="1"/>
    <col min="3859" max="3859" width="6.25" style="153" customWidth="1"/>
    <col min="3860" max="3860" width="1.5" style="153" customWidth="1"/>
    <col min="3861" max="3861" width="5.5" style="153" customWidth="1"/>
    <col min="3862" max="3863" width="6.5" style="153" customWidth="1"/>
    <col min="3864" max="3864" width="6.25" style="153" customWidth="1"/>
    <col min="3865" max="3865" width="5" style="153" customWidth="1"/>
    <col min="3866" max="3866" width="6.75" style="153" customWidth="1"/>
    <col min="3867" max="3867" width="8" style="153" customWidth="1"/>
    <col min="3868" max="3868" width="7.75" style="153" customWidth="1"/>
    <col min="3869" max="3869" width="7.375" style="153" customWidth="1"/>
    <col min="3870" max="4096" width="9" style="153"/>
    <col min="4097" max="4097" width="5.5" style="153" customWidth="1"/>
    <col min="4098" max="4099" width="6.5" style="153" customWidth="1"/>
    <col min="4100" max="4100" width="6.25" style="153" customWidth="1"/>
    <col min="4101" max="4101" width="2" style="153" customWidth="1"/>
    <col min="4102" max="4102" width="5.5" style="153" customWidth="1"/>
    <col min="4103" max="4104" width="6.5" style="153" customWidth="1"/>
    <col min="4105" max="4105" width="6.75" style="153" customWidth="1"/>
    <col min="4106" max="4106" width="1.75" style="153" customWidth="1"/>
    <col min="4107" max="4107" width="5.5" style="153" customWidth="1"/>
    <col min="4108" max="4109" width="6.5" style="153" customWidth="1"/>
    <col min="4110" max="4110" width="6.75" style="153" customWidth="1"/>
    <col min="4111" max="4111" width="1.5" style="153" customWidth="1"/>
    <col min="4112" max="4112" width="5.5" style="153" customWidth="1"/>
    <col min="4113" max="4114" width="6.5" style="153" customWidth="1"/>
    <col min="4115" max="4115" width="6.25" style="153" customWidth="1"/>
    <col min="4116" max="4116" width="1.5" style="153" customWidth="1"/>
    <col min="4117" max="4117" width="5.5" style="153" customWidth="1"/>
    <col min="4118" max="4119" width="6.5" style="153" customWidth="1"/>
    <col min="4120" max="4120" width="6.25" style="153" customWidth="1"/>
    <col min="4121" max="4121" width="5" style="153" customWidth="1"/>
    <col min="4122" max="4122" width="6.75" style="153" customWidth="1"/>
    <col min="4123" max="4123" width="8" style="153" customWidth="1"/>
    <col min="4124" max="4124" width="7.75" style="153" customWidth="1"/>
    <col min="4125" max="4125" width="7.375" style="153" customWidth="1"/>
    <col min="4126" max="4352" width="9" style="153"/>
    <col min="4353" max="4353" width="5.5" style="153" customWidth="1"/>
    <col min="4354" max="4355" width="6.5" style="153" customWidth="1"/>
    <col min="4356" max="4356" width="6.25" style="153" customWidth="1"/>
    <col min="4357" max="4357" width="2" style="153" customWidth="1"/>
    <col min="4358" max="4358" width="5.5" style="153" customWidth="1"/>
    <col min="4359" max="4360" width="6.5" style="153" customWidth="1"/>
    <col min="4361" max="4361" width="6.75" style="153" customWidth="1"/>
    <col min="4362" max="4362" width="1.75" style="153" customWidth="1"/>
    <col min="4363" max="4363" width="5.5" style="153" customWidth="1"/>
    <col min="4364" max="4365" width="6.5" style="153" customWidth="1"/>
    <col min="4366" max="4366" width="6.75" style="153" customWidth="1"/>
    <col min="4367" max="4367" width="1.5" style="153" customWidth="1"/>
    <col min="4368" max="4368" width="5.5" style="153" customWidth="1"/>
    <col min="4369" max="4370" width="6.5" style="153" customWidth="1"/>
    <col min="4371" max="4371" width="6.25" style="153" customWidth="1"/>
    <col min="4372" max="4372" width="1.5" style="153" customWidth="1"/>
    <col min="4373" max="4373" width="5.5" style="153" customWidth="1"/>
    <col min="4374" max="4375" width="6.5" style="153" customWidth="1"/>
    <col min="4376" max="4376" width="6.25" style="153" customWidth="1"/>
    <col min="4377" max="4377" width="5" style="153" customWidth="1"/>
    <col min="4378" max="4378" width="6.75" style="153" customWidth="1"/>
    <col min="4379" max="4379" width="8" style="153" customWidth="1"/>
    <col min="4380" max="4380" width="7.75" style="153" customWidth="1"/>
    <col min="4381" max="4381" width="7.375" style="153" customWidth="1"/>
    <col min="4382" max="4608" width="9" style="153"/>
    <col min="4609" max="4609" width="5.5" style="153" customWidth="1"/>
    <col min="4610" max="4611" width="6.5" style="153" customWidth="1"/>
    <col min="4612" max="4612" width="6.25" style="153" customWidth="1"/>
    <col min="4613" max="4613" width="2" style="153" customWidth="1"/>
    <col min="4614" max="4614" width="5.5" style="153" customWidth="1"/>
    <col min="4615" max="4616" width="6.5" style="153" customWidth="1"/>
    <col min="4617" max="4617" width="6.75" style="153" customWidth="1"/>
    <col min="4618" max="4618" width="1.75" style="153" customWidth="1"/>
    <col min="4619" max="4619" width="5.5" style="153" customWidth="1"/>
    <col min="4620" max="4621" width="6.5" style="153" customWidth="1"/>
    <col min="4622" max="4622" width="6.75" style="153" customWidth="1"/>
    <col min="4623" max="4623" width="1.5" style="153" customWidth="1"/>
    <col min="4624" max="4624" width="5.5" style="153" customWidth="1"/>
    <col min="4625" max="4626" width="6.5" style="153" customWidth="1"/>
    <col min="4627" max="4627" width="6.25" style="153" customWidth="1"/>
    <col min="4628" max="4628" width="1.5" style="153" customWidth="1"/>
    <col min="4629" max="4629" width="5.5" style="153" customWidth="1"/>
    <col min="4630" max="4631" width="6.5" style="153" customWidth="1"/>
    <col min="4632" max="4632" width="6.25" style="153" customWidth="1"/>
    <col min="4633" max="4633" width="5" style="153" customWidth="1"/>
    <col min="4634" max="4634" width="6.75" style="153" customWidth="1"/>
    <col min="4635" max="4635" width="8" style="153" customWidth="1"/>
    <col min="4636" max="4636" width="7.75" style="153" customWidth="1"/>
    <col min="4637" max="4637" width="7.375" style="153" customWidth="1"/>
    <col min="4638" max="4864" width="9" style="153"/>
    <col min="4865" max="4865" width="5.5" style="153" customWidth="1"/>
    <col min="4866" max="4867" width="6.5" style="153" customWidth="1"/>
    <col min="4868" max="4868" width="6.25" style="153" customWidth="1"/>
    <col min="4869" max="4869" width="2" style="153" customWidth="1"/>
    <col min="4870" max="4870" width="5.5" style="153" customWidth="1"/>
    <col min="4871" max="4872" width="6.5" style="153" customWidth="1"/>
    <col min="4873" max="4873" width="6.75" style="153" customWidth="1"/>
    <col min="4874" max="4874" width="1.75" style="153" customWidth="1"/>
    <col min="4875" max="4875" width="5.5" style="153" customWidth="1"/>
    <col min="4876" max="4877" width="6.5" style="153" customWidth="1"/>
    <col min="4878" max="4878" width="6.75" style="153" customWidth="1"/>
    <col min="4879" max="4879" width="1.5" style="153" customWidth="1"/>
    <col min="4880" max="4880" width="5.5" style="153" customWidth="1"/>
    <col min="4881" max="4882" width="6.5" style="153" customWidth="1"/>
    <col min="4883" max="4883" width="6.25" style="153" customWidth="1"/>
    <col min="4884" max="4884" width="1.5" style="153" customWidth="1"/>
    <col min="4885" max="4885" width="5.5" style="153" customWidth="1"/>
    <col min="4886" max="4887" width="6.5" style="153" customWidth="1"/>
    <col min="4888" max="4888" width="6.25" style="153" customWidth="1"/>
    <col min="4889" max="4889" width="5" style="153" customWidth="1"/>
    <col min="4890" max="4890" width="6.75" style="153" customWidth="1"/>
    <col min="4891" max="4891" width="8" style="153" customWidth="1"/>
    <col min="4892" max="4892" width="7.75" style="153" customWidth="1"/>
    <col min="4893" max="4893" width="7.375" style="153" customWidth="1"/>
    <col min="4894" max="5120" width="9" style="153"/>
    <col min="5121" max="5121" width="5.5" style="153" customWidth="1"/>
    <col min="5122" max="5123" width="6.5" style="153" customWidth="1"/>
    <col min="5124" max="5124" width="6.25" style="153" customWidth="1"/>
    <col min="5125" max="5125" width="2" style="153" customWidth="1"/>
    <col min="5126" max="5126" width="5.5" style="153" customWidth="1"/>
    <col min="5127" max="5128" width="6.5" style="153" customWidth="1"/>
    <col min="5129" max="5129" width="6.75" style="153" customWidth="1"/>
    <col min="5130" max="5130" width="1.75" style="153" customWidth="1"/>
    <col min="5131" max="5131" width="5.5" style="153" customWidth="1"/>
    <col min="5132" max="5133" width="6.5" style="153" customWidth="1"/>
    <col min="5134" max="5134" width="6.75" style="153" customWidth="1"/>
    <col min="5135" max="5135" width="1.5" style="153" customWidth="1"/>
    <col min="5136" max="5136" width="5.5" style="153" customWidth="1"/>
    <col min="5137" max="5138" width="6.5" style="153" customWidth="1"/>
    <col min="5139" max="5139" width="6.25" style="153" customWidth="1"/>
    <col min="5140" max="5140" width="1.5" style="153" customWidth="1"/>
    <col min="5141" max="5141" width="5.5" style="153" customWidth="1"/>
    <col min="5142" max="5143" width="6.5" style="153" customWidth="1"/>
    <col min="5144" max="5144" width="6.25" style="153" customWidth="1"/>
    <col min="5145" max="5145" width="5" style="153" customWidth="1"/>
    <col min="5146" max="5146" width="6.75" style="153" customWidth="1"/>
    <col min="5147" max="5147" width="8" style="153" customWidth="1"/>
    <col min="5148" max="5148" width="7.75" style="153" customWidth="1"/>
    <col min="5149" max="5149" width="7.375" style="153" customWidth="1"/>
    <col min="5150" max="5376" width="9" style="153"/>
    <col min="5377" max="5377" width="5.5" style="153" customWidth="1"/>
    <col min="5378" max="5379" width="6.5" style="153" customWidth="1"/>
    <col min="5380" max="5380" width="6.25" style="153" customWidth="1"/>
    <col min="5381" max="5381" width="2" style="153" customWidth="1"/>
    <col min="5382" max="5382" width="5.5" style="153" customWidth="1"/>
    <col min="5383" max="5384" width="6.5" style="153" customWidth="1"/>
    <col min="5385" max="5385" width="6.75" style="153" customWidth="1"/>
    <col min="5386" max="5386" width="1.75" style="153" customWidth="1"/>
    <col min="5387" max="5387" width="5.5" style="153" customWidth="1"/>
    <col min="5388" max="5389" width="6.5" style="153" customWidth="1"/>
    <col min="5390" max="5390" width="6.75" style="153" customWidth="1"/>
    <col min="5391" max="5391" width="1.5" style="153" customWidth="1"/>
    <col min="5392" max="5392" width="5.5" style="153" customWidth="1"/>
    <col min="5393" max="5394" width="6.5" style="153" customWidth="1"/>
    <col min="5395" max="5395" width="6.25" style="153" customWidth="1"/>
    <col min="5396" max="5396" width="1.5" style="153" customWidth="1"/>
    <col min="5397" max="5397" width="5.5" style="153" customWidth="1"/>
    <col min="5398" max="5399" width="6.5" style="153" customWidth="1"/>
    <col min="5400" max="5400" width="6.25" style="153" customWidth="1"/>
    <col min="5401" max="5401" width="5" style="153" customWidth="1"/>
    <col min="5402" max="5402" width="6.75" style="153" customWidth="1"/>
    <col min="5403" max="5403" width="8" style="153" customWidth="1"/>
    <col min="5404" max="5404" width="7.75" style="153" customWidth="1"/>
    <col min="5405" max="5405" width="7.375" style="153" customWidth="1"/>
    <col min="5406" max="5632" width="9" style="153"/>
    <col min="5633" max="5633" width="5.5" style="153" customWidth="1"/>
    <col min="5634" max="5635" width="6.5" style="153" customWidth="1"/>
    <col min="5636" max="5636" width="6.25" style="153" customWidth="1"/>
    <col min="5637" max="5637" width="2" style="153" customWidth="1"/>
    <col min="5638" max="5638" width="5.5" style="153" customWidth="1"/>
    <col min="5639" max="5640" width="6.5" style="153" customWidth="1"/>
    <col min="5641" max="5641" width="6.75" style="153" customWidth="1"/>
    <col min="5642" max="5642" width="1.75" style="153" customWidth="1"/>
    <col min="5643" max="5643" width="5.5" style="153" customWidth="1"/>
    <col min="5644" max="5645" width="6.5" style="153" customWidth="1"/>
    <col min="5646" max="5646" width="6.75" style="153" customWidth="1"/>
    <col min="5647" max="5647" width="1.5" style="153" customWidth="1"/>
    <col min="5648" max="5648" width="5.5" style="153" customWidth="1"/>
    <col min="5649" max="5650" width="6.5" style="153" customWidth="1"/>
    <col min="5651" max="5651" width="6.25" style="153" customWidth="1"/>
    <col min="5652" max="5652" width="1.5" style="153" customWidth="1"/>
    <col min="5653" max="5653" width="5.5" style="153" customWidth="1"/>
    <col min="5654" max="5655" width="6.5" style="153" customWidth="1"/>
    <col min="5656" max="5656" width="6.25" style="153" customWidth="1"/>
    <col min="5657" max="5657" width="5" style="153" customWidth="1"/>
    <col min="5658" max="5658" width="6.75" style="153" customWidth="1"/>
    <col min="5659" max="5659" width="8" style="153" customWidth="1"/>
    <col min="5660" max="5660" width="7.75" style="153" customWidth="1"/>
    <col min="5661" max="5661" width="7.375" style="153" customWidth="1"/>
    <col min="5662" max="5888" width="9" style="153"/>
    <col min="5889" max="5889" width="5.5" style="153" customWidth="1"/>
    <col min="5890" max="5891" width="6.5" style="153" customWidth="1"/>
    <col min="5892" max="5892" width="6.25" style="153" customWidth="1"/>
    <col min="5893" max="5893" width="2" style="153" customWidth="1"/>
    <col min="5894" max="5894" width="5.5" style="153" customWidth="1"/>
    <col min="5895" max="5896" width="6.5" style="153" customWidth="1"/>
    <col min="5897" max="5897" width="6.75" style="153" customWidth="1"/>
    <col min="5898" max="5898" width="1.75" style="153" customWidth="1"/>
    <col min="5899" max="5899" width="5.5" style="153" customWidth="1"/>
    <col min="5900" max="5901" width="6.5" style="153" customWidth="1"/>
    <col min="5902" max="5902" width="6.75" style="153" customWidth="1"/>
    <col min="5903" max="5903" width="1.5" style="153" customWidth="1"/>
    <col min="5904" max="5904" width="5.5" style="153" customWidth="1"/>
    <col min="5905" max="5906" width="6.5" style="153" customWidth="1"/>
    <col min="5907" max="5907" width="6.25" style="153" customWidth="1"/>
    <col min="5908" max="5908" width="1.5" style="153" customWidth="1"/>
    <col min="5909" max="5909" width="5.5" style="153" customWidth="1"/>
    <col min="5910" max="5911" width="6.5" style="153" customWidth="1"/>
    <col min="5912" max="5912" width="6.25" style="153" customWidth="1"/>
    <col min="5913" max="5913" width="5" style="153" customWidth="1"/>
    <col min="5914" max="5914" width="6.75" style="153" customWidth="1"/>
    <col min="5915" max="5915" width="8" style="153" customWidth="1"/>
    <col min="5916" max="5916" width="7.75" style="153" customWidth="1"/>
    <col min="5917" max="5917" width="7.375" style="153" customWidth="1"/>
    <col min="5918" max="6144" width="9" style="153"/>
    <col min="6145" max="6145" width="5.5" style="153" customWidth="1"/>
    <col min="6146" max="6147" width="6.5" style="153" customWidth="1"/>
    <col min="6148" max="6148" width="6.25" style="153" customWidth="1"/>
    <col min="6149" max="6149" width="2" style="153" customWidth="1"/>
    <col min="6150" max="6150" width="5.5" style="153" customWidth="1"/>
    <col min="6151" max="6152" width="6.5" style="153" customWidth="1"/>
    <col min="6153" max="6153" width="6.75" style="153" customWidth="1"/>
    <col min="6154" max="6154" width="1.75" style="153" customWidth="1"/>
    <col min="6155" max="6155" width="5.5" style="153" customWidth="1"/>
    <col min="6156" max="6157" width="6.5" style="153" customWidth="1"/>
    <col min="6158" max="6158" width="6.75" style="153" customWidth="1"/>
    <col min="6159" max="6159" width="1.5" style="153" customWidth="1"/>
    <col min="6160" max="6160" width="5.5" style="153" customWidth="1"/>
    <col min="6161" max="6162" width="6.5" style="153" customWidth="1"/>
    <col min="6163" max="6163" width="6.25" style="153" customWidth="1"/>
    <col min="6164" max="6164" width="1.5" style="153" customWidth="1"/>
    <col min="6165" max="6165" width="5.5" style="153" customWidth="1"/>
    <col min="6166" max="6167" width="6.5" style="153" customWidth="1"/>
    <col min="6168" max="6168" width="6.25" style="153" customWidth="1"/>
    <col min="6169" max="6169" width="5" style="153" customWidth="1"/>
    <col min="6170" max="6170" width="6.75" style="153" customWidth="1"/>
    <col min="6171" max="6171" width="8" style="153" customWidth="1"/>
    <col min="6172" max="6172" width="7.75" style="153" customWidth="1"/>
    <col min="6173" max="6173" width="7.375" style="153" customWidth="1"/>
    <col min="6174" max="6400" width="9" style="153"/>
    <col min="6401" max="6401" width="5.5" style="153" customWidth="1"/>
    <col min="6402" max="6403" width="6.5" style="153" customWidth="1"/>
    <col min="6404" max="6404" width="6.25" style="153" customWidth="1"/>
    <col min="6405" max="6405" width="2" style="153" customWidth="1"/>
    <col min="6406" max="6406" width="5.5" style="153" customWidth="1"/>
    <col min="6407" max="6408" width="6.5" style="153" customWidth="1"/>
    <col min="6409" max="6409" width="6.75" style="153" customWidth="1"/>
    <col min="6410" max="6410" width="1.75" style="153" customWidth="1"/>
    <col min="6411" max="6411" width="5.5" style="153" customWidth="1"/>
    <col min="6412" max="6413" width="6.5" style="153" customWidth="1"/>
    <col min="6414" max="6414" width="6.75" style="153" customWidth="1"/>
    <col min="6415" max="6415" width="1.5" style="153" customWidth="1"/>
    <col min="6416" max="6416" width="5.5" style="153" customWidth="1"/>
    <col min="6417" max="6418" width="6.5" style="153" customWidth="1"/>
    <col min="6419" max="6419" width="6.25" style="153" customWidth="1"/>
    <col min="6420" max="6420" width="1.5" style="153" customWidth="1"/>
    <col min="6421" max="6421" width="5.5" style="153" customWidth="1"/>
    <col min="6422" max="6423" width="6.5" style="153" customWidth="1"/>
    <col min="6424" max="6424" width="6.25" style="153" customWidth="1"/>
    <col min="6425" max="6425" width="5" style="153" customWidth="1"/>
    <col min="6426" max="6426" width="6.75" style="153" customWidth="1"/>
    <col min="6427" max="6427" width="8" style="153" customWidth="1"/>
    <col min="6428" max="6428" width="7.75" style="153" customWidth="1"/>
    <col min="6429" max="6429" width="7.375" style="153" customWidth="1"/>
    <col min="6430" max="6656" width="9" style="153"/>
    <col min="6657" max="6657" width="5.5" style="153" customWidth="1"/>
    <col min="6658" max="6659" width="6.5" style="153" customWidth="1"/>
    <col min="6660" max="6660" width="6.25" style="153" customWidth="1"/>
    <col min="6661" max="6661" width="2" style="153" customWidth="1"/>
    <col min="6662" max="6662" width="5.5" style="153" customWidth="1"/>
    <col min="6663" max="6664" width="6.5" style="153" customWidth="1"/>
    <col min="6665" max="6665" width="6.75" style="153" customWidth="1"/>
    <col min="6666" max="6666" width="1.75" style="153" customWidth="1"/>
    <col min="6667" max="6667" width="5.5" style="153" customWidth="1"/>
    <col min="6668" max="6669" width="6.5" style="153" customWidth="1"/>
    <col min="6670" max="6670" width="6.75" style="153" customWidth="1"/>
    <col min="6671" max="6671" width="1.5" style="153" customWidth="1"/>
    <col min="6672" max="6672" width="5.5" style="153" customWidth="1"/>
    <col min="6673" max="6674" width="6.5" style="153" customWidth="1"/>
    <col min="6675" max="6675" width="6.25" style="153" customWidth="1"/>
    <col min="6676" max="6676" width="1.5" style="153" customWidth="1"/>
    <col min="6677" max="6677" width="5.5" style="153" customWidth="1"/>
    <col min="6678" max="6679" width="6.5" style="153" customWidth="1"/>
    <col min="6680" max="6680" width="6.25" style="153" customWidth="1"/>
    <col min="6681" max="6681" width="5" style="153" customWidth="1"/>
    <col min="6682" max="6682" width="6.75" style="153" customWidth="1"/>
    <col min="6683" max="6683" width="8" style="153" customWidth="1"/>
    <col min="6684" max="6684" width="7.75" style="153" customWidth="1"/>
    <col min="6685" max="6685" width="7.375" style="153" customWidth="1"/>
    <col min="6686" max="6912" width="9" style="153"/>
    <col min="6913" max="6913" width="5.5" style="153" customWidth="1"/>
    <col min="6914" max="6915" width="6.5" style="153" customWidth="1"/>
    <col min="6916" max="6916" width="6.25" style="153" customWidth="1"/>
    <col min="6917" max="6917" width="2" style="153" customWidth="1"/>
    <col min="6918" max="6918" width="5.5" style="153" customWidth="1"/>
    <col min="6919" max="6920" width="6.5" style="153" customWidth="1"/>
    <col min="6921" max="6921" width="6.75" style="153" customWidth="1"/>
    <col min="6922" max="6922" width="1.75" style="153" customWidth="1"/>
    <col min="6923" max="6923" width="5.5" style="153" customWidth="1"/>
    <col min="6924" max="6925" width="6.5" style="153" customWidth="1"/>
    <col min="6926" max="6926" width="6.75" style="153" customWidth="1"/>
    <col min="6927" max="6927" width="1.5" style="153" customWidth="1"/>
    <col min="6928" max="6928" width="5.5" style="153" customWidth="1"/>
    <col min="6929" max="6930" width="6.5" style="153" customWidth="1"/>
    <col min="6931" max="6931" width="6.25" style="153" customWidth="1"/>
    <col min="6932" max="6932" width="1.5" style="153" customWidth="1"/>
    <col min="6933" max="6933" width="5.5" style="153" customWidth="1"/>
    <col min="6934" max="6935" width="6.5" style="153" customWidth="1"/>
    <col min="6936" max="6936" width="6.25" style="153" customWidth="1"/>
    <col min="6937" max="6937" width="5" style="153" customWidth="1"/>
    <col min="6938" max="6938" width="6.75" style="153" customWidth="1"/>
    <col min="6939" max="6939" width="8" style="153" customWidth="1"/>
    <col min="6940" max="6940" width="7.75" style="153" customWidth="1"/>
    <col min="6941" max="6941" width="7.375" style="153" customWidth="1"/>
    <col min="6942" max="7168" width="9" style="153"/>
    <col min="7169" max="7169" width="5.5" style="153" customWidth="1"/>
    <col min="7170" max="7171" width="6.5" style="153" customWidth="1"/>
    <col min="7172" max="7172" width="6.25" style="153" customWidth="1"/>
    <col min="7173" max="7173" width="2" style="153" customWidth="1"/>
    <col min="7174" max="7174" width="5.5" style="153" customWidth="1"/>
    <col min="7175" max="7176" width="6.5" style="153" customWidth="1"/>
    <col min="7177" max="7177" width="6.75" style="153" customWidth="1"/>
    <col min="7178" max="7178" width="1.75" style="153" customWidth="1"/>
    <col min="7179" max="7179" width="5.5" style="153" customWidth="1"/>
    <col min="7180" max="7181" width="6.5" style="153" customWidth="1"/>
    <col min="7182" max="7182" width="6.75" style="153" customWidth="1"/>
    <col min="7183" max="7183" width="1.5" style="153" customWidth="1"/>
    <col min="7184" max="7184" width="5.5" style="153" customWidth="1"/>
    <col min="7185" max="7186" width="6.5" style="153" customWidth="1"/>
    <col min="7187" max="7187" width="6.25" style="153" customWidth="1"/>
    <col min="7188" max="7188" width="1.5" style="153" customWidth="1"/>
    <col min="7189" max="7189" width="5.5" style="153" customWidth="1"/>
    <col min="7190" max="7191" width="6.5" style="153" customWidth="1"/>
    <col min="7192" max="7192" width="6.25" style="153" customWidth="1"/>
    <col min="7193" max="7193" width="5" style="153" customWidth="1"/>
    <col min="7194" max="7194" width="6.75" style="153" customWidth="1"/>
    <col min="7195" max="7195" width="8" style="153" customWidth="1"/>
    <col min="7196" max="7196" width="7.75" style="153" customWidth="1"/>
    <col min="7197" max="7197" width="7.375" style="153" customWidth="1"/>
    <col min="7198" max="7424" width="9" style="153"/>
    <col min="7425" max="7425" width="5.5" style="153" customWidth="1"/>
    <col min="7426" max="7427" width="6.5" style="153" customWidth="1"/>
    <col min="7428" max="7428" width="6.25" style="153" customWidth="1"/>
    <col min="7429" max="7429" width="2" style="153" customWidth="1"/>
    <col min="7430" max="7430" width="5.5" style="153" customWidth="1"/>
    <col min="7431" max="7432" width="6.5" style="153" customWidth="1"/>
    <col min="7433" max="7433" width="6.75" style="153" customWidth="1"/>
    <col min="7434" max="7434" width="1.75" style="153" customWidth="1"/>
    <col min="7435" max="7435" width="5.5" style="153" customWidth="1"/>
    <col min="7436" max="7437" width="6.5" style="153" customWidth="1"/>
    <col min="7438" max="7438" width="6.75" style="153" customWidth="1"/>
    <col min="7439" max="7439" width="1.5" style="153" customWidth="1"/>
    <col min="7440" max="7440" width="5.5" style="153" customWidth="1"/>
    <col min="7441" max="7442" width="6.5" style="153" customWidth="1"/>
    <col min="7443" max="7443" width="6.25" style="153" customWidth="1"/>
    <col min="7444" max="7444" width="1.5" style="153" customWidth="1"/>
    <col min="7445" max="7445" width="5.5" style="153" customWidth="1"/>
    <col min="7446" max="7447" width="6.5" style="153" customWidth="1"/>
    <col min="7448" max="7448" width="6.25" style="153" customWidth="1"/>
    <col min="7449" max="7449" width="5" style="153" customWidth="1"/>
    <col min="7450" max="7450" width="6.75" style="153" customWidth="1"/>
    <col min="7451" max="7451" width="8" style="153" customWidth="1"/>
    <col min="7452" max="7452" width="7.75" style="153" customWidth="1"/>
    <col min="7453" max="7453" width="7.375" style="153" customWidth="1"/>
    <col min="7454" max="7680" width="9" style="153"/>
    <col min="7681" max="7681" width="5.5" style="153" customWidth="1"/>
    <col min="7682" max="7683" width="6.5" style="153" customWidth="1"/>
    <col min="7684" max="7684" width="6.25" style="153" customWidth="1"/>
    <col min="7685" max="7685" width="2" style="153" customWidth="1"/>
    <col min="7686" max="7686" width="5.5" style="153" customWidth="1"/>
    <col min="7687" max="7688" width="6.5" style="153" customWidth="1"/>
    <col min="7689" max="7689" width="6.75" style="153" customWidth="1"/>
    <col min="7690" max="7690" width="1.75" style="153" customWidth="1"/>
    <col min="7691" max="7691" width="5.5" style="153" customWidth="1"/>
    <col min="7692" max="7693" width="6.5" style="153" customWidth="1"/>
    <col min="7694" max="7694" width="6.75" style="153" customWidth="1"/>
    <col min="7695" max="7695" width="1.5" style="153" customWidth="1"/>
    <col min="7696" max="7696" width="5.5" style="153" customWidth="1"/>
    <col min="7697" max="7698" width="6.5" style="153" customWidth="1"/>
    <col min="7699" max="7699" width="6.25" style="153" customWidth="1"/>
    <col min="7700" max="7700" width="1.5" style="153" customWidth="1"/>
    <col min="7701" max="7701" width="5.5" style="153" customWidth="1"/>
    <col min="7702" max="7703" width="6.5" style="153" customWidth="1"/>
    <col min="7704" max="7704" width="6.25" style="153" customWidth="1"/>
    <col min="7705" max="7705" width="5" style="153" customWidth="1"/>
    <col min="7706" max="7706" width="6.75" style="153" customWidth="1"/>
    <col min="7707" max="7707" width="8" style="153" customWidth="1"/>
    <col min="7708" max="7708" width="7.75" style="153" customWidth="1"/>
    <col min="7709" max="7709" width="7.375" style="153" customWidth="1"/>
    <col min="7710" max="7936" width="9" style="153"/>
    <col min="7937" max="7937" width="5.5" style="153" customWidth="1"/>
    <col min="7938" max="7939" width="6.5" style="153" customWidth="1"/>
    <col min="7940" max="7940" width="6.25" style="153" customWidth="1"/>
    <col min="7941" max="7941" width="2" style="153" customWidth="1"/>
    <col min="7942" max="7942" width="5.5" style="153" customWidth="1"/>
    <col min="7943" max="7944" width="6.5" style="153" customWidth="1"/>
    <col min="7945" max="7945" width="6.75" style="153" customWidth="1"/>
    <col min="7946" max="7946" width="1.75" style="153" customWidth="1"/>
    <col min="7947" max="7947" width="5.5" style="153" customWidth="1"/>
    <col min="7948" max="7949" width="6.5" style="153" customWidth="1"/>
    <col min="7950" max="7950" width="6.75" style="153" customWidth="1"/>
    <col min="7951" max="7951" width="1.5" style="153" customWidth="1"/>
    <col min="7952" max="7952" width="5.5" style="153" customWidth="1"/>
    <col min="7953" max="7954" width="6.5" style="153" customWidth="1"/>
    <col min="7955" max="7955" width="6.25" style="153" customWidth="1"/>
    <col min="7956" max="7956" width="1.5" style="153" customWidth="1"/>
    <col min="7957" max="7957" width="5.5" style="153" customWidth="1"/>
    <col min="7958" max="7959" width="6.5" style="153" customWidth="1"/>
    <col min="7960" max="7960" width="6.25" style="153" customWidth="1"/>
    <col min="7961" max="7961" width="5" style="153" customWidth="1"/>
    <col min="7962" max="7962" width="6.75" style="153" customWidth="1"/>
    <col min="7963" max="7963" width="8" style="153" customWidth="1"/>
    <col min="7964" max="7964" width="7.75" style="153" customWidth="1"/>
    <col min="7965" max="7965" width="7.375" style="153" customWidth="1"/>
    <col min="7966" max="8192" width="9" style="153"/>
    <col min="8193" max="8193" width="5.5" style="153" customWidth="1"/>
    <col min="8194" max="8195" width="6.5" style="153" customWidth="1"/>
    <col min="8196" max="8196" width="6.25" style="153" customWidth="1"/>
    <col min="8197" max="8197" width="2" style="153" customWidth="1"/>
    <col min="8198" max="8198" width="5.5" style="153" customWidth="1"/>
    <col min="8199" max="8200" width="6.5" style="153" customWidth="1"/>
    <col min="8201" max="8201" width="6.75" style="153" customWidth="1"/>
    <col min="8202" max="8202" width="1.75" style="153" customWidth="1"/>
    <col min="8203" max="8203" width="5.5" style="153" customWidth="1"/>
    <col min="8204" max="8205" width="6.5" style="153" customWidth="1"/>
    <col min="8206" max="8206" width="6.75" style="153" customWidth="1"/>
    <col min="8207" max="8207" width="1.5" style="153" customWidth="1"/>
    <col min="8208" max="8208" width="5.5" style="153" customWidth="1"/>
    <col min="8209" max="8210" width="6.5" style="153" customWidth="1"/>
    <col min="8211" max="8211" width="6.25" style="153" customWidth="1"/>
    <col min="8212" max="8212" width="1.5" style="153" customWidth="1"/>
    <col min="8213" max="8213" width="5.5" style="153" customWidth="1"/>
    <col min="8214" max="8215" width="6.5" style="153" customWidth="1"/>
    <col min="8216" max="8216" width="6.25" style="153" customWidth="1"/>
    <col min="8217" max="8217" width="5" style="153" customWidth="1"/>
    <col min="8218" max="8218" width="6.75" style="153" customWidth="1"/>
    <col min="8219" max="8219" width="8" style="153" customWidth="1"/>
    <col min="8220" max="8220" width="7.75" style="153" customWidth="1"/>
    <col min="8221" max="8221" width="7.375" style="153" customWidth="1"/>
    <col min="8222" max="8448" width="9" style="153"/>
    <col min="8449" max="8449" width="5.5" style="153" customWidth="1"/>
    <col min="8450" max="8451" width="6.5" style="153" customWidth="1"/>
    <col min="8452" max="8452" width="6.25" style="153" customWidth="1"/>
    <col min="8453" max="8453" width="2" style="153" customWidth="1"/>
    <col min="8454" max="8454" width="5.5" style="153" customWidth="1"/>
    <col min="8455" max="8456" width="6.5" style="153" customWidth="1"/>
    <col min="8457" max="8457" width="6.75" style="153" customWidth="1"/>
    <col min="8458" max="8458" width="1.75" style="153" customWidth="1"/>
    <col min="8459" max="8459" width="5.5" style="153" customWidth="1"/>
    <col min="8460" max="8461" width="6.5" style="153" customWidth="1"/>
    <col min="8462" max="8462" width="6.75" style="153" customWidth="1"/>
    <col min="8463" max="8463" width="1.5" style="153" customWidth="1"/>
    <col min="8464" max="8464" width="5.5" style="153" customWidth="1"/>
    <col min="8465" max="8466" width="6.5" style="153" customWidth="1"/>
    <col min="8467" max="8467" width="6.25" style="153" customWidth="1"/>
    <col min="8468" max="8468" width="1.5" style="153" customWidth="1"/>
    <col min="8469" max="8469" width="5.5" style="153" customWidth="1"/>
    <col min="8470" max="8471" width="6.5" style="153" customWidth="1"/>
    <col min="8472" max="8472" width="6.25" style="153" customWidth="1"/>
    <col min="8473" max="8473" width="5" style="153" customWidth="1"/>
    <col min="8474" max="8474" width="6.75" style="153" customWidth="1"/>
    <col min="8475" max="8475" width="8" style="153" customWidth="1"/>
    <col min="8476" max="8476" width="7.75" style="153" customWidth="1"/>
    <col min="8477" max="8477" width="7.375" style="153" customWidth="1"/>
    <col min="8478" max="8704" width="9" style="153"/>
    <col min="8705" max="8705" width="5.5" style="153" customWidth="1"/>
    <col min="8706" max="8707" width="6.5" style="153" customWidth="1"/>
    <col min="8708" max="8708" width="6.25" style="153" customWidth="1"/>
    <col min="8709" max="8709" width="2" style="153" customWidth="1"/>
    <col min="8710" max="8710" width="5.5" style="153" customWidth="1"/>
    <col min="8711" max="8712" width="6.5" style="153" customWidth="1"/>
    <col min="8713" max="8713" width="6.75" style="153" customWidth="1"/>
    <col min="8714" max="8714" width="1.75" style="153" customWidth="1"/>
    <col min="8715" max="8715" width="5.5" style="153" customWidth="1"/>
    <col min="8716" max="8717" width="6.5" style="153" customWidth="1"/>
    <col min="8718" max="8718" width="6.75" style="153" customWidth="1"/>
    <col min="8719" max="8719" width="1.5" style="153" customWidth="1"/>
    <col min="8720" max="8720" width="5.5" style="153" customWidth="1"/>
    <col min="8721" max="8722" width="6.5" style="153" customWidth="1"/>
    <col min="8723" max="8723" width="6.25" style="153" customWidth="1"/>
    <col min="8724" max="8724" width="1.5" style="153" customWidth="1"/>
    <col min="8725" max="8725" width="5.5" style="153" customWidth="1"/>
    <col min="8726" max="8727" width="6.5" style="153" customWidth="1"/>
    <col min="8728" max="8728" width="6.25" style="153" customWidth="1"/>
    <col min="8729" max="8729" width="5" style="153" customWidth="1"/>
    <col min="8730" max="8730" width="6.75" style="153" customWidth="1"/>
    <col min="8731" max="8731" width="8" style="153" customWidth="1"/>
    <col min="8732" max="8732" width="7.75" style="153" customWidth="1"/>
    <col min="8733" max="8733" width="7.375" style="153" customWidth="1"/>
    <col min="8734" max="8960" width="9" style="153"/>
    <col min="8961" max="8961" width="5.5" style="153" customWidth="1"/>
    <col min="8962" max="8963" width="6.5" style="153" customWidth="1"/>
    <col min="8964" max="8964" width="6.25" style="153" customWidth="1"/>
    <col min="8965" max="8965" width="2" style="153" customWidth="1"/>
    <col min="8966" max="8966" width="5.5" style="153" customWidth="1"/>
    <col min="8967" max="8968" width="6.5" style="153" customWidth="1"/>
    <col min="8969" max="8969" width="6.75" style="153" customWidth="1"/>
    <col min="8970" max="8970" width="1.75" style="153" customWidth="1"/>
    <col min="8971" max="8971" width="5.5" style="153" customWidth="1"/>
    <col min="8972" max="8973" width="6.5" style="153" customWidth="1"/>
    <col min="8974" max="8974" width="6.75" style="153" customWidth="1"/>
    <col min="8975" max="8975" width="1.5" style="153" customWidth="1"/>
    <col min="8976" max="8976" width="5.5" style="153" customWidth="1"/>
    <col min="8977" max="8978" width="6.5" style="153" customWidth="1"/>
    <col min="8979" max="8979" width="6.25" style="153" customWidth="1"/>
    <col min="8980" max="8980" width="1.5" style="153" customWidth="1"/>
    <col min="8981" max="8981" width="5.5" style="153" customWidth="1"/>
    <col min="8982" max="8983" width="6.5" style="153" customWidth="1"/>
    <col min="8984" max="8984" width="6.25" style="153" customWidth="1"/>
    <col min="8985" max="8985" width="5" style="153" customWidth="1"/>
    <col min="8986" max="8986" width="6.75" style="153" customWidth="1"/>
    <col min="8987" max="8987" width="8" style="153" customWidth="1"/>
    <col min="8988" max="8988" width="7.75" style="153" customWidth="1"/>
    <col min="8989" max="8989" width="7.375" style="153" customWidth="1"/>
    <col min="8990" max="9216" width="9" style="153"/>
    <col min="9217" max="9217" width="5.5" style="153" customWidth="1"/>
    <col min="9218" max="9219" width="6.5" style="153" customWidth="1"/>
    <col min="9220" max="9220" width="6.25" style="153" customWidth="1"/>
    <col min="9221" max="9221" width="2" style="153" customWidth="1"/>
    <col min="9222" max="9222" width="5.5" style="153" customWidth="1"/>
    <col min="9223" max="9224" width="6.5" style="153" customWidth="1"/>
    <col min="9225" max="9225" width="6.75" style="153" customWidth="1"/>
    <col min="9226" max="9226" width="1.75" style="153" customWidth="1"/>
    <col min="9227" max="9227" width="5.5" style="153" customWidth="1"/>
    <col min="9228" max="9229" width="6.5" style="153" customWidth="1"/>
    <col min="9230" max="9230" width="6.75" style="153" customWidth="1"/>
    <col min="9231" max="9231" width="1.5" style="153" customWidth="1"/>
    <col min="9232" max="9232" width="5.5" style="153" customWidth="1"/>
    <col min="9233" max="9234" width="6.5" style="153" customWidth="1"/>
    <col min="9235" max="9235" width="6.25" style="153" customWidth="1"/>
    <col min="9236" max="9236" width="1.5" style="153" customWidth="1"/>
    <col min="9237" max="9237" width="5.5" style="153" customWidth="1"/>
    <col min="9238" max="9239" width="6.5" style="153" customWidth="1"/>
    <col min="9240" max="9240" width="6.25" style="153" customWidth="1"/>
    <col min="9241" max="9241" width="5" style="153" customWidth="1"/>
    <col min="9242" max="9242" width="6.75" style="153" customWidth="1"/>
    <col min="9243" max="9243" width="8" style="153" customWidth="1"/>
    <col min="9244" max="9244" width="7.75" style="153" customWidth="1"/>
    <col min="9245" max="9245" width="7.375" style="153" customWidth="1"/>
    <col min="9246" max="9472" width="9" style="153"/>
    <col min="9473" max="9473" width="5.5" style="153" customWidth="1"/>
    <col min="9474" max="9475" width="6.5" style="153" customWidth="1"/>
    <col min="9476" max="9476" width="6.25" style="153" customWidth="1"/>
    <col min="9477" max="9477" width="2" style="153" customWidth="1"/>
    <col min="9478" max="9478" width="5.5" style="153" customWidth="1"/>
    <col min="9479" max="9480" width="6.5" style="153" customWidth="1"/>
    <col min="9481" max="9481" width="6.75" style="153" customWidth="1"/>
    <col min="9482" max="9482" width="1.75" style="153" customWidth="1"/>
    <col min="9483" max="9483" width="5.5" style="153" customWidth="1"/>
    <col min="9484" max="9485" width="6.5" style="153" customWidth="1"/>
    <col min="9486" max="9486" width="6.75" style="153" customWidth="1"/>
    <col min="9487" max="9487" width="1.5" style="153" customWidth="1"/>
    <col min="9488" max="9488" width="5.5" style="153" customWidth="1"/>
    <col min="9489" max="9490" width="6.5" style="153" customWidth="1"/>
    <col min="9491" max="9491" width="6.25" style="153" customWidth="1"/>
    <col min="9492" max="9492" width="1.5" style="153" customWidth="1"/>
    <col min="9493" max="9493" width="5.5" style="153" customWidth="1"/>
    <col min="9494" max="9495" width="6.5" style="153" customWidth="1"/>
    <col min="9496" max="9496" width="6.25" style="153" customWidth="1"/>
    <col min="9497" max="9497" width="5" style="153" customWidth="1"/>
    <col min="9498" max="9498" width="6.75" style="153" customWidth="1"/>
    <col min="9499" max="9499" width="8" style="153" customWidth="1"/>
    <col min="9500" max="9500" width="7.75" style="153" customWidth="1"/>
    <col min="9501" max="9501" width="7.375" style="153" customWidth="1"/>
    <col min="9502" max="9728" width="9" style="153"/>
    <col min="9729" max="9729" width="5.5" style="153" customWidth="1"/>
    <col min="9730" max="9731" width="6.5" style="153" customWidth="1"/>
    <col min="9732" max="9732" width="6.25" style="153" customWidth="1"/>
    <col min="9733" max="9733" width="2" style="153" customWidth="1"/>
    <col min="9734" max="9734" width="5.5" style="153" customWidth="1"/>
    <col min="9735" max="9736" width="6.5" style="153" customWidth="1"/>
    <col min="9737" max="9737" width="6.75" style="153" customWidth="1"/>
    <col min="9738" max="9738" width="1.75" style="153" customWidth="1"/>
    <col min="9739" max="9739" width="5.5" style="153" customWidth="1"/>
    <col min="9740" max="9741" width="6.5" style="153" customWidth="1"/>
    <col min="9742" max="9742" width="6.75" style="153" customWidth="1"/>
    <col min="9743" max="9743" width="1.5" style="153" customWidth="1"/>
    <col min="9744" max="9744" width="5.5" style="153" customWidth="1"/>
    <col min="9745" max="9746" width="6.5" style="153" customWidth="1"/>
    <col min="9747" max="9747" width="6.25" style="153" customWidth="1"/>
    <col min="9748" max="9748" width="1.5" style="153" customWidth="1"/>
    <col min="9749" max="9749" width="5.5" style="153" customWidth="1"/>
    <col min="9750" max="9751" width="6.5" style="153" customWidth="1"/>
    <col min="9752" max="9752" width="6.25" style="153" customWidth="1"/>
    <col min="9753" max="9753" width="5" style="153" customWidth="1"/>
    <col min="9754" max="9754" width="6.75" style="153" customWidth="1"/>
    <col min="9755" max="9755" width="8" style="153" customWidth="1"/>
    <col min="9756" max="9756" width="7.75" style="153" customWidth="1"/>
    <col min="9757" max="9757" width="7.375" style="153" customWidth="1"/>
    <col min="9758" max="9984" width="9" style="153"/>
    <col min="9985" max="9985" width="5.5" style="153" customWidth="1"/>
    <col min="9986" max="9987" width="6.5" style="153" customWidth="1"/>
    <col min="9988" max="9988" width="6.25" style="153" customWidth="1"/>
    <col min="9989" max="9989" width="2" style="153" customWidth="1"/>
    <col min="9990" max="9990" width="5.5" style="153" customWidth="1"/>
    <col min="9991" max="9992" width="6.5" style="153" customWidth="1"/>
    <col min="9993" max="9993" width="6.75" style="153" customWidth="1"/>
    <col min="9994" max="9994" width="1.75" style="153" customWidth="1"/>
    <col min="9995" max="9995" width="5.5" style="153" customWidth="1"/>
    <col min="9996" max="9997" width="6.5" style="153" customWidth="1"/>
    <col min="9998" max="9998" width="6.75" style="153" customWidth="1"/>
    <col min="9999" max="9999" width="1.5" style="153" customWidth="1"/>
    <col min="10000" max="10000" width="5.5" style="153" customWidth="1"/>
    <col min="10001" max="10002" width="6.5" style="153" customWidth="1"/>
    <col min="10003" max="10003" width="6.25" style="153" customWidth="1"/>
    <col min="10004" max="10004" width="1.5" style="153" customWidth="1"/>
    <col min="10005" max="10005" width="5.5" style="153" customWidth="1"/>
    <col min="10006" max="10007" width="6.5" style="153" customWidth="1"/>
    <col min="10008" max="10008" width="6.25" style="153" customWidth="1"/>
    <col min="10009" max="10009" width="5" style="153" customWidth="1"/>
    <col min="10010" max="10010" width="6.75" style="153" customWidth="1"/>
    <col min="10011" max="10011" width="8" style="153" customWidth="1"/>
    <col min="10012" max="10012" width="7.75" style="153" customWidth="1"/>
    <col min="10013" max="10013" width="7.375" style="153" customWidth="1"/>
    <col min="10014" max="10240" width="9" style="153"/>
    <col min="10241" max="10241" width="5.5" style="153" customWidth="1"/>
    <col min="10242" max="10243" width="6.5" style="153" customWidth="1"/>
    <col min="10244" max="10244" width="6.25" style="153" customWidth="1"/>
    <col min="10245" max="10245" width="2" style="153" customWidth="1"/>
    <col min="10246" max="10246" width="5.5" style="153" customWidth="1"/>
    <col min="10247" max="10248" width="6.5" style="153" customWidth="1"/>
    <col min="10249" max="10249" width="6.75" style="153" customWidth="1"/>
    <col min="10250" max="10250" width="1.75" style="153" customWidth="1"/>
    <col min="10251" max="10251" width="5.5" style="153" customWidth="1"/>
    <col min="10252" max="10253" width="6.5" style="153" customWidth="1"/>
    <col min="10254" max="10254" width="6.75" style="153" customWidth="1"/>
    <col min="10255" max="10255" width="1.5" style="153" customWidth="1"/>
    <col min="10256" max="10256" width="5.5" style="153" customWidth="1"/>
    <col min="10257" max="10258" width="6.5" style="153" customWidth="1"/>
    <col min="10259" max="10259" width="6.25" style="153" customWidth="1"/>
    <col min="10260" max="10260" width="1.5" style="153" customWidth="1"/>
    <col min="10261" max="10261" width="5.5" style="153" customWidth="1"/>
    <col min="10262" max="10263" width="6.5" style="153" customWidth="1"/>
    <col min="10264" max="10264" width="6.25" style="153" customWidth="1"/>
    <col min="10265" max="10265" width="5" style="153" customWidth="1"/>
    <col min="10266" max="10266" width="6.75" style="153" customWidth="1"/>
    <col min="10267" max="10267" width="8" style="153" customWidth="1"/>
    <col min="10268" max="10268" width="7.75" style="153" customWidth="1"/>
    <col min="10269" max="10269" width="7.375" style="153" customWidth="1"/>
    <col min="10270" max="10496" width="9" style="153"/>
    <col min="10497" max="10497" width="5.5" style="153" customWidth="1"/>
    <col min="10498" max="10499" width="6.5" style="153" customWidth="1"/>
    <col min="10500" max="10500" width="6.25" style="153" customWidth="1"/>
    <col min="10501" max="10501" width="2" style="153" customWidth="1"/>
    <col min="10502" max="10502" width="5.5" style="153" customWidth="1"/>
    <col min="10503" max="10504" width="6.5" style="153" customWidth="1"/>
    <col min="10505" max="10505" width="6.75" style="153" customWidth="1"/>
    <col min="10506" max="10506" width="1.75" style="153" customWidth="1"/>
    <col min="10507" max="10507" width="5.5" style="153" customWidth="1"/>
    <col min="10508" max="10509" width="6.5" style="153" customWidth="1"/>
    <col min="10510" max="10510" width="6.75" style="153" customWidth="1"/>
    <col min="10511" max="10511" width="1.5" style="153" customWidth="1"/>
    <col min="10512" max="10512" width="5.5" style="153" customWidth="1"/>
    <col min="10513" max="10514" width="6.5" style="153" customWidth="1"/>
    <col min="10515" max="10515" width="6.25" style="153" customWidth="1"/>
    <col min="10516" max="10516" width="1.5" style="153" customWidth="1"/>
    <col min="10517" max="10517" width="5.5" style="153" customWidth="1"/>
    <col min="10518" max="10519" width="6.5" style="153" customWidth="1"/>
    <col min="10520" max="10520" width="6.25" style="153" customWidth="1"/>
    <col min="10521" max="10521" width="5" style="153" customWidth="1"/>
    <col min="10522" max="10522" width="6.75" style="153" customWidth="1"/>
    <col min="10523" max="10523" width="8" style="153" customWidth="1"/>
    <col min="10524" max="10524" width="7.75" style="153" customWidth="1"/>
    <col min="10525" max="10525" width="7.375" style="153" customWidth="1"/>
    <col min="10526" max="10752" width="9" style="153"/>
    <col min="10753" max="10753" width="5.5" style="153" customWidth="1"/>
    <col min="10754" max="10755" width="6.5" style="153" customWidth="1"/>
    <col min="10756" max="10756" width="6.25" style="153" customWidth="1"/>
    <col min="10757" max="10757" width="2" style="153" customWidth="1"/>
    <col min="10758" max="10758" width="5.5" style="153" customWidth="1"/>
    <col min="10759" max="10760" width="6.5" style="153" customWidth="1"/>
    <col min="10761" max="10761" width="6.75" style="153" customWidth="1"/>
    <col min="10762" max="10762" width="1.75" style="153" customWidth="1"/>
    <col min="10763" max="10763" width="5.5" style="153" customWidth="1"/>
    <col min="10764" max="10765" width="6.5" style="153" customWidth="1"/>
    <col min="10766" max="10766" width="6.75" style="153" customWidth="1"/>
    <col min="10767" max="10767" width="1.5" style="153" customWidth="1"/>
    <col min="10768" max="10768" width="5.5" style="153" customWidth="1"/>
    <col min="10769" max="10770" width="6.5" style="153" customWidth="1"/>
    <col min="10771" max="10771" width="6.25" style="153" customWidth="1"/>
    <col min="10772" max="10772" width="1.5" style="153" customWidth="1"/>
    <col min="10773" max="10773" width="5.5" style="153" customWidth="1"/>
    <col min="10774" max="10775" width="6.5" style="153" customWidth="1"/>
    <col min="10776" max="10776" width="6.25" style="153" customWidth="1"/>
    <col min="10777" max="10777" width="5" style="153" customWidth="1"/>
    <col min="10778" max="10778" width="6.75" style="153" customWidth="1"/>
    <col min="10779" max="10779" width="8" style="153" customWidth="1"/>
    <col min="10780" max="10780" width="7.75" style="153" customWidth="1"/>
    <col min="10781" max="10781" width="7.375" style="153" customWidth="1"/>
    <col min="10782" max="11008" width="9" style="153"/>
    <col min="11009" max="11009" width="5.5" style="153" customWidth="1"/>
    <col min="11010" max="11011" width="6.5" style="153" customWidth="1"/>
    <col min="11012" max="11012" width="6.25" style="153" customWidth="1"/>
    <col min="11013" max="11013" width="2" style="153" customWidth="1"/>
    <col min="11014" max="11014" width="5.5" style="153" customWidth="1"/>
    <col min="11015" max="11016" width="6.5" style="153" customWidth="1"/>
    <col min="11017" max="11017" width="6.75" style="153" customWidth="1"/>
    <col min="11018" max="11018" width="1.75" style="153" customWidth="1"/>
    <col min="11019" max="11019" width="5.5" style="153" customWidth="1"/>
    <col min="11020" max="11021" width="6.5" style="153" customWidth="1"/>
    <col min="11022" max="11022" width="6.75" style="153" customWidth="1"/>
    <col min="11023" max="11023" width="1.5" style="153" customWidth="1"/>
    <col min="11024" max="11024" width="5.5" style="153" customWidth="1"/>
    <col min="11025" max="11026" width="6.5" style="153" customWidth="1"/>
    <col min="11027" max="11027" width="6.25" style="153" customWidth="1"/>
    <col min="11028" max="11028" width="1.5" style="153" customWidth="1"/>
    <col min="11029" max="11029" width="5.5" style="153" customWidth="1"/>
    <col min="11030" max="11031" width="6.5" style="153" customWidth="1"/>
    <col min="11032" max="11032" width="6.25" style="153" customWidth="1"/>
    <col min="11033" max="11033" width="5" style="153" customWidth="1"/>
    <col min="11034" max="11034" width="6.75" style="153" customWidth="1"/>
    <col min="11035" max="11035" width="8" style="153" customWidth="1"/>
    <col min="11036" max="11036" width="7.75" style="153" customWidth="1"/>
    <col min="11037" max="11037" width="7.375" style="153" customWidth="1"/>
    <col min="11038" max="11264" width="9" style="153"/>
    <col min="11265" max="11265" width="5.5" style="153" customWidth="1"/>
    <col min="11266" max="11267" width="6.5" style="153" customWidth="1"/>
    <col min="11268" max="11268" width="6.25" style="153" customWidth="1"/>
    <col min="11269" max="11269" width="2" style="153" customWidth="1"/>
    <col min="11270" max="11270" width="5.5" style="153" customWidth="1"/>
    <col min="11271" max="11272" width="6.5" style="153" customWidth="1"/>
    <col min="11273" max="11273" width="6.75" style="153" customWidth="1"/>
    <col min="11274" max="11274" width="1.75" style="153" customWidth="1"/>
    <col min="11275" max="11275" width="5.5" style="153" customWidth="1"/>
    <col min="11276" max="11277" width="6.5" style="153" customWidth="1"/>
    <col min="11278" max="11278" width="6.75" style="153" customWidth="1"/>
    <col min="11279" max="11279" width="1.5" style="153" customWidth="1"/>
    <col min="11280" max="11280" width="5.5" style="153" customWidth="1"/>
    <col min="11281" max="11282" width="6.5" style="153" customWidth="1"/>
    <col min="11283" max="11283" width="6.25" style="153" customWidth="1"/>
    <col min="11284" max="11284" width="1.5" style="153" customWidth="1"/>
    <col min="11285" max="11285" width="5.5" style="153" customWidth="1"/>
    <col min="11286" max="11287" width="6.5" style="153" customWidth="1"/>
    <col min="11288" max="11288" width="6.25" style="153" customWidth="1"/>
    <col min="11289" max="11289" width="5" style="153" customWidth="1"/>
    <col min="11290" max="11290" width="6.75" style="153" customWidth="1"/>
    <col min="11291" max="11291" width="8" style="153" customWidth="1"/>
    <col min="11292" max="11292" width="7.75" style="153" customWidth="1"/>
    <col min="11293" max="11293" width="7.375" style="153" customWidth="1"/>
    <col min="11294" max="11520" width="9" style="153"/>
    <col min="11521" max="11521" width="5.5" style="153" customWidth="1"/>
    <col min="11522" max="11523" width="6.5" style="153" customWidth="1"/>
    <col min="11524" max="11524" width="6.25" style="153" customWidth="1"/>
    <col min="11525" max="11525" width="2" style="153" customWidth="1"/>
    <col min="11526" max="11526" width="5.5" style="153" customWidth="1"/>
    <col min="11527" max="11528" width="6.5" style="153" customWidth="1"/>
    <col min="11529" max="11529" width="6.75" style="153" customWidth="1"/>
    <col min="11530" max="11530" width="1.75" style="153" customWidth="1"/>
    <col min="11531" max="11531" width="5.5" style="153" customWidth="1"/>
    <col min="11532" max="11533" width="6.5" style="153" customWidth="1"/>
    <col min="11534" max="11534" width="6.75" style="153" customWidth="1"/>
    <col min="11535" max="11535" width="1.5" style="153" customWidth="1"/>
    <col min="11536" max="11536" width="5.5" style="153" customWidth="1"/>
    <col min="11537" max="11538" width="6.5" style="153" customWidth="1"/>
    <col min="11539" max="11539" width="6.25" style="153" customWidth="1"/>
    <col min="11540" max="11540" width="1.5" style="153" customWidth="1"/>
    <col min="11541" max="11541" width="5.5" style="153" customWidth="1"/>
    <col min="11542" max="11543" width="6.5" style="153" customWidth="1"/>
    <col min="11544" max="11544" width="6.25" style="153" customWidth="1"/>
    <col min="11545" max="11545" width="5" style="153" customWidth="1"/>
    <col min="11546" max="11546" width="6.75" style="153" customWidth="1"/>
    <col min="11547" max="11547" width="8" style="153" customWidth="1"/>
    <col min="11548" max="11548" width="7.75" style="153" customWidth="1"/>
    <col min="11549" max="11549" width="7.375" style="153" customWidth="1"/>
    <col min="11550" max="11776" width="9" style="153"/>
    <col min="11777" max="11777" width="5.5" style="153" customWidth="1"/>
    <col min="11778" max="11779" width="6.5" style="153" customWidth="1"/>
    <col min="11780" max="11780" width="6.25" style="153" customWidth="1"/>
    <col min="11781" max="11781" width="2" style="153" customWidth="1"/>
    <col min="11782" max="11782" width="5.5" style="153" customWidth="1"/>
    <col min="11783" max="11784" width="6.5" style="153" customWidth="1"/>
    <col min="11785" max="11785" width="6.75" style="153" customWidth="1"/>
    <col min="11786" max="11786" width="1.75" style="153" customWidth="1"/>
    <col min="11787" max="11787" width="5.5" style="153" customWidth="1"/>
    <col min="11788" max="11789" width="6.5" style="153" customWidth="1"/>
    <col min="11790" max="11790" width="6.75" style="153" customWidth="1"/>
    <col min="11791" max="11791" width="1.5" style="153" customWidth="1"/>
    <col min="11792" max="11792" width="5.5" style="153" customWidth="1"/>
    <col min="11793" max="11794" width="6.5" style="153" customWidth="1"/>
    <col min="11795" max="11795" width="6.25" style="153" customWidth="1"/>
    <col min="11796" max="11796" width="1.5" style="153" customWidth="1"/>
    <col min="11797" max="11797" width="5.5" style="153" customWidth="1"/>
    <col min="11798" max="11799" width="6.5" style="153" customWidth="1"/>
    <col min="11800" max="11800" width="6.25" style="153" customWidth="1"/>
    <col min="11801" max="11801" width="5" style="153" customWidth="1"/>
    <col min="11802" max="11802" width="6.75" style="153" customWidth="1"/>
    <col min="11803" max="11803" width="8" style="153" customWidth="1"/>
    <col min="11804" max="11804" width="7.75" style="153" customWidth="1"/>
    <col min="11805" max="11805" width="7.375" style="153" customWidth="1"/>
    <col min="11806" max="12032" width="9" style="153"/>
    <col min="12033" max="12033" width="5.5" style="153" customWidth="1"/>
    <col min="12034" max="12035" width="6.5" style="153" customWidth="1"/>
    <col min="12036" max="12036" width="6.25" style="153" customWidth="1"/>
    <col min="12037" max="12037" width="2" style="153" customWidth="1"/>
    <col min="12038" max="12038" width="5.5" style="153" customWidth="1"/>
    <col min="12039" max="12040" width="6.5" style="153" customWidth="1"/>
    <col min="12041" max="12041" width="6.75" style="153" customWidth="1"/>
    <col min="12042" max="12042" width="1.75" style="153" customWidth="1"/>
    <col min="12043" max="12043" width="5.5" style="153" customWidth="1"/>
    <col min="12044" max="12045" width="6.5" style="153" customWidth="1"/>
    <col min="12046" max="12046" width="6.75" style="153" customWidth="1"/>
    <col min="12047" max="12047" width="1.5" style="153" customWidth="1"/>
    <col min="12048" max="12048" width="5.5" style="153" customWidth="1"/>
    <col min="12049" max="12050" width="6.5" style="153" customWidth="1"/>
    <col min="12051" max="12051" width="6.25" style="153" customWidth="1"/>
    <col min="12052" max="12052" width="1.5" style="153" customWidth="1"/>
    <col min="12053" max="12053" width="5.5" style="153" customWidth="1"/>
    <col min="12054" max="12055" width="6.5" style="153" customWidth="1"/>
    <col min="12056" max="12056" width="6.25" style="153" customWidth="1"/>
    <col min="12057" max="12057" width="5" style="153" customWidth="1"/>
    <col min="12058" max="12058" width="6.75" style="153" customWidth="1"/>
    <col min="12059" max="12059" width="8" style="153" customWidth="1"/>
    <col min="12060" max="12060" width="7.75" style="153" customWidth="1"/>
    <col min="12061" max="12061" width="7.375" style="153" customWidth="1"/>
    <col min="12062" max="12288" width="9" style="153"/>
    <col min="12289" max="12289" width="5.5" style="153" customWidth="1"/>
    <col min="12290" max="12291" width="6.5" style="153" customWidth="1"/>
    <col min="12292" max="12292" width="6.25" style="153" customWidth="1"/>
    <col min="12293" max="12293" width="2" style="153" customWidth="1"/>
    <col min="12294" max="12294" width="5.5" style="153" customWidth="1"/>
    <col min="12295" max="12296" width="6.5" style="153" customWidth="1"/>
    <col min="12297" max="12297" width="6.75" style="153" customWidth="1"/>
    <col min="12298" max="12298" width="1.75" style="153" customWidth="1"/>
    <col min="12299" max="12299" width="5.5" style="153" customWidth="1"/>
    <col min="12300" max="12301" width="6.5" style="153" customWidth="1"/>
    <col min="12302" max="12302" width="6.75" style="153" customWidth="1"/>
    <col min="12303" max="12303" width="1.5" style="153" customWidth="1"/>
    <col min="12304" max="12304" width="5.5" style="153" customWidth="1"/>
    <col min="12305" max="12306" width="6.5" style="153" customWidth="1"/>
    <col min="12307" max="12307" width="6.25" style="153" customWidth="1"/>
    <col min="12308" max="12308" width="1.5" style="153" customWidth="1"/>
    <col min="12309" max="12309" width="5.5" style="153" customWidth="1"/>
    <col min="12310" max="12311" width="6.5" style="153" customWidth="1"/>
    <col min="12312" max="12312" width="6.25" style="153" customWidth="1"/>
    <col min="12313" max="12313" width="5" style="153" customWidth="1"/>
    <col min="12314" max="12314" width="6.75" style="153" customWidth="1"/>
    <col min="12315" max="12315" width="8" style="153" customWidth="1"/>
    <col min="12316" max="12316" width="7.75" style="153" customWidth="1"/>
    <col min="12317" max="12317" width="7.375" style="153" customWidth="1"/>
    <col min="12318" max="12544" width="9" style="153"/>
    <col min="12545" max="12545" width="5.5" style="153" customWidth="1"/>
    <col min="12546" max="12547" width="6.5" style="153" customWidth="1"/>
    <col min="12548" max="12548" width="6.25" style="153" customWidth="1"/>
    <col min="12549" max="12549" width="2" style="153" customWidth="1"/>
    <col min="12550" max="12550" width="5.5" style="153" customWidth="1"/>
    <col min="12551" max="12552" width="6.5" style="153" customWidth="1"/>
    <col min="12553" max="12553" width="6.75" style="153" customWidth="1"/>
    <col min="12554" max="12554" width="1.75" style="153" customWidth="1"/>
    <col min="12555" max="12555" width="5.5" style="153" customWidth="1"/>
    <col min="12556" max="12557" width="6.5" style="153" customWidth="1"/>
    <col min="12558" max="12558" width="6.75" style="153" customWidth="1"/>
    <col min="12559" max="12559" width="1.5" style="153" customWidth="1"/>
    <col min="12560" max="12560" width="5.5" style="153" customWidth="1"/>
    <col min="12561" max="12562" width="6.5" style="153" customWidth="1"/>
    <col min="12563" max="12563" width="6.25" style="153" customWidth="1"/>
    <col min="12564" max="12564" width="1.5" style="153" customWidth="1"/>
    <col min="12565" max="12565" width="5.5" style="153" customWidth="1"/>
    <col min="12566" max="12567" width="6.5" style="153" customWidth="1"/>
    <col min="12568" max="12568" width="6.25" style="153" customWidth="1"/>
    <col min="12569" max="12569" width="5" style="153" customWidth="1"/>
    <col min="12570" max="12570" width="6.75" style="153" customWidth="1"/>
    <col min="12571" max="12571" width="8" style="153" customWidth="1"/>
    <col min="12572" max="12572" width="7.75" style="153" customWidth="1"/>
    <col min="12573" max="12573" width="7.375" style="153" customWidth="1"/>
    <col min="12574" max="12800" width="9" style="153"/>
    <col min="12801" max="12801" width="5.5" style="153" customWidth="1"/>
    <col min="12802" max="12803" width="6.5" style="153" customWidth="1"/>
    <col min="12804" max="12804" width="6.25" style="153" customWidth="1"/>
    <col min="12805" max="12805" width="2" style="153" customWidth="1"/>
    <col min="12806" max="12806" width="5.5" style="153" customWidth="1"/>
    <col min="12807" max="12808" width="6.5" style="153" customWidth="1"/>
    <col min="12809" max="12809" width="6.75" style="153" customWidth="1"/>
    <col min="12810" max="12810" width="1.75" style="153" customWidth="1"/>
    <col min="12811" max="12811" width="5.5" style="153" customWidth="1"/>
    <col min="12812" max="12813" width="6.5" style="153" customWidth="1"/>
    <col min="12814" max="12814" width="6.75" style="153" customWidth="1"/>
    <col min="12815" max="12815" width="1.5" style="153" customWidth="1"/>
    <col min="12816" max="12816" width="5.5" style="153" customWidth="1"/>
    <col min="12817" max="12818" width="6.5" style="153" customWidth="1"/>
    <col min="12819" max="12819" width="6.25" style="153" customWidth="1"/>
    <col min="12820" max="12820" width="1.5" style="153" customWidth="1"/>
    <col min="12821" max="12821" width="5.5" style="153" customWidth="1"/>
    <col min="12822" max="12823" width="6.5" style="153" customWidth="1"/>
    <col min="12824" max="12824" width="6.25" style="153" customWidth="1"/>
    <col min="12825" max="12825" width="5" style="153" customWidth="1"/>
    <col min="12826" max="12826" width="6.75" style="153" customWidth="1"/>
    <col min="12827" max="12827" width="8" style="153" customWidth="1"/>
    <col min="12828" max="12828" width="7.75" style="153" customWidth="1"/>
    <col min="12829" max="12829" width="7.375" style="153" customWidth="1"/>
    <col min="12830" max="13056" width="9" style="153"/>
    <col min="13057" max="13057" width="5.5" style="153" customWidth="1"/>
    <col min="13058" max="13059" width="6.5" style="153" customWidth="1"/>
    <col min="13060" max="13060" width="6.25" style="153" customWidth="1"/>
    <col min="13061" max="13061" width="2" style="153" customWidth="1"/>
    <col min="13062" max="13062" width="5.5" style="153" customWidth="1"/>
    <col min="13063" max="13064" width="6.5" style="153" customWidth="1"/>
    <col min="13065" max="13065" width="6.75" style="153" customWidth="1"/>
    <col min="13066" max="13066" width="1.75" style="153" customWidth="1"/>
    <col min="13067" max="13067" width="5.5" style="153" customWidth="1"/>
    <col min="13068" max="13069" width="6.5" style="153" customWidth="1"/>
    <col min="13070" max="13070" width="6.75" style="153" customWidth="1"/>
    <col min="13071" max="13071" width="1.5" style="153" customWidth="1"/>
    <col min="13072" max="13072" width="5.5" style="153" customWidth="1"/>
    <col min="13073" max="13074" width="6.5" style="153" customWidth="1"/>
    <col min="13075" max="13075" width="6.25" style="153" customWidth="1"/>
    <col min="13076" max="13076" width="1.5" style="153" customWidth="1"/>
    <col min="13077" max="13077" width="5.5" style="153" customWidth="1"/>
    <col min="13078" max="13079" width="6.5" style="153" customWidth="1"/>
    <col min="13080" max="13080" width="6.25" style="153" customWidth="1"/>
    <col min="13081" max="13081" width="5" style="153" customWidth="1"/>
    <col min="13082" max="13082" width="6.75" style="153" customWidth="1"/>
    <col min="13083" max="13083" width="8" style="153" customWidth="1"/>
    <col min="13084" max="13084" width="7.75" style="153" customWidth="1"/>
    <col min="13085" max="13085" width="7.375" style="153" customWidth="1"/>
    <col min="13086" max="13312" width="9" style="153"/>
    <col min="13313" max="13313" width="5.5" style="153" customWidth="1"/>
    <col min="13314" max="13315" width="6.5" style="153" customWidth="1"/>
    <col min="13316" max="13316" width="6.25" style="153" customWidth="1"/>
    <col min="13317" max="13317" width="2" style="153" customWidth="1"/>
    <col min="13318" max="13318" width="5.5" style="153" customWidth="1"/>
    <col min="13319" max="13320" width="6.5" style="153" customWidth="1"/>
    <col min="13321" max="13321" width="6.75" style="153" customWidth="1"/>
    <col min="13322" max="13322" width="1.75" style="153" customWidth="1"/>
    <col min="13323" max="13323" width="5.5" style="153" customWidth="1"/>
    <col min="13324" max="13325" width="6.5" style="153" customWidth="1"/>
    <col min="13326" max="13326" width="6.75" style="153" customWidth="1"/>
    <col min="13327" max="13327" width="1.5" style="153" customWidth="1"/>
    <col min="13328" max="13328" width="5.5" style="153" customWidth="1"/>
    <col min="13329" max="13330" width="6.5" style="153" customWidth="1"/>
    <col min="13331" max="13331" width="6.25" style="153" customWidth="1"/>
    <col min="13332" max="13332" width="1.5" style="153" customWidth="1"/>
    <col min="13333" max="13333" width="5.5" style="153" customWidth="1"/>
    <col min="13334" max="13335" width="6.5" style="153" customWidth="1"/>
    <col min="13336" max="13336" width="6.25" style="153" customWidth="1"/>
    <col min="13337" max="13337" width="5" style="153" customWidth="1"/>
    <col min="13338" max="13338" width="6.75" style="153" customWidth="1"/>
    <col min="13339" max="13339" width="8" style="153" customWidth="1"/>
    <col min="13340" max="13340" width="7.75" style="153" customWidth="1"/>
    <col min="13341" max="13341" width="7.375" style="153" customWidth="1"/>
    <col min="13342" max="13568" width="9" style="153"/>
    <col min="13569" max="13569" width="5.5" style="153" customWidth="1"/>
    <col min="13570" max="13571" width="6.5" style="153" customWidth="1"/>
    <col min="13572" max="13572" width="6.25" style="153" customWidth="1"/>
    <col min="13573" max="13573" width="2" style="153" customWidth="1"/>
    <col min="13574" max="13574" width="5.5" style="153" customWidth="1"/>
    <col min="13575" max="13576" width="6.5" style="153" customWidth="1"/>
    <col min="13577" max="13577" width="6.75" style="153" customWidth="1"/>
    <col min="13578" max="13578" width="1.75" style="153" customWidth="1"/>
    <col min="13579" max="13579" width="5.5" style="153" customWidth="1"/>
    <col min="13580" max="13581" width="6.5" style="153" customWidth="1"/>
    <col min="13582" max="13582" width="6.75" style="153" customWidth="1"/>
    <col min="13583" max="13583" width="1.5" style="153" customWidth="1"/>
    <col min="13584" max="13584" width="5.5" style="153" customWidth="1"/>
    <col min="13585" max="13586" width="6.5" style="153" customWidth="1"/>
    <col min="13587" max="13587" width="6.25" style="153" customWidth="1"/>
    <col min="13588" max="13588" width="1.5" style="153" customWidth="1"/>
    <col min="13589" max="13589" width="5.5" style="153" customWidth="1"/>
    <col min="13590" max="13591" width="6.5" style="153" customWidth="1"/>
    <col min="13592" max="13592" width="6.25" style="153" customWidth="1"/>
    <col min="13593" max="13593" width="5" style="153" customWidth="1"/>
    <col min="13594" max="13594" width="6.75" style="153" customWidth="1"/>
    <col min="13595" max="13595" width="8" style="153" customWidth="1"/>
    <col min="13596" max="13596" width="7.75" style="153" customWidth="1"/>
    <col min="13597" max="13597" width="7.375" style="153" customWidth="1"/>
    <col min="13598" max="13824" width="9" style="153"/>
    <col min="13825" max="13825" width="5.5" style="153" customWidth="1"/>
    <col min="13826" max="13827" width="6.5" style="153" customWidth="1"/>
    <col min="13828" max="13828" width="6.25" style="153" customWidth="1"/>
    <col min="13829" max="13829" width="2" style="153" customWidth="1"/>
    <col min="13830" max="13830" width="5.5" style="153" customWidth="1"/>
    <col min="13831" max="13832" width="6.5" style="153" customWidth="1"/>
    <col min="13833" max="13833" width="6.75" style="153" customWidth="1"/>
    <col min="13834" max="13834" width="1.75" style="153" customWidth="1"/>
    <col min="13835" max="13835" width="5.5" style="153" customWidth="1"/>
    <col min="13836" max="13837" width="6.5" style="153" customWidth="1"/>
    <col min="13838" max="13838" width="6.75" style="153" customWidth="1"/>
    <col min="13839" max="13839" width="1.5" style="153" customWidth="1"/>
    <col min="13840" max="13840" width="5.5" style="153" customWidth="1"/>
    <col min="13841" max="13842" width="6.5" style="153" customWidth="1"/>
    <col min="13843" max="13843" width="6.25" style="153" customWidth="1"/>
    <col min="13844" max="13844" width="1.5" style="153" customWidth="1"/>
    <col min="13845" max="13845" width="5.5" style="153" customWidth="1"/>
    <col min="13846" max="13847" width="6.5" style="153" customWidth="1"/>
    <col min="13848" max="13848" width="6.25" style="153" customWidth="1"/>
    <col min="13849" max="13849" width="5" style="153" customWidth="1"/>
    <col min="13850" max="13850" width="6.75" style="153" customWidth="1"/>
    <col min="13851" max="13851" width="8" style="153" customWidth="1"/>
    <col min="13852" max="13852" width="7.75" style="153" customWidth="1"/>
    <col min="13853" max="13853" width="7.375" style="153" customWidth="1"/>
    <col min="13854" max="14080" width="9" style="153"/>
    <col min="14081" max="14081" width="5.5" style="153" customWidth="1"/>
    <col min="14082" max="14083" width="6.5" style="153" customWidth="1"/>
    <col min="14084" max="14084" width="6.25" style="153" customWidth="1"/>
    <col min="14085" max="14085" width="2" style="153" customWidth="1"/>
    <col min="14086" max="14086" width="5.5" style="153" customWidth="1"/>
    <col min="14087" max="14088" width="6.5" style="153" customWidth="1"/>
    <col min="14089" max="14089" width="6.75" style="153" customWidth="1"/>
    <col min="14090" max="14090" width="1.75" style="153" customWidth="1"/>
    <col min="14091" max="14091" width="5.5" style="153" customWidth="1"/>
    <col min="14092" max="14093" width="6.5" style="153" customWidth="1"/>
    <col min="14094" max="14094" width="6.75" style="153" customWidth="1"/>
    <col min="14095" max="14095" width="1.5" style="153" customWidth="1"/>
    <col min="14096" max="14096" width="5.5" style="153" customWidth="1"/>
    <col min="14097" max="14098" width="6.5" style="153" customWidth="1"/>
    <col min="14099" max="14099" width="6.25" style="153" customWidth="1"/>
    <col min="14100" max="14100" width="1.5" style="153" customWidth="1"/>
    <col min="14101" max="14101" width="5.5" style="153" customWidth="1"/>
    <col min="14102" max="14103" width="6.5" style="153" customWidth="1"/>
    <col min="14104" max="14104" width="6.25" style="153" customWidth="1"/>
    <col min="14105" max="14105" width="5" style="153" customWidth="1"/>
    <col min="14106" max="14106" width="6.75" style="153" customWidth="1"/>
    <col min="14107" max="14107" width="8" style="153" customWidth="1"/>
    <col min="14108" max="14108" width="7.75" style="153" customWidth="1"/>
    <col min="14109" max="14109" width="7.375" style="153" customWidth="1"/>
    <col min="14110" max="14336" width="9" style="153"/>
    <col min="14337" max="14337" width="5.5" style="153" customWidth="1"/>
    <col min="14338" max="14339" width="6.5" style="153" customWidth="1"/>
    <col min="14340" max="14340" width="6.25" style="153" customWidth="1"/>
    <col min="14341" max="14341" width="2" style="153" customWidth="1"/>
    <col min="14342" max="14342" width="5.5" style="153" customWidth="1"/>
    <col min="14343" max="14344" width="6.5" style="153" customWidth="1"/>
    <col min="14345" max="14345" width="6.75" style="153" customWidth="1"/>
    <col min="14346" max="14346" width="1.75" style="153" customWidth="1"/>
    <col min="14347" max="14347" width="5.5" style="153" customWidth="1"/>
    <col min="14348" max="14349" width="6.5" style="153" customWidth="1"/>
    <col min="14350" max="14350" width="6.75" style="153" customWidth="1"/>
    <col min="14351" max="14351" width="1.5" style="153" customWidth="1"/>
    <col min="14352" max="14352" width="5.5" style="153" customWidth="1"/>
    <col min="14353" max="14354" width="6.5" style="153" customWidth="1"/>
    <col min="14355" max="14355" width="6.25" style="153" customWidth="1"/>
    <col min="14356" max="14356" width="1.5" style="153" customWidth="1"/>
    <col min="14357" max="14357" width="5.5" style="153" customWidth="1"/>
    <col min="14358" max="14359" width="6.5" style="153" customWidth="1"/>
    <col min="14360" max="14360" width="6.25" style="153" customWidth="1"/>
    <col min="14361" max="14361" width="5" style="153" customWidth="1"/>
    <col min="14362" max="14362" width="6.75" style="153" customWidth="1"/>
    <col min="14363" max="14363" width="8" style="153" customWidth="1"/>
    <col min="14364" max="14364" width="7.75" style="153" customWidth="1"/>
    <col min="14365" max="14365" width="7.375" style="153" customWidth="1"/>
    <col min="14366" max="14592" width="9" style="153"/>
    <col min="14593" max="14593" width="5.5" style="153" customWidth="1"/>
    <col min="14594" max="14595" width="6.5" style="153" customWidth="1"/>
    <col min="14596" max="14596" width="6.25" style="153" customWidth="1"/>
    <col min="14597" max="14597" width="2" style="153" customWidth="1"/>
    <col min="14598" max="14598" width="5.5" style="153" customWidth="1"/>
    <col min="14599" max="14600" width="6.5" style="153" customWidth="1"/>
    <col min="14601" max="14601" width="6.75" style="153" customWidth="1"/>
    <col min="14602" max="14602" width="1.75" style="153" customWidth="1"/>
    <col min="14603" max="14603" width="5.5" style="153" customWidth="1"/>
    <col min="14604" max="14605" width="6.5" style="153" customWidth="1"/>
    <col min="14606" max="14606" width="6.75" style="153" customWidth="1"/>
    <col min="14607" max="14607" width="1.5" style="153" customWidth="1"/>
    <col min="14608" max="14608" width="5.5" style="153" customWidth="1"/>
    <col min="14609" max="14610" width="6.5" style="153" customWidth="1"/>
    <col min="14611" max="14611" width="6.25" style="153" customWidth="1"/>
    <col min="14612" max="14612" width="1.5" style="153" customWidth="1"/>
    <col min="14613" max="14613" width="5.5" style="153" customWidth="1"/>
    <col min="14614" max="14615" width="6.5" style="153" customWidth="1"/>
    <col min="14616" max="14616" width="6.25" style="153" customWidth="1"/>
    <col min="14617" max="14617" width="5" style="153" customWidth="1"/>
    <col min="14618" max="14618" width="6.75" style="153" customWidth="1"/>
    <col min="14619" max="14619" width="8" style="153" customWidth="1"/>
    <col min="14620" max="14620" width="7.75" style="153" customWidth="1"/>
    <col min="14621" max="14621" width="7.375" style="153" customWidth="1"/>
    <col min="14622" max="14848" width="9" style="153"/>
    <col min="14849" max="14849" width="5.5" style="153" customWidth="1"/>
    <col min="14850" max="14851" width="6.5" style="153" customWidth="1"/>
    <col min="14852" max="14852" width="6.25" style="153" customWidth="1"/>
    <col min="14853" max="14853" width="2" style="153" customWidth="1"/>
    <col min="14854" max="14854" width="5.5" style="153" customWidth="1"/>
    <col min="14855" max="14856" width="6.5" style="153" customWidth="1"/>
    <col min="14857" max="14857" width="6.75" style="153" customWidth="1"/>
    <col min="14858" max="14858" width="1.75" style="153" customWidth="1"/>
    <col min="14859" max="14859" width="5.5" style="153" customWidth="1"/>
    <col min="14860" max="14861" width="6.5" style="153" customWidth="1"/>
    <col min="14862" max="14862" width="6.75" style="153" customWidth="1"/>
    <col min="14863" max="14863" width="1.5" style="153" customWidth="1"/>
    <col min="14864" max="14864" width="5.5" style="153" customWidth="1"/>
    <col min="14865" max="14866" width="6.5" style="153" customWidth="1"/>
    <col min="14867" max="14867" width="6.25" style="153" customWidth="1"/>
    <col min="14868" max="14868" width="1.5" style="153" customWidth="1"/>
    <col min="14869" max="14869" width="5.5" style="153" customWidth="1"/>
    <col min="14870" max="14871" width="6.5" style="153" customWidth="1"/>
    <col min="14872" max="14872" width="6.25" style="153" customWidth="1"/>
    <col min="14873" max="14873" width="5" style="153" customWidth="1"/>
    <col min="14874" max="14874" width="6.75" style="153" customWidth="1"/>
    <col min="14875" max="14875" width="8" style="153" customWidth="1"/>
    <col min="14876" max="14876" width="7.75" style="153" customWidth="1"/>
    <col min="14877" max="14877" width="7.375" style="153" customWidth="1"/>
    <col min="14878" max="15104" width="9" style="153"/>
    <col min="15105" max="15105" width="5.5" style="153" customWidth="1"/>
    <col min="15106" max="15107" width="6.5" style="153" customWidth="1"/>
    <col min="15108" max="15108" width="6.25" style="153" customWidth="1"/>
    <col min="15109" max="15109" width="2" style="153" customWidth="1"/>
    <col min="15110" max="15110" width="5.5" style="153" customWidth="1"/>
    <col min="15111" max="15112" width="6.5" style="153" customWidth="1"/>
    <col min="15113" max="15113" width="6.75" style="153" customWidth="1"/>
    <col min="15114" max="15114" width="1.75" style="153" customWidth="1"/>
    <col min="15115" max="15115" width="5.5" style="153" customWidth="1"/>
    <col min="15116" max="15117" width="6.5" style="153" customWidth="1"/>
    <col min="15118" max="15118" width="6.75" style="153" customWidth="1"/>
    <col min="15119" max="15119" width="1.5" style="153" customWidth="1"/>
    <col min="15120" max="15120" width="5.5" style="153" customWidth="1"/>
    <col min="15121" max="15122" width="6.5" style="153" customWidth="1"/>
    <col min="15123" max="15123" width="6.25" style="153" customWidth="1"/>
    <col min="15124" max="15124" width="1.5" style="153" customWidth="1"/>
    <col min="15125" max="15125" width="5.5" style="153" customWidth="1"/>
    <col min="15126" max="15127" width="6.5" style="153" customWidth="1"/>
    <col min="15128" max="15128" width="6.25" style="153" customWidth="1"/>
    <col min="15129" max="15129" width="5" style="153" customWidth="1"/>
    <col min="15130" max="15130" width="6.75" style="153" customWidth="1"/>
    <col min="15131" max="15131" width="8" style="153" customWidth="1"/>
    <col min="15132" max="15132" width="7.75" style="153" customWidth="1"/>
    <col min="15133" max="15133" width="7.375" style="153" customWidth="1"/>
    <col min="15134" max="15360" width="9" style="153"/>
    <col min="15361" max="15361" width="5.5" style="153" customWidth="1"/>
    <col min="15362" max="15363" width="6.5" style="153" customWidth="1"/>
    <col min="15364" max="15364" width="6.25" style="153" customWidth="1"/>
    <col min="15365" max="15365" width="2" style="153" customWidth="1"/>
    <col min="15366" max="15366" width="5.5" style="153" customWidth="1"/>
    <col min="15367" max="15368" width="6.5" style="153" customWidth="1"/>
    <col min="15369" max="15369" width="6.75" style="153" customWidth="1"/>
    <col min="15370" max="15370" width="1.75" style="153" customWidth="1"/>
    <col min="15371" max="15371" width="5.5" style="153" customWidth="1"/>
    <col min="15372" max="15373" width="6.5" style="153" customWidth="1"/>
    <col min="15374" max="15374" width="6.75" style="153" customWidth="1"/>
    <col min="15375" max="15375" width="1.5" style="153" customWidth="1"/>
    <col min="15376" max="15376" width="5.5" style="153" customWidth="1"/>
    <col min="15377" max="15378" width="6.5" style="153" customWidth="1"/>
    <col min="15379" max="15379" width="6.25" style="153" customWidth="1"/>
    <col min="15380" max="15380" width="1.5" style="153" customWidth="1"/>
    <col min="15381" max="15381" width="5.5" style="153" customWidth="1"/>
    <col min="15382" max="15383" width="6.5" style="153" customWidth="1"/>
    <col min="15384" max="15384" width="6.25" style="153" customWidth="1"/>
    <col min="15385" max="15385" width="5" style="153" customWidth="1"/>
    <col min="15386" max="15386" width="6.75" style="153" customWidth="1"/>
    <col min="15387" max="15387" width="8" style="153" customWidth="1"/>
    <col min="15388" max="15388" width="7.75" style="153" customWidth="1"/>
    <col min="15389" max="15389" width="7.375" style="153" customWidth="1"/>
    <col min="15390" max="15616" width="9" style="153"/>
    <col min="15617" max="15617" width="5.5" style="153" customWidth="1"/>
    <col min="15618" max="15619" width="6.5" style="153" customWidth="1"/>
    <col min="15620" max="15620" width="6.25" style="153" customWidth="1"/>
    <col min="15621" max="15621" width="2" style="153" customWidth="1"/>
    <col min="15622" max="15622" width="5.5" style="153" customWidth="1"/>
    <col min="15623" max="15624" width="6.5" style="153" customWidth="1"/>
    <col min="15625" max="15625" width="6.75" style="153" customWidth="1"/>
    <col min="15626" max="15626" width="1.75" style="153" customWidth="1"/>
    <col min="15627" max="15627" width="5.5" style="153" customWidth="1"/>
    <col min="15628" max="15629" width="6.5" style="153" customWidth="1"/>
    <col min="15630" max="15630" width="6.75" style="153" customWidth="1"/>
    <col min="15631" max="15631" width="1.5" style="153" customWidth="1"/>
    <col min="15632" max="15632" width="5.5" style="153" customWidth="1"/>
    <col min="15633" max="15634" width="6.5" style="153" customWidth="1"/>
    <col min="15635" max="15635" width="6.25" style="153" customWidth="1"/>
    <col min="15636" max="15636" width="1.5" style="153" customWidth="1"/>
    <col min="15637" max="15637" width="5.5" style="153" customWidth="1"/>
    <col min="15638" max="15639" width="6.5" style="153" customWidth="1"/>
    <col min="15640" max="15640" width="6.25" style="153" customWidth="1"/>
    <col min="15641" max="15641" width="5" style="153" customWidth="1"/>
    <col min="15642" max="15642" width="6.75" style="153" customWidth="1"/>
    <col min="15643" max="15643" width="8" style="153" customWidth="1"/>
    <col min="15644" max="15644" width="7.75" style="153" customWidth="1"/>
    <col min="15645" max="15645" width="7.375" style="153" customWidth="1"/>
    <col min="15646" max="15872" width="9" style="153"/>
    <col min="15873" max="15873" width="5.5" style="153" customWidth="1"/>
    <col min="15874" max="15875" width="6.5" style="153" customWidth="1"/>
    <col min="15876" max="15876" width="6.25" style="153" customWidth="1"/>
    <col min="15877" max="15877" width="2" style="153" customWidth="1"/>
    <col min="15878" max="15878" width="5.5" style="153" customWidth="1"/>
    <col min="15879" max="15880" width="6.5" style="153" customWidth="1"/>
    <col min="15881" max="15881" width="6.75" style="153" customWidth="1"/>
    <col min="15882" max="15882" width="1.75" style="153" customWidth="1"/>
    <col min="15883" max="15883" width="5.5" style="153" customWidth="1"/>
    <col min="15884" max="15885" width="6.5" style="153" customWidth="1"/>
    <col min="15886" max="15886" width="6.75" style="153" customWidth="1"/>
    <col min="15887" max="15887" width="1.5" style="153" customWidth="1"/>
    <col min="15888" max="15888" width="5.5" style="153" customWidth="1"/>
    <col min="15889" max="15890" width="6.5" style="153" customWidth="1"/>
    <col min="15891" max="15891" width="6.25" style="153" customWidth="1"/>
    <col min="15892" max="15892" width="1.5" style="153" customWidth="1"/>
    <col min="15893" max="15893" width="5.5" style="153" customWidth="1"/>
    <col min="15894" max="15895" width="6.5" style="153" customWidth="1"/>
    <col min="15896" max="15896" width="6.25" style="153" customWidth="1"/>
    <col min="15897" max="15897" width="5" style="153" customWidth="1"/>
    <col min="15898" max="15898" width="6.75" style="153" customWidth="1"/>
    <col min="15899" max="15899" width="8" style="153" customWidth="1"/>
    <col min="15900" max="15900" width="7.75" style="153" customWidth="1"/>
    <col min="15901" max="15901" width="7.375" style="153" customWidth="1"/>
    <col min="15902" max="16128" width="9" style="153"/>
    <col min="16129" max="16129" width="5.5" style="153" customWidth="1"/>
    <col min="16130" max="16131" width="6.5" style="153" customWidth="1"/>
    <col min="16132" max="16132" width="6.25" style="153" customWidth="1"/>
    <col min="16133" max="16133" width="2" style="153" customWidth="1"/>
    <col min="16134" max="16134" width="5.5" style="153" customWidth="1"/>
    <col min="16135" max="16136" width="6.5" style="153" customWidth="1"/>
    <col min="16137" max="16137" width="6.75" style="153" customWidth="1"/>
    <col min="16138" max="16138" width="1.75" style="153" customWidth="1"/>
    <col min="16139" max="16139" width="5.5" style="153" customWidth="1"/>
    <col min="16140" max="16141" width="6.5" style="153" customWidth="1"/>
    <col min="16142" max="16142" width="6.75" style="153" customWidth="1"/>
    <col min="16143" max="16143" width="1.5" style="153" customWidth="1"/>
    <col min="16144" max="16144" width="5.5" style="153" customWidth="1"/>
    <col min="16145" max="16146" width="6.5" style="153" customWidth="1"/>
    <col min="16147" max="16147" width="6.25" style="153" customWidth="1"/>
    <col min="16148" max="16148" width="1.5" style="153" customWidth="1"/>
    <col min="16149" max="16149" width="5.5" style="153" customWidth="1"/>
    <col min="16150" max="16151" width="6.5" style="153" customWidth="1"/>
    <col min="16152" max="16152" width="6.25" style="153" customWidth="1"/>
    <col min="16153" max="16153" width="5" style="153" customWidth="1"/>
    <col min="16154" max="16154" width="6.75" style="153" customWidth="1"/>
    <col min="16155" max="16155" width="8" style="153" customWidth="1"/>
    <col min="16156" max="16156" width="7.75" style="153" customWidth="1"/>
    <col min="16157" max="16157" width="7.375" style="153" customWidth="1"/>
    <col min="16158" max="16384" width="9" style="153"/>
  </cols>
  <sheetData>
    <row r="1" spans="1:30" ht="24" customHeight="1" thickBot="1" x14ac:dyDescent="0.2">
      <c r="A1" s="151" t="s">
        <v>427</v>
      </c>
      <c r="B1" s="151"/>
      <c r="C1" s="651">
        <f>工事カード!C7</f>
        <v>0</v>
      </c>
      <c r="D1" s="651"/>
      <c r="E1" s="651"/>
      <c r="F1" s="651"/>
      <c r="G1" s="651"/>
      <c r="H1" s="651">
        <f>工事カード!C9</f>
        <v>0</v>
      </c>
      <c r="I1" s="652"/>
      <c r="J1" s="59"/>
      <c r="K1" s="59"/>
      <c r="L1" s="151" t="s">
        <v>428</v>
      </c>
      <c r="M1" s="152"/>
      <c r="N1" s="653">
        <f ca="1">TODAY()</f>
        <v>46326</v>
      </c>
      <c r="O1" s="653"/>
      <c r="P1" s="654"/>
    </row>
    <row r="2" spans="1:30" ht="12.2" customHeight="1" thickBot="1" x14ac:dyDescent="0.2"/>
    <row r="3" spans="1:30" ht="21.2" customHeight="1" thickBot="1" x14ac:dyDescent="0.2">
      <c r="A3" s="703" t="s">
        <v>455</v>
      </c>
      <c r="B3" s="704"/>
      <c r="C3" s="704"/>
      <c r="D3" s="705"/>
    </row>
    <row r="4" spans="1:30" ht="12.2" customHeight="1" thickBot="1" x14ac:dyDescent="0.2">
      <c r="B4" s="153" t="s">
        <v>12</v>
      </c>
      <c r="D4" s="153" t="s">
        <v>12</v>
      </c>
      <c r="Z4" s="667" t="s">
        <v>429</v>
      </c>
      <c r="AA4" s="667"/>
    </row>
    <row r="5" spans="1:30" ht="15" customHeight="1" x14ac:dyDescent="0.15">
      <c r="A5" s="156" t="s">
        <v>430</v>
      </c>
      <c r="B5" s="157" t="s">
        <v>431</v>
      </c>
      <c r="C5" s="157" t="s">
        <v>34</v>
      </c>
      <c r="D5" s="158" t="s">
        <v>432</v>
      </c>
      <c r="E5" s="159"/>
      <c r="F5" s="156" t="s">
        <v>456</v>
      </c>
      <c r="G5" s="157" t="s">
        <v>431</v>
      </c>
      <c r="H5" s="157" t="s">
        <v>34</v>
      </c>
      <c r="I5" s="158" t="s">
        <v>432</v>
      </c>
      <c r="J5" s="159"/>
      <c r="K5" s="156" t="s">
        <v>457</v>
      </c>
      <c r="L5" s="157" t="s">
        <v>431</v>
      </c>
      <c r="M5" s="157" t="s">
        <v>34</v>
      </c>
      <c r="N5" s="158" t="s">
        <v>432</v>
      </c>
      <c r="O5" s="159"/>
      <c r="P5" s="156" t="s">
        <v>458</v>
      </c>
      <c r="Q5" s="157" t="s">
        <v>431</v>
      </c>
      <c r="R5" s="157" t="s">
        <v>34</v>
      </c>
      <c r="S5" s="158" t="s">
        <v>432</v>
      </c>
      <c r="T5" s="159"/>
      <c r="U5" s="156"/>
      <c r="V5" s="157" t="s">
        <v>431</v>
      </c>
      <c r="W5" s="157" t="s">
        <v>34</v>
      </c>
      <c r="X5" s="158" t="s">
        <v>432</v>
      </c>
      <c r="Y5" s="159"/>
      <c r="Z5" s="160" t="s">
        <v>12</v>
      </c>
      <c r="AA5" s="160"/>
      <c r="AB5" s="160"/>
    </row>
    <row r="6" spans="1:30" ht="15" customHeight="1" x14ac:dyDescent="0.15">
      <c r="A6" s="161" t="s">
        <v>459</v>
      </c>
      <c r="B6" s="162"/>
      <c r="C6" s="162"/>
      <c r="D6" s="163">
        <f t="shared" ref="D6:D11" si="0">SUM(B6*C6)</f>
        <v>0</v>
      </c>
      <c r="E6" s="159"/>
      <c r="F6" s="164" t="s">
        <v>459</v>
      </c>
      <c r="G6" s="162"/>
      <c r="H6" s="162"/>
      <c r="I6" s="163">
        <f t="shared" ref="I6:I11" si="1">SUM(G6*H6)</f>
        <v>0</v>
      </c>
      <c r="J6" s="159"/>
      <c r="K6" s="165" t="s">
        <v>459</v>
      </c>
      <c r="L6" s="162"/>
      <c r="M6" s="162"/>
      <c r="N6" s="163">
        <f t="shared" ref="N6:N11" si="2">SUM(L6*M6)</f>
        <v>0</v>
      </c>
      <c r="O6" s="159"/>
      <c r="P6" s="166" t="s">
        <v>459</v>
      </c>
      <c r="Q6" s="162"/>
      <c r="R6" s="162"/>
      <c r="S6" s="163">
        <f t="shared" ref="S6:S11" si="3">SUM(Q6*R6)</f>
        <v>0</v>
      </c>
      <c r="T6" s="159"/>
      <c r="U6" s="166" t="s">
        <v>459</v>
      </c>
      <c r="V6" s="162"/>
      <c r="W6" s="162"/>
      <c r="X6" s="163">
        <f t="shared" ref="X6:X11" si="4">SUM(V6*W6)</f>
        <v>0</v>
      </c>
      <c r="Y6" s="159"/>
      <c r="Z6" s="702" t="s">
        <v>438</v>
      </c>
      <c r="AA6" s="702"/>
      <c r="AB6" s="160"/>
    </row>
    <row r="7" spans="1:30" ht="15" customHeight="1" x14ac:dyDescent="0.15">
      <c r="A7" s="161" t="s">
        <v>459</v>
      </c>
      <c r="B7" s="162"/>
      <c r="C7" s="162"/>
      <c r="D7" s="163">
        <f t="shared" si="0"/>
        <v>0</v>
      </c>
      <c r="E7" s="159"/>
      <c r="F7" s="164" t="s">
        <v>459</v>
      </c>
      <c r="G7" s="162"/>
      <c r="H7" s="162"/>
      <c r="I7" s="163">
        <f t="shared" si="1"/>
        <v>0</v>
      </c>
      <c r="J7" s="159"/>
      <c r="K7" s="165" t="s">
        <v>459</v>
      </c>
      <c r="L7" s="162"/>
      <c r="M7" s="162"/>
      <c r="N7" s="163">
        <f t="shared" si="2"/>
        <v>0</v>
      </c>
      <c r="O7" s="159"/>
      <c r="P7" s="166" t="s">
        <v>459</v>
      </c>
      <c r="Q7" s="162"/>
      <c r="R7" s="162"/>
      <c r="S7" s="163">
        <f t="shared" si="3"/>
        <v>0</v>
      </c>
      <c r="T7" s="159"/>
      <c r="U7" s="166" t="s">
        <v>459</v>
      </c>
      <c r="V7" s="162"/>
      <c r="W7" s="162"/>
      <c r="X7" s="163">
        <f t="shared" si="4"/>
        <v>0</v>
      </c>
      <c r="Y7" s="159"/>
      <c r="Z7" s="160"/>
      <c r="AA7" s="160"/>
      <c r="AB7" s="160"/>
    </row>
    <row r="8" spans="1:30" ht="15" customHeight="1" x14ac:dyDescent="0.15">
      <c r="A8" s="161" t="s">
        <v>459</v>
      </c>
      <c r="B8" s="162"/>
      <c r="C8" s="162"/>
      <c r="D8" s="163">
        <f t="shared" si="0"/>
        <v>0</v>
      </c>
      <c r="E8" s="159"/>
      <c r="F8" s="164" t="s">
        <v>459</v>
      </c>
      <c r="G8" s="162"/>
      <c r="H8" s="162"/>
      <c r="I8" s="163">
        <f t="shared" si="1"/>
        <v>0</v>
      </c>
      <c r="J8" s="159"/>
      <c r="K8" s="165" t="s">
        <v>459</v>
      </c>
      <c r="L8" s="162"/>
      <c r="M8" s="162"/>
      <c r="N8" s="163">
        <f t="shared" si="2"/>
        <v>0</v>
      </c>
      <c r="O8" s="159"/>
      <c r="P8" s="166" t="s">
        <v>459</v>
      </c>
      <c r="Q8" s="162"/>
      <c r="R8" s="162"/>
      <c r="S8" s="163">
        <f t="shared" si="3"/>
        <v>0</v>
      </c>
      <c r="T8" s="159"/>
      <c r="U8" s="166" t="s">
        <v>459</v>
      </c>
      <c r="V8" s="162"/>
      <c r="W8" s="162"/>
      <c r="X8" s="163">
        <f t="shared" si="4"/>
        <v>0</v>
      </c>
      <c r="Y8" s="159"/>
      <c r="Z8" s="702" t="s">
        <v>439</v>
      </c>
      <c r="AA8" s="702"/>
      <c r="AB8" s="160"/>
    </row>
    <row r="9" spans="1:30" ht="15" customHeight="1" x14ac:dyDescent="0.15">
      <c r="A9" s="161" t="s">
        <v>459</v>
      </c>
      <c r="B9" s="162"/>
      <c r="C9" s="162"/>
      <c r="D9" s="163">
        <f t="shared" si="0"/>
        <v>0</v>
      </c>
      <c r="E9" s="159"/>
      <c r="F9" s="164" t="s">
        <v>459</v>
      </c>
      <c r="G9" s="162"/>
      <c r="H9" s="162"/>
      <c r="I9" s="163">
        <f t="shared" si="1"/>
        <v>0</v>
      </c>
      <c r="J9" s="159"/>
      <c r="K9" s="165" t="s">
        <v>459</v>
      </c>
      <c r="L9" s="162"/>
      <c r="M9" s="162"/>
      <c r="N9" s="163">
        <f t="shared" si="2"/>
        <v>0</v>
      </c>
      <c r="O9" s="159"/>
      <c r="P9" s="166" t="s">
        <v>459</v>
      </c>
      <c r="Q9" s="162"/>
      <c r="R9" s="162"/>
      <c r="S9" s="163">
        <f t="shared" si="3"/>
        <v>0</v>
      </c>
      <c r="T9" s="159"/>
      <c r="U9" s="166" t="s">
        <v>459</v>
      </c>
      <c r="V9" s="162"/>
      <c r="W9" s="162"/>
      <c r="X9" s="163">
        <f t="shared" si="4"/>
        <v>0</v>
      </c>
      <c r="Y9" s="159"/>
      <c r="Z9" s="160"/>
      <c r="AA9" s="160"/>
      <c r="AB9" s="160"/>
    </row>
    <row r="10" spans="1:30" ht="15" customHeight="1" x14ac:dyDescent="0.15">
      <c r="A10" s="161" t="s">
        <v>459</v>
      </c>
      <c r="B10" s="162"/>
      <c r="C10" s="162"/>
      <c r="D10" s="163">
        <f t="shared" si="0"/>
        <v>0</v>
      </c>
      <c r="E10" s="159"/>
      <c r="F10" s="164" t="s">
        <v>459</v>
      </c>
      <c r="G10" s="162"/>
      <c r="H10" s="162"/>
      <c r="I10" s="163">
        <f t="shared" si="1"/>
        <v>0</v>
      </c>
      <c r="J10" s="159"/>
      <c r="K10" s="165" t="s">
        <v>459</v>
      </c>
      <c r="L10" s="162"/>
      <c r="M10" s="162"/>
      <c r="N10" s="163">
        <f t="shared" si="2"/>
        <v>0</v>
      </c>
      <c r="O10" s="159"/>
      <c r="P10" s="166" t="s">
        <v>459</v>
      </c>
      <c r="Q10" s="162"/>
      <c r="R10" s="162"/>
      <c r="S10" s="163">
        <f t="shared" si="3"/>
        <v>0</v>
      </c>
      <c r="T10" s="159"/>
      <c r="U10" s="166" t="s">
        <v>459</v>
      </c>
      <c r="V10" s="162"/>
      <c r="W10" s="162"/>
      <c r="X10" s="163">
        <f t="shared" si="4"/>
        <v>0</v>
      </c>
      <c r="Y10" s="159"/>
      <c r="Z10" s="160"/>
      <c r="AA10" s="160"/>
      <c r="AB10" s="160"/>
      <c r="AC10" s="706" t="s">
        <v>460</v>
      </c>
      <c r="AD10" s="706"/>
    </row>
    <row r="11" spans="1:30" ht="15" customHeight="1" thickBot="1" x14ac:dyDescent="0.2">
      <c r="A11" s="161" t="s">
        <v>459</v>
      </c>
      <c r="B11" s="167"/>
      <c r="C11" s="167"/>
      <c r="D11" s="168">
        <f t="shared" si="0"/>
        <v>0</v>
      </c>
      <c r="E11" s="159"/>
      <c r="F11" s="164" t="s">
        <v>459</v>
      </c>
      <c r="G11" s="167"/>
      <c r="H11" s="167"/>
      <c r="I11" s="168">
        <f t="shared" si="1"/>
        <v>0</v>
      </c>
      <c r="J11" s="159"/>
      <c r="K11" s="165" t="s">
        <v>459</v>
      </c>
      <c r="L11" s="167"/>
      <c r="M11" s="167"/>
      <c r="N11" s="168">
        <f t="shared" si="2"/>
        <v>0</v>
      </c>
      <c r="O11" s="159"/>
      <c r="P11" s="166" t="s">
        <v>459</v>
      </c>
      <c r="Q11" s="167"/>
      <c r="R11" s="167"/>
      <c r="S11" s="168">
        <f t="shared" si="3"/>
        <v>0</v>
      </c>
      <c r="T11" s="159"/>
      <c r="U11" s="166" t="s">
        <v>459</v>
      </c>
      <c r="V11" s="167"/>
      <c r="W11" s="167"/>
      <c r="X11" s="168">
        <f t="shared" si="4"/>
        <v>0</v>
      </c>
      <c r="Y11" s="159"/>
      <c r="Z11" s="160"/>
      <c r="AA11" s="160"/>
      <c r="AB11" s="160"/>
      <c r="AC11" s="707"/>
      <c r="AD11" s="707"/>
    </row>
    <row r="12" spans="1:30" ht="15" customHeight="1" thickBot="1" x14ac:dyDescent="0.2">
      <c r="A12" s="159"/>
      <c r="B12" s="159"/>
      <c r="C12" s="169" t="s">
        <v>432</v>
      </c>
      <c r="D12" s="170">
        <f>SUM(D6:D11)</f>
        <v>0</v>
      </c>
      <c r="E12" s="159"/>
      <c r="F12" s="159"/>
      <c r="G12" s="159"/>
      <c r="H12" s="169" t="s">
        <v>432</v>
      </c>
      <c r="I12" s="170">
        <f>SUM(I6:I11)</f>
        <v>0</v>
      </c>
      <c r="J12" s="159"/>
      <c r="K12" s="159"/>
      <c r="L12" s="159"/>
      <c r="M12" s="169" t="s">
        <v>432</v>
      </c>
      <c r="N12" s="170">
        <f>SUM(N6:N11)</f>
        <v>0</v>
      </c>
      <c r="O12" s="159"/>
      <c r="P12" s="159"/>
      <c r="Q12" s="159"/>
      <c r="R12" s="169" t="s">
        <v>432</v>
      </c>
      <c r="S12" s="170">
        <f>SUM(S6:S11)</f>
        <v>0</v>
      </c>
      <c r="T12" s="159"/>
      <c r="U12" s="159"/>
      <c r="V12" s="159"/>
      <c r="W12" s="169" t="s">
        <v>432</v>
      </c>
      <c r="X12" s="170">
        <f>SUM(X6:X11)</f>
        <v>0</v>
      </c>
      <c r="Y12" s="159"/>
      <c r="Z12" s="708" t="s">
        <v>461</v>
      </c>
      <c r="AA12" s="709"/>
      <c r="AB12" s="160"/>
      <c r="AC12" s="708" t="s">
        <v>462</v>
      </c>
      <c r="AD12" s="709"/>
    </row>
    <row r="13" spans="1:30" ht="15" customHeight="1" x14ac:dyDescent="0.15">
      <c r="A13" s="159"/>
      <c r="B13" s="159"/>
      <c r="C13" s="159"/>
      <c r="D13" s="159" t="s">
        <v>15</v>
      </c>
      <c r="E13" s="159"/>
      <c r="F13" s="159"/>
      <c r="G13" s="159"/>
      <c r="H13" s="159"/>
      <c r="I13" s="159" t="s">
        <v>15</v>
      </c>
      <c r="J13" s="159"/>
      <c r="K13" s="159"/>
      <c r="L13" s="159"/>
      <c r="M13" s="159"/>
      <c r="N13" s="159" t="s">
        <v>15</v>
      </c>
      <c r="O13" s="159"/>
      <c r="P13" s="159"/>
      <c r="Q13" s="159"/>
      <c r="R13" s="159"/>
      <c r="S13" s="159" t="s">
        <v>15</v>
      </c>
      <c r="T13" s="159"/>
      <c r="U13" s="159"/>
      <c r="V13" s="159"/>
      <c r="W13" s="159"/>
      <c r="X13" s="159" t="s">
        <v>15</v>
      </c>
      <c r="Y13" s="159"/>
      <c r="Z13" s="710"/>
      <c r="AA13" s="711"/>
      <c r="AB13" s="160"/>
      <c r="AC13" s="710"/>
      <c r="AD13" s="711"/>
    </row>
    <row r="14" spans="1:30" ht="15" customHeight="1" thickBot="1" x14ac:dyDescent="0.2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71" t="str">
        <f>A5</f>
        <v>居間</v>
      </c>
      <c r="AA14" s="172">
        <f>SUM(D12)</f>
        <v>0</v>
      </c>
      <c r="AB14" s="160"/>
      <c r="AC14" s="171" t="str">
        <f t="shared" ref="AC14:AC23" si="5">Z14</f>
        <v>居間</v>
      </c>
      <c r="AD14" s="172">
        <f>AA14*1.8</f>
        <v>0</v>
      </c>
    </row>
    <row r="15" spans="1:30" ht="15" customHeight="1" x14ac:dyDescent="0.15">
      <c r="A15" s="156" t="s">
        <v>450</v>
      </c>
      <c r="B15" s="157" t="s">
        <v>431</v>
      </c>
      <c r="C15" s="157" t="s">
        <v>34</v>
      </c>
      <c r="D15" s="158" t="s">
        <v>432</v>
      </c>
      <c r="E15" s="159"/>
      <c r="F15" s="156" t="s">
        <v>451</v>
      </c>
      <c r="G15" s="157" t="s">
        <v>431</v>
      </c>
      <c r="H15" s="157" t="s">
        <v>34</v>
      </c>
      <c r="I15" s="158" t="s">
        <v>432</v>
      </c>
      <c r="J15" s="159"/>
      <c r="K15" s="156" t="s">
        <v>463</v>
      </c>
      <c r="L15" s="157" t="s">
        <v>431</v>
      </c>
      <c r="M15" s="157" t="s">
        <v>34</v>
      </c>
      <c r="N15" s="158" t="s">
        <v>432</v>
      </c>
      <c r="O15" s="159"/>
      <c r="P15" s="156" t="s">
        <v>453</v>
      </c>
      <c r="Q15" s="157" t="s">
        <v>431</v>
      </c>
      <c r="R15" s="157" t="s">
        <v>34</v>
      </c>
      <c r="S15" s="158" t="s">
        <v>432</v>
      </c>
      <c r="T15" s="159"/>
      <c r="U15" s="156" t="s">
        <v>464</v>
      </c>
      <c r="V15" s="157" t="s">
        <v>431</v>
      </c>
      <c r="W15" s="157" t="s">
        <v>34</v>
      </c>
      <c r="X15" s="158" t="s">
        <v>432</v>
      </c>
      <c r="Y15" s="159"/>
      <c r="Z15" s="173" t="str">
        <f>F5</f>
        <v>手(右)</v>
      </c>
      <c r="AA15" s="172">
        <f>I12</f>
        <v>0</v>
      </c>
      <c r="AB15" s="160"/>
      <c r="AC15" s="173" t="str">
        <f t="shared" si="5"/>
        <v>手(右)</v>
      </c>
      <c r="AD15" s="172">
        <f t="shared" ref="AD15:AD23" si="6">AA15*1.8</f>
        <v>0</v>
      </c>
    </row>
    <row r="16" spans="1:30" ht="15" customHeight="1" x14ac:dyDescent="0.15">
      <c r="A16" s="174" t="s">
        <v>459</v>
      </c>
      <c r="B16" s="162"/>
      <c r="C16" s="162"/>
      <c r="D16" s="163">
        <f t="shared" ref="D16:D21" si="7">SUM(B16*C16)</f>
        <v>0</v>
      </c>
      <c r="E16" s="159"/>
      <c r="F16" s="175" t="s">
        <v>459</v>
      </c>
      <c r="G16" s="162"/>
      <c r="H16" s="162"/>
      <c r="I16" s="163">
        <f t="shared" ref="I16:I21" si="8">SUM(G16*H16)</f>
        <v>0</v>
      </c>
      <c r="J16" s="159"/>
      <c r="K16" s="176" t="s">
        <v>459</v>
      </c>
      <c r="L16" s="162"/>
      <c r="M16" s="162"/>
      <c r="N16" s="163">
        <f t="shared" ref="N16:N21" si="9">SUM(L16*M16)</f>
        <v>0</v>
      </c>
      <c r="O16" s="159"/>
      <c r="P16" s="177" t="s">
        <v>459</v>
      </c>
      <c r="Q16" s="162"/>
      <c r="R16" s="162"/>
      <c r="S16" s="163">
        <f t="shared" ref="S16:S21" si="10">SUM(Q16*R16)</f>
        <v>0</v>
      </c>
      <c r="T16" s="159"/>
      <c r="U16" s="177" t="s">
        <v>459</v>
      </c>
      <c r="V16" s="162"/>
      <c r="W16" s="162"/>
      <c r="X16" s="163">
        <f t="shared" ref="X16:X21" si="11">SUM(V16*W16)</f>
        <v>0</v>
      </c>
      <c r="Y16" s="159"/>
      <c r="Z16" s="171" t="str">
        <f>K5</f>
        <v>中(左)</v>
      </c>
      <c r="AA16" s="172">
        <f>N12</f>
        <v>0</v>
      </c>
      <c r="AB16" s="160"/>
      <c r="AC16" s="171" t="str">
        <f t="shared" si="5"/>
        <v>中(左)</v>
      </c>
      <c r="AD16" s="172">
        <f t="shared" si="6"/>
        <v>0</v>
      </c>
    </row>
    <row r="17" spans="1:30" ht="15" customHeight="1" x14ac:dyDescent="0.15">
      <c r="A17" s="174" t="s">
        <v>459</v>
      </c>
      <c r="B17" s="162"/>
      <c r="C17" s="162"/>
      <c r="D17" s="163">
        <f t="shared" si="7"/>
        <v>0</v>
      </c>
      <c r="E17" s="159"/>
      <c r="F17" s="175" t="s">
        <v>459</v>
      </c>
      <c r="G17" s="162"/>
      <c r="H17" s="162"/>
      <c r="I17" s="163">
        <f t="shared" si="8"/>
        <v>0</v>
      </c>
      <c r="J17" s="159"/>
      <c r="K17" s="176" t="s">
        <v>459</v>
      </c>
      <c r="L17" s="162"/>
      <c r="M17" s="162"/>
      <c r="N17" s="163">
        <f t="shared" si="9"/>
        <v>0</v>
      </c>
      <c r="O17" s="159"/>
      <c r="P17" s="177" t="s">
        <v>459</v>
      </c>
      <c r="Q17" s="162"/>
      <c r="R17" s="162"/>
      <c r="S17" s="163">
        <f t="shared" si="10"/>
        <v>0</v>
      </c>
      <c r="T17" s="159"/>
      <c r="U17" s="177" t="s">
        <v>459</v>
      </c>
      <c r="V17" s="162"/>
      <c r="W17" s="162"/>
      <c r="X17" s="163">
        <f t="shared" si="11"/>
        <v>0</v>
      </c>
      <c r="Y17" s="159"/>
      <c r="Z17" s="173" t="str">
        <f>P5</f>
        <v>奥</v>
      </c>
      <c r="AA17" s="172">
        <f>S12</f>
        <v>0</v>
      </c>
      <c r="AB17" s="160"/>
      <c r="AC17" s="173" t="str">
        <f t="shared" si="5"/>
        <v>奥</v>
      </c>
      <c r="AD17" s="172">
        <f t="shared" si="6"/>
        <v>0</v>
      </c>
    </row>
    <row r="18" spans="1:30" ht="15" customHeight="1" x14ac:dyDescent="0.15">
      <c r="A18" s="174" t="s">
        <v>459</v>
      </c>
      <c r="B18" s="162"/>
      <c r="C18" s="162"/>
      <c r="D18" s="163">
        <f t="shared" si="7"/>
        <v>0</v>
      </c>
      <c r="E18" s="159"/>
      <c r="F18" s="175" t="s">
        <v>459</v>
      </c>
      <c r="G18" s="162"/>
      <c r="H18" s="162"/>
      <c r="I18" s="163">
        <f t="shared" si="8"/>
        <v>0</v>
      </c>
      <c r="J18" s="159"/>
      <c r="K18" s="176" t="s">
        <v>459</v>
      </c>
      <c r="L18" s="162"/>
      <c r="M18" s="162"/>
      <c r="N18" s="163">
        <f t="shared" si="9"/>
        <v>0</v>
      </c>
      <c r="O18" s="159"/>
      <c r="P18" s="177" t="s">
        <v>459</v>
      </c>
      <c r="Q18" s="162"/>
      <c r="R18" s="162"/>
      <c r="S18" s="163">
        <f t="shared" si="10"/>
        <v>0</v>
      </c>
      <c r="T18" s="159"/>
      <c r="U18" s="177" t="s">
        <v>459</v>
      </c>
      <c r="V18" s="162"/>
      <c r="W18" s="162"/>
      <c r="X18" s="163">
        <f t="shared" si="11"/>
        <v>0</v>
      </c>
      <c r="Y18" s="159"/>
      <c r="Z18" s="173">
        <f>U5</f>
        <v>0</v>
      </c>
      <c r="AA18" s="172">
        <f>X12</f>
        <v>0</v>
      </c>
      <c r="AB18" s="160"/>
      <c r="AC18" s="173">
        <f t="shared" si="5"/>
        <v>0</v>
      </c>
      <c r="AD18" s="172">
        <f t="shared" si="6"/>
        <v>0</v>
      </c>
    </row>
    <row r="19" spans="1:30" ht="15" customHeight="1" x14ac:dyDescent="0.15">
      <c r="A19" s="174" t="s">
        <v>459</v>
      </c>
      <c r="B19" s="162"/>
      <c r="C19" s="162"/>
      <c r="D19" s="163">
        <f t="shared" si="7"/>
        <v>0</v>
      </c>
      <c r="E19" s="159"/>
      <c r="F19" s="175" t="s">
        <v>459</v>
      </c>
      <c r="G19" s="162"/>
      <c r="H19" s="162"/>
      <c r="I19" s="163">
        <f t="shared" si="8"/>
        <v>0</v>
      </c>
      <c r="J19" s="159"/>
      <c r="K19" s="176" t="s">
        <v>459</v>
      </c>
      <c r="L19" s="162"/>
      <c r="M19" s="162"/>
      <c r="N19" s="163">
        <f t="shared" si="9"/>
        <v>0</v>
      </c>
      <c r="O19" s="159"/>
      <c r="P19" s="177" t="s">
        <v>459</v>
      </c>
      <c r="Q19" s="162"/>
      <c r="R19" s="162"/>
      <c r="S19" s="163">
        <f t="shared" si="10"/>
        <v>0</v>
      </c>
      <c r="T19" s="159"/>
      <c r="U19" s="177" t="s">
        <v>459</v>
      </c>
      <c r="V19" s="162"/>
      <c r="W19" s="162"/>
      <c r="X19" s="163">
        <f t="shared" si="11"/>
        <v>0</v>
      </c>
      <c r="Y19" s="159"/>
      <c r="Z19" s="173" t="str">
        <f>A15</f>
        <v>台所</v>
      </c>
      <c r="AA19" s="172">
        <f>D22</f>
        <v>0</v>
      </c>
      <c r="AB19" s="160"/>
      <c r="AC19" s="173" t="str">
        <f t="shared" si="5"/>
        <v>台所</v>
      </c>
      <c r="AD19" s="172">
        <f t="shared" si="6"/>
        <v>0</v>
      </c>
    </row>
    <row r="20" spans="1:30" ht="15" customHeight="1" x14ac:dyDescent="0.15">
      <c r="A20" s="174" t="s">
        <v>459</v>
      </c>
      <c r="B20" s="162"/>
      <c r="C20" s="162"/>
      <c r="D20" s="163">
        <f t="shared" si="7"/>
        <v>0</v>
      </c>
      <c r="E20" s="159"/>
      <c r="F20" s="175" t="s">
        <v>459</v>
      </c>
      <c r="G20" s="162"/>
      <c r="H20" s="162"/>
      <c r="I20" s="163">
        <f t="shared" si="8"/>
        <v>0</v>
      </c>
      <c r="J20" s="159"/>
      <c r="K20" s="176" t="s">
        <v>459</v>
      </c>
      <c r="L20" s="162"/>
      <c r="M20" s="162"/>
      <c r="N20" s="163">
        <f t="shared" si="9"/>
        <v>0</v>
      </c>
      <c r="O20" s="159"/>
      <c r="P20" s="177" t="s">
        <v>459</v>
      </c>
      <c r="Q20" s="162"/>
      <c r="R20" s="162"/>
      <c r="S20" s="163">
        <f t="shared" si="10"/>
        <v>0</v>
      </c>
      <c r="T20" s="159"/>
      <c r="U20" s="177" t="s">
        <v>459</v>
      </c>
      <c r="V20" s="162"/>
      <c r="W20" s="162"/>
      <c r="X20" s="163">
        <f t="shared" si="11"/>
        <v>0</v>
      </c>
      <c r="Y20" s="159"/>
      <c r="Z20" s="173" t="str">
        <f>F15</f>
        <v>UT</v>
      </c>
      <c r="AA20" s="172">
        <f>I22</f>
        <v>0</v>
      </c>
      <c r="AB20" s="160"/>
      <c r="AC20" s="173" t="str">
        <f t="shared" si="5"/>
        <v>UT</v>
      </c>
      <c r="AD20" s="172">
        <f t="shared" si="6"/>
        <v>0</v>
      </c>
    </row>
    <row r="21" spans="1:30" ht="15" customHeight="1" thickBot="1" x14ac:dyDescent="0.2">
      <c r="A21" s="174" t="s">
        <v>459</v>
      </c>
      <c r="B21" s="167"/>
      <c r="C21" s="167"/>
      <c r="D21" s="168">
        <f t="shared" si="7"/>
        <v>0</v>
      </c>
      <c r="E21" s="159"/>
      <c r="F21" s="175" t="s">
        <v>459</v>
      </c>
      <c r="G21" s="167"/>
      <c r="H21" s="167"/>
      <c r="I21" s="168">
        <f t="shared" si="8"/>
        <v>0</v>
      </c>
      <c r="J21" s="159"/>
      <c r="K21" s="176" t="s">
        <v>459</v>
      </c>
      <c r="L21" s="167"/>
      <c r="M21" s="167"/>
      <c r="N21" s="168">
        <f t="shared" si="9"/>
        <v>0</v>
      </c>
      <c r="O21" s="159"/>
      <c r="P21" s="177" t="s">
        <v>459</v>
      </c>
      <c r="Q21" s="167"/>
      <c r="R21" s="167"/>
      <c r="S21" s="168">
        <f t="shared" si="10"/>
        <v>0</v>
      </c>
      <c r="T21" s="159"/>
      <c r="U21" s="177" t="s">
        <v>459</v>
      </c>
      <c r="V21" s="167"/>
      <c r="W21" s="167"/>
      <c r="X21" s="168">
        <f t="shared" si="11"/>
        <v>0</v>
      </c>
      <c r="Y21" s="159"/>
      <c r="Z21" s="173" t="str">
        <f>K15</f>
        <v>WC</v>
      </c>
      <c r="AA21" s="172">
        <f>N22</f>
        <v>0</v>
      </c>
      <c r="AB21" s="160"/>
      <c r="AC21" s="173" t="str">
        <f t="shared" si="5"/>
        <v>WC</v>
      </c>
      <c r="AD21" s="172">
        <f t="shared" si="6"/>
        <v>0</v>
      </c>
    </row>
    <row r="22" spans="1:30" ht="15" customHeight="1" thickBot="1" x14ac:dyDescent="0.2">
      <c r="A22" s="159"/>
      <c r="B22" s="159"/>
      <c r="C22" s="169" t="s">
        <v>432</v>
      </c>
      <c r="D22" s="170">
        <f>SUM(D16:D21)</f>
        <v>0</v>
      </c>
      <c r="E22" s="159"/>
      <c r="F22" s="159"/>
      <c r="G22" s="159"/>
      <c r="H22" s="169" t="s">
        <v>432</v>
      </c>
      <c r="I22" s="170">
        <f>SUM(I16:I21)</f>
        <v>0</v>
      </c>
      <c r="J22" s="159"/>
      <c r="K22" s="159"/>
      <c r="L22" s="159"/>
      <c r="M22" s="169" t="s">
        <v>432</v>
      </c>
      <c r="N22" s="170">
        <f>SUM(N16:N21)</f>
        <v>0</v>
      </c>
      <c r="O22" s="159"/>
      <c r="P22" s="159"/>
      <c r="Q22" s="159"/>
      <c r="R22" s="169" t="s">
        <v>432</v>
      </c>
      <c r="S22" s="170">
        <f>SUM(S16:S21)</f>
        <v>0</v>
      </c>
      <c r="T22" s="159"/>
      <c r="U22" s="159"/>
      <c r="V22" s="159"/>
      <c r="W22" s="169" t="s">
        <v>432</v>
      </c>
      <c r="X22" s="170">
        <f>SUM(X16:X21)</f>
        <v>0</v>
      </c>
      <c r="Y22" s="159"/>
      <c r="Z22" s="173" t="str">
        <f>P15</f>
        <v>玄関</v>
      </c>
      <c r="AA22" s="172">
        <f>S22</f>
        <v>0</v>
      </c>
      <c r="AB22" s="160"/>
      <c r="AC22" s="173" t="str">
        <f t="shared" si="5"/>
        <v>玄関</v>
      </c>
      <c r="AD22" s="172">
        <f t="shared" si="6"/>
        <v>0</v>
      </c>
    </row>
    <row r="23" spans="1:30" ht="15" customHeight="1" x14ac:dyDescent="0.15">
      <c r="A23" s="159"/>
      <c r="B23" s="159"/>
      <c r="C23" s="159"/>
      <c r="D23" s="159"/>
      <c r="E23" s="159"/>
      <c r="F23" s="159"/>
      <c r="G23" s="159"/>
      <c r="H23" s="159"/>
      <c r="I23" s="159" t="s">
        <v>15</v>
      </c>
      <c r="J23" s="159"/>
      <c r="K23" s="159"/>
      <c r="L23" s="159"/>
      <c r="M23" s="159"/>
      <c r="N23" s="159" t="s">
        <v>15</v>
      </c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73" t="str">
        <f>U15</f>
        <v>土間</v>
      </c>
      <c r="AA23" s="172">
        <f>X22</f>
        <v>0</v>
      </c>
      <c r="AB23" s="160"/>
      <c r="AC23" s="173" t="str">
        <f t="shared" si="5"/>
        <v>土間</v>
      </c>
      <c r="AD23" s="172">
        <f t="shared" si="6"/>
        <v>0</v>
      </c>
    </row>
    <row r="24" spans="1:30" ht="14.25" customHeight="1" thickBot="1" x14ac:dyDescent="0.2">
      <c r="A24" s="159"/>
      <c r="B24" s="159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712" t="s">
        <v>405</v>
      </c>
      <c r="AA24" s="713">
        <f>SUM(AA14:AA23)</f>
        <v>0</v>
      </c>
      <c r="AB24" s="160"/>
      <c r="AC24" s="712" t="s">
        <v>405</v>
      </c>
      <c r="AD24" s="713">
        <f>SUM(AD14:AD23)</f>
        <v>0</v>
      </c>
    </row>
    <row r="25" spans="1:30" ht="14.25" customHeight="1" x14ac:dyDescent="0.15">
      <c r="A25" s="727" t="s">
        <v>465</v>
      </c>
      <c r="B25" s="728"/>
      <c r="C25" s="728"/>
      <c r="D25" s="72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712"/>
      <c r="AA25" s="713"/>
      <c r="AB25" s="160"/>
      <c r="AC25" s="712"/>
      <c r="AD25" s="713"/>
    </row>
    <row r="26" spans="1:30" ht="21.2" customHeight="1" thickBot="1" x14ac:dyDescent="0.2">
      <c r="A26" s="730"/>
      <c r="B26" s="731"/>
      <c r="C26" s="731"/>
      <c r="D26" s="732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60"/>
      <c r="AA26" s="160"/>
      <c r="AB26" s="160"/>
    </row>
    <row r="27" spans="1:30" ht="15" customHeight="1" thickBot="1" x14ac:dyDescent="0.2">
      <c r="A27" s="159"/>
      <c r="B27" s="159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733" t="s">
        <v>466</v>
      </c>
      <c r="AA27" s="734"/>
      <c r="AB27" s="714" t="s">
        <v>467</v>
      </c>
    </row>
    <row r="28" spans="1:30" ht="15" customHeight="1" x14ac:dyDescent="0.15">
      <c r="A28" s="156" t="str">
        <f>A5</f>
        <v>居間</v>
      </c>
      <c r="B28" s="157" t="s">
        <v>431</v>
      </c>
      <c r="C28" s="157" t="s">
        <v>34</v>
      </c>
      <c r="D28" s="158" t="s">
        <v>432</v>
      </c>
      <c r="E28" s="159"/>
      <c r="F28" s="156" t="str">
        <f>F5</f>
        <v>手(右)</v>
      </c>
      <c r="G28" s="157" t="s">
        <v>431</v>
      </c>
      <c r="H28" s="157" t="s">
        <v>34</v>
      </c>
      <c r="I28" s="158" t="s">
        <v>432</v>
      </c>
      <c r="J28" s="159"/>
      <c r="K28" s="156" t="str">
        <f>K5</f>
        <v>中(左)</v>
      </c>
      <c r="L28" s="157" t="s">
        <v>431</v>
      </c>
      <c r="M28" s="157" t="s">
        <v>34</v>
      </c>
      <c r="N28" s="158" t="s">
        <v>432</v>
      </c>
      <c r="O28" s="159"/>
      <c r="P28" s="156" t="str">
        <f>P5</f>
        <v>奥</v>
      </c>
      <c r="Q28" s="157" t="s">
        <v>431</v>
      </c>
      <c r="R28" s="157" t="s">
        <v>34</v>
      </c>
      <c r="S28" s="158" t="s">
        <v>432</v>
      </c>
      <c r="T28" s="159"/>
      <c r="U28" s="156">
        <f>U5</f>
        <v>0</v>
      </c>
      <c r="V28" s="157" t="s">
        <v>431</v>
      </c>
      <c r="W28" s="157" t="s">
        <v>34</v>
      </c>
      <c r="X28" s="158" t="s">
        <v>432</v>
      </c>
      <c r="Y28" s="159"/>
      <c r="Z28" s="735"/>
      <c r="AA28" s="736"/>
      <c r="AB28" s="715"/>
    </row>
    <row r="29" spans="1:30" ht="15" customHeight="1" x14ac:dyDescent="0.15">
      <c r="A29" s="161" t="s">
        <v>459</v>
      </c>
      <c r="B29" s="162"/>
      <c r="C29" s="162"/>
      <c r="D29" s="163">
        <f t="shared" ref="D29:D34" si="12">SUM(B29*C29)</f>
        <v>0</v>
      </c>
      <c r="E29" s="159"/>
      <c r="F29" s="164" t="s">
        <v>459</v>
      </c>
      <c r="G29" s="162"/>
      <c r="H29" s="162"/>
      <c r="I29" s="163">
        <f t="shared" ref="I29:I34" si="13">SUM(G29*H29)</f>
        <v>0</v>
      </c>
      <c r="J29" s="159"/>
      <c r="K29" s="165" t="s">
        <v>459</v>
      </c>
      <c r="L29" s="162"/>
      <c r="M29" s="162"/>
      <c r="N29" s="163">
        <f t="shared" ref="N29:N34" si="14">SUM(L29*M29)</f>
        <v>0</v>
      </c>
      <c r="O29" s="159"/>
      <c r="P29" s="166" t="s">
        <v>459</v>
      </c>
      <c r="Q29" s="162"/>
      <c r="R29" s="162"/>
      <c r="S29" s="163">
        <f t="shared" ref="S29:S34" si="15">SUM(Q29*R29)</f>
        <v>0</v>
      </c>
      <c r="T29" s="159"/>
      <c r="U29" s="166" t="s">
        <v>459</v>
      </c>
      <c r="V29" s="162"/>
      <c r="W29" s="162"/>
      <c r="X29" s="163">
        <f t="shared" ref="X29:X34" si="16">SUM(V29*W29)</f>
        <v>0</v>
      </c>
      <c r="Y29" s="159"/>
      <c r="Z29" s="171" t="str">
        <f>A28</f>
        <v>居間</v>
      </c>
      <c r="AA29" s="172">
        <f>D35</f>
        <v>0</v>
      </c>
      <c r="AB29" s="172"/>
    </row>
    <row r="30" spans="1:30" ht="15" customHeight="1" x14ac:dyDescent="0.15">
      <c r="A30" s="161" t="s">
        <v>459</v>
      </c>
      <c r="B30" s="162"/>
      <c r="C30" s="162"/>
      <c r="D30" s="163">
        <f t="shared" si="12"/>
        <v>0</v>
      </c>
      <c r="E30" s="159"/>
      <c r="F30" s="164" t="s">
        <v>459</v>
      </c>
      <c r="G30" s="162"/>
      <c r="H30" s="162"/>
      <c r="I30" s="163">
        <f t="shared" si="13"/>
        <v>0</v>
      </c>
      <c r="J30" s="159"/>
      <c r="K30" s="165" t="s">
        <v>459</v>
      </c>
      <c r="L30" s="162"/>
      <c r="M30" s="162"/>
      <c r="N30" s="163">
        <f t="shared" si="14"/>
        <v>0</v>
      </c>
      <c r="O30" s="159"/>
      <c r="P30" s="166" t="s">
        <v>459</v>
      </c>
      <c r="Q30" s="162"/>
      <c r="R30" s="162"/>
      <c r="S30" s="163">
        <f t="shared" si="15"/>
        <v>0</v>
      </c>
      <c r="T30" s="159"/>
      <c r="U30" s="166" t="s">
        <v>459</v>
      </c>
      <c r="V30" s="162"/>
      <c r="W30" s="162"/>
      <c r="X30" s="163">
        <f t="shared" si="16"/>
        <v>0</v>
      </c>
      <c r="Y30" s="159"/>
      <c r="Z30" s="173" t="str">
        <f>F28</f>
        <v>手(右)</v>
      </c>
      <c r="AA30" s="172">
        <f>I35</f>
        <v>0</v>
      </c>
      <c r="AB30" s="172"/>
    </row>
    <row r="31" spans="1:30" ht="15" customHeight="1" x14ac:dyDescent="0.15">
      <c r="A31" s="161" t="s">
        <v>459</v>
      </c>
      <c r="B31" s="162"/>
      <c r="C31" s="162"/>
      <c r="D31" s="163">
        <f t="shared" si="12"/>
        <v>0</v>
      </c>
      <c r="E31" s="159"/>
      <c r="F31" s="164" t="s">
        <v>459</v>
      </c>
      <c r="G31" s="162"/>
      <c r="H31" s="162"/>
      <c r="I31" s="163">
        <f t="shared" si="13"/>
        <v>0</v>
      </c>
      <c r="J31" s="159"/>
      <c r="K31" s="165" t="s">
        <v>459</v>
      </c>
      <c r="L31" s="162"/>
      <c r="M31" s="162"/>
      <c r="N31" s="163">
        <f t="shared" si="14"/>
        <v>0</v>
      </c>
      <c r="O31" s="159"/>
      <c r="P31" s="166" t="s">
        <v>459</v>
      </c>
      <c r="Q31" s="162"/>
      <c r="R31" s="162"/>
      <c r="S31" s="163">
        <f t="shared" si="15"/>
        <v>0</v>
      </c>
      <c r="T31" s="159"/>
      <c r="U31" s="166" t="s">
        <v>459</v>
      </c>
      <c r="V31" s="162"/>
      <c r="W31" s="162"/>
      <c r="X31" s="163">
        <f t="shared" si="16"/>
        <v>0</v>
      </c>
      <c r="Y31" s="159"/>
      <c r="Z31" s="171" t="str">
        <f>K28</f>
        <v>中(左)</v>
      </c>
      <c r="AA31" s="172">
        <f>N35</f>
        <v>0</v>
      </c>
      <c r="AB31" s="172"/>
    </row>
    <row r="32" spans="1:30" ht="15" customHeight="1" x14ac:dyDescent="0.15">
      <c r="A32" s="161" t="s">
        <v>459</v>
      </c>
      <c r="B32" s="162"/>
      <c r="C32" s="162"/>
      <c r="D32" s="163">
        <f t="shared" si="12"/>
        <v>0</v>
      </c>
      <c r="E32" s="159"/>
      <c r="F32" s="164" t="s">
        <v>459</v>
      </c>
      <c r="G32" s="162"/>
      <c r="H32" s="162"/>
      <c r="I32" s="163">
        <f t="shared" si="13"/>
        <v>0</v>
      </c>
      <c r="J32" s="159"/>
      <c r="K32" s="165" t="s">
        <v>459</v>
      </c>
      <c r="L32" s="162"/>
      <c r="M32" s="162"/>
      <c r="N32" s="163">
        <f t="shared" si="14"/>
        <v>0</v>
      </c>
      <c r="O32" s="159"/>
      <c r="P32" s="166" t="s">
        <v>459</v>
      </c>
      <c r="Q32" s="162"/>
      <c r="R32" s="162"/>
      <c r="S32" s="163">
        <f t="shared" si="15"/>
        <v>0</v>
      </c>
      <c r="T32" s="159"/>
      <c r="U32" s="166" t="s">
        <v>459</v>
      </c>
      <c r="V32" s="162"/>
      <c r="W32" s="162"/>
      <c r="X32" s="163">
        <f t="shared" si="16"/>
        <v>0</v>
      </c>
      <c r="Y32" s="159"/>
      <c r="Z32" s="173" t="str">
        <f>P28</f>
        <v>奥</v>
      </c>
      <c r="AA32" s="172">
        <f>S35</f>
        <v>0</v>
      </c>
      <c r="AB32" s="172"/>
    </row>
    <row r="33" spans="1:28" s="154" customFormat="1" ht="15" customHeight="1" x14ac:dyDescent="0.15">
      <c r="A33" s="161" t="s">
        <v>459</v>
      </c>
      <c r="B33" s="162"/>
      <c r="C33" s="162"/>
      <c r="D33" s="163">
        <f t="shared" si="12"/>
        <v>0</v>
      </c>
      <c r="E33" s="159"/>
      <c r="F33" s="164" t="s">
        <v>459</v>
      </c>
      <c r="G33" s="162"/>
      <c r="H33" s="162"/>
      <c r="I33" s="163">
        <f t="shared" si="13"/>
        <v>0</v>
      </c>
      <c r="J33" s="159"/>
      <c r="K33" s="165" t="s">
        <v>459</v>
      </c>
      <c r="L33" s="162"/>
      <c r="M33" s="162"/>
      <c r="N33" s="163">
        <f t="shared" si="14"/>
        <v>0</v>
      </c>
      <c r="O33" s="159"/>
      <c r="P33" s="166" t="s">
        <v>459</v>
      </c>
      <c r="Q33" s="162"/>
      <c r="R33" s="162"/>
      <c r="S33" s="163">
        <f t="shared" si="15"/>
        <v>0</v>
      </c>
      <c r="T33" s="159"/>
      <c r="U33" s="166" t="s">
        <v>459</v>
      </c>
      <c r="V33" s="162"/>
      <c r="W33" s="162"/>
      <c r="X33" s="163">
        <f t="shared" si="16"/>
        <v>0</v>
      </c>
      <c r="Y33" s="159"/>
      <c r="Z33" s="173">
        <f>U28</f>
        <v>0</v>
      </c>
      <c r="AA33" s="172">
        <f>X35</f>
        <v>0</v>
      </c>
      <c r="AB33" s="172"/>
    </row>
    <row r="34" spans="1:28" s="154" customFormat="1" ht="15" customHeight="1" x14ac:dyDescent="0.15">
      <c r="A34" s="161" t="s">
        <v>459</v>
      </c>
      <c r="B34" s="162"/>
      <c r="C34" s="162"/>
      <c r="D34" s="163">
        <f t="shared" si="12"/>
        <v>0</v>
      </c>
      <c r="E34" s="159"/>
      <c r="F34" s="164" t="s">
        <v>459</v>
      </c>
      <c r="G34" s="162"/>
      <c r="H34" s="162"/>
      <c r="I34" s="163">
        <f t="shared" si="13"/>
        <v>0</v>
      </c>
      <c r="J34" s="159"/>
      <c r="K34" s="165" t="s">
        <v>459</v>
      </c>
      <c r="L34" s="162"/>
      <c r="M34" s="162"/>
      <c r="N34" s="163">
        <f t="shared" si="14"/>
        <v>0</v>
      </c>
      <c r="O34" s="159"/>
      <c r="P34" s="166" t="s">
        <v>459</v>
      </c>
      <c r="Q34" s="162"/>
      <c r="R34" s="162"/>
      <c r="S34" s="163">
        <f t="shared" si="15"/>
        <v>0</v>
      </c>
      <c r="T34" s="159"/>
      <c r="U34" s="166" t="s">
        <v>459</v>
      </c>
      <c r="V34" s="162"/>
      <c r="W34" s="162"/>
      <c r="X34" s="163">
        <f t="shared" si="16"/>
        <v>0</v>
      </c>
      <c r="Y34" s="159"/>
      <c r="Z34" s="173" t="str">
        <f>A38</f>
        <v>台所</v>
      </c>
      <c r="AA34" s="172">
        <f>D45</f>
        <v>0</v>
      </c>
      <c r="AB34" s="172"/>
    </row>
    <row r="35" spans="1:28" s="154" customFormat="1" ht="15" customHeight="1" thickBot="1" x14ac:dyDescent="0.2">
      <c r="A35" s="159"/>
      <c r="B35" s="159"/>
      <c r="C35" s="178" t="s">
        <v>432</v>
      </c>
      <c r="D35" s="179">
        <f>SUM(D29:D34)</f>
        <v>0</v>
      </c>
      <c r="E35" s="159"/>
      <c r="F35" s="159"/>
      <c r="G35" s="159"/>
      <c r="H35" s="169" t="s">
        <v>432</v>
      </c>
      <c r="I35" s="170">
        <f>SUM(I29:I34)</f>
        <v>0</v>
      </c>
      <c r="J35" s="159"/>
      <c r="K35" s="159"/>
      <c r="L35" s="159"/>
      <c r="M35" s="169" t="s">
        <v>432</v>
      </c>
      <c r="N35" s="170">
        <f>SUM(N29:N34)</f>
        <v>0</v>
      </c>
      <c r="O35" s="159"/>
      <c r="P35" s="159"/>
      <c r="Q35" s="159"/>
      <c r="R35" s="169" t="s">
        <v>432</v>
      </c>
      <c r="S35" s="170">
        <f>SUM(S29:S34)</f>
        <v>0</v>
      </c>
      <c r="T35" s="159"/>
      <c r="U35" s="159"/>
      <c r="V35" s="159"/>
      <c r="W35" s="169" t="s">
        <v>432</v>
      </c>
      <c r="X35" s="170">
        <f>SUM(X29:X34)</f>
        <v>0</v>
      </c>
      <c r="Y35" s="159"/>
      <c r="Z35" s="173" t="str">
        <f>F38</f>
        <v>UT</v>
      </c>
      <c r="AA35" s="172">
        <f>I45</f>
        <v>0</v>
      </c>
      <c r="AB35" s="172"/>
    </row>
    <row r="36" spans="1:28" s="154" customFormat="1" ht="15" customHeight="1" thickBot="1" x14ac:dyDescent="0.2">
      <c r="A36" s="159"/>
      <c r="B36" s="180" t="s">
        <v>468</v>
      </c>
      <c r="C36" s="181"/>
      <c r="D36" s="182" t="s">
        <v>469</v>
      </c>
      <c r="E36" s="159"/>
      <c r="F36" s="159"/>
      <c r="G36" s="180" t="s">
        <v>468</v>
      </c>
      <c r="H36" s="181"/>
      <c r="I36" s="182" t="s">
        <v>469</v>
      </c>
      <c r="J36" s="159"/>
      <c r="K36" s="159"/>
      <c r="L36" s="180" t="s">
        <v>468</v>
      </c>
      <c r="M36" s="181"/>
      <c r="N36" s="182" t="s">
        <v>469</v>
      </c>
      <c r="O36" s="159"/>
      <c r="P36" s="159"/>
      <c r="Q36" s="180" t="s">
        <v>468</v>
      </c>
      <c r="R36" s="181"/>
      <c r="S36" s="182" t="s">
        <v>469</v>
      </c>
      <c r="T36" s="159"/>
      <c r="U36" s="159"/>
      <c r="V36" s="180" t="s">
        <v>468</v>
      </c>
      <c r="W36" s="181"/>
      <c r="X36" s="182" t="s">
        <v>469</v>
      </c>
      <c r="Y36" s="159"/>
      <c r="Z36" s="173" t="str">
        <f>K38</f>
        <v>WC</v>
      </c>
      <c r="AA36" s="172">
        <f>N45</f>
        <v>0</v>
      </c>
      <c r="AB36" s="172"/>
    </row>
    <row r="37" spans="1:28" s="154" customFormat="1" ht="15" customHeight="1" thickBot="1" x14ac:dyDescent="0.2">
      <c r="A37" s="159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73" t="str">
        <f>P38</f>
        <v>玄関</v>
      </c>
      <c r="AA37" s="172">
        <f>S45</f>
        <v>0</v>
      </c>
      <c r="AB37" s="172"/>
    </row>
    <row r="38" spans="1:28" s="154" customFormat="1" ht="15" customHeight="1" x14ac:dyDescent="0.15">
      <c r="A38" s="156" t="str">
        <f>A15</f>
        <v>台所</v>
      </c>
      <c r="B38" s="157" t="s">
        <v>431</v>
      </c>
      <c r="C38" s="157" t="s">
        <v>34</v>
      </c>
      <c r="D38" s="158" t="s">
        <v>432</v>
      </c>
      <c r="E38" s="159"/>
      <c r="F38" s="156" t="str">
        <f>F15</f>
        <v>UT</v>
      </c>
      <c r="G38" s="157" t="s">
        <v>431</v>
      </c>
      <c r="H38" s="157" t="s">
        <v>34</v>
      </c>
      <c r="I38" s="158" t="s">
        <v>432</v>
      </c>
      <c r="J38" s="159"/>
      <c r="K38" s="156" t="str">
        <f>K15</f>
        <v>WC</v>
      </c>
      <c r="L38" s="157" t="s">
        <v>431</v>
      </c>
      <c r="M38" s="157" t="s">
        <v>34</v>
      </c>
      <c r="N38" s="158" t="s">
        <v>432</v>
      </c>
      <c r="O38" s="159"/>
      <c r="P38" s="156" t="str">
        <f>P15</f>
        <v>玄関</v>
      </c>
      <c r="Q38" s="157" t="s">
        <v>431</v>
      </c>
      <c r="R38" s="157" t="s">
        <v>34</v>
      </c>
      <c r="S38" s="158" t="s">
        <v>432</v>
      </c>
      <c r="T38" s="159"/>
      <c r="U38" s="156" t="str">
        <f>U15</f>
        <v>土間</v>
      </c>
      <c r="V38" s="157" t="s">
        <v>431</v>
      </c>
      <c r="W38" s="157" t="s">
        <v>34</v>
      </c>
      <c r="X38" s="158" t="s">
        <v>432</v>
      </c>
      <c r="Y38" s="159"/>
      <c r="Z38" s="173" t="str">
        <f>U38</f>
        <v>土間</v>
      </c>
      <c r="AA38" s="172">
        <f>X45</f>
        <v>0</v>
      </c>
      <c r="AB38" s="172"/>
    </row>
    <row r="39" spans="1:28" s="154" customFormat="1" ht="15" customHeight="1" x14ac:dyDescent="0.15">
      <c r="A39" s="174" t="s">
        <v>459</v>
      </c>
      <c r="B39" s="162"/>
      <c r="C39" s="162"/>
      <c r="D39" s="163">
        <f t="shared" ref="D39:D44" si="17">SUM(B39*C39)</f>
        <v>0</v>
      </c>
      <c r="E39" s="159"/>
      <c r="F39" s="175" t="s">
        <v>459</v>
      </c>
      <c r="G39" s="162"/>
      <c r="H39" s="162"/>
      <c r="I39" s="163">
        <f t="shared" ref="I39:I44" si="18">SUM(G39*H39)</f>
        <v>0</v>
      </c>
      <c r="J39" s="159"/>
      <c r="K39" s="176" t="s">
        <v>459</v>
      </c>
      <c r="L39" s="162"/>
      <c r="M39" s="162"/>
      <c r="N39" s="163">
        <f t="shared" ref="N39:N44" si="19">SUM(L39*M39)</f>
        <v>0</v>
      </c>
      <c r="O39" s="159"/>
      <c r="P39" s="177" t="s">
        <v>459</v>
      </c>
      <c r="Q39" s="162"/>
      <c r="R39" s="162"/>
      <c r="S39" s="163">
        <f t="shared" ref="S39:S44" si="20">SUM(Q39*R39)</f>
        <v>0</v>
      </c>
      <c r="T39" s="159"/>
      <c r="U39" s="177" t="s">
        <v>459</v>
      </c>
      <c r="V39" s="162"/>
      <c r="W39" s="162"/>
      <c r="X39" s="163">
        <f t="shared" ref="X39:X44" si="21">SUM(V39*W39)</f>
        <v>0</v>
      </c>
      <c r="Y39" s="159"/>
      <c r="Z39" s="712" t="s">
        <v>405</v>
      </c>
      <c r="AA39" s="713">
        <f>SUM(AA29:AA38)</f>
        <v>0</v>
      </c>
      <c r="AB39" s="160"/>
    </row>
    <row r="40" spans="1:28" s="154" customFormat="1" ht="15" customHeight="1" x14ac:dyDescent="0.15">
      <c r="A40" s="174" t="s">
        <v>459</v>
      </c>
      <c r="B40" s="162"/>
      <c r="C40" s="162"/>
      <c r="D40" s="163">
        <f t="shared" si="17"/>
        <v>0</v>
      </c>
      <c r="E40" s="159"/>
      <c r="F40" s="175" t="s">
        <v>459</v>
      </c>
      <c r="G40" s="162"/>
      <c r="H40" s="162"/>
      <c r="I40" s="163">
        <f t="shared" si="18"/>
        <v>0</v>
      </c>
      <c r="J40" s="159"/>
      <c r="K40" s="176" t="s">
        <v>459</v>
      </c>
      <c r="L40" s="162"/>
      <c r="M40" s="162"/>
      <c r="N40" s="163">
        <f t="shared" si="19"/>
        <v>0</v>
      </c>
      <c r="O40" s="159"/>
      <c r="P40" s="177" t="s">
        <v>459</v>
      </c>
      <c r="Q40" s="162"/>
      <c r="R40" s="162"/>
      <c r="S40" s="163">
        <f t="shared" si="20"/>
        <v>0</v>
      </c>
      <c r="T40" s="159"/>
      <c r="U40" s="177" t="s">
        <v>459</v>
      </c>
      <c r="V40" s="162"/>
      <c r="W40" s="162"/>
      <c r="X40" s="163">
        <f t="shared" si="21"/>
        <v>0</v>
      </c>
      <c r="Y40" s="159"/>
      <c r="Z40" s="712"/>
      <c r="AA40" s="713"/>
      <c r="AB40" s="160"/>
    </row>
    <row r="41" spans="1:28" s="154" customFormat="1" ht="15" customHeight="1" x14ac:dyDescent="0.15">
      <c r="A41" s="174" t="s">
        <v>459</v>
      </c>
      <c r="B41" s="162"/>
      <c r="C41" s="162"/>
      <c r="D41" s="163">
        <f t="shared" si="17"/>
        <v>0</v>
      </c>
      <c r="E41" s="159"/>
      <c r="F41" s="175" t="s">
        <v>459</v>
      </c>
      <c r="G41" s="162"/>
      <c r="H41" s="162"/>
      <c r="I41" s="163">
        <f t="shared" si="18"/>
        <v>0</v>
      </c>
      <c r="J41" s="159"/>
      <c r="K41" s="176" t="s">
        <v>459</v>
      </c>
      <c r="L41" s="162"/>
      <c r="M41" s="162"/>
      <c r="N41" s="163">
        <f t="shared" si="19"/>
        <v>0</v>
      </c>
      <c r="O41" s="159"/>
      <c r="P41" s="177" t="s">
        <v>459</v>
      </c>
      <c r="Q41" s="162"/>
      <c r="R41" s="162"/>
      <c r="S41" s="163">
        <f t="shared" si="20"/>
        <v>0</v>
      </c>
      <c r="T41" s="159"/>
      <c r="U41" s="177" t="s">
        <v>459</v>
      </c>
      <c r="V41" s="162"/>
      <c r="W41" s="162"/>
      <c r="X41" s="163">
        <f t="shared" si="21"/>
        <v>0</v>
      </c>
      <c r="Y41" s="159"/>
      <c r="Z41" s="160"/>
      <c r="AA41" s="160"/>
      <c r="AB41" s="160"/>
    </row>
    <row r="42" spans="1:28" s="154" customFormat="1" ht="15" customHeight="1" x14ac:dyDescent="0.15">
      <c r="A42" s="174" t="s">
        <v>459</v>
      </c>
      <c r="B42" s="162"/>
      <c r="C42" s="162"/>
      <c r="D42" s="163">
        <f t="shared" si="17"/>
        <v>0</v>
      </c>
      <c r="E42" s="159"/>
      <c r="F42" s="175" t="s">
        <v>459</v>
      </c>
      <c r="G42" s="162"/>
      <c r="H42" s="162"/>
      <c r="I42" s="163">
        <f t="shared" si="18"/>
        <v>0</v>
      </c>
      <c r="J42" s="159"/>
      <c r="K42" s="176" t="s">
        <v>459</v>
      </c>
      <c r="L42" s="162"/>
      <c r="M42" s="162"/>
      <c r="N42" s="163">
        <f t="shared" si="19"/>
        <v>0</v>
      </c>
      <c r="O42" s="159"/>
      <c r="P42" s="177" t="s">
        <v>459</v>
      </c>
      <c r="Q42" s="162"/>
      <c r="R42" s="162"/>
      <c r="S42" s="163">
        <f t="shared" si="20"/>
        <v>0</v>
      </c>
      <c r="T42" s="159"/>
      <c r="U42" s="177" t="s">
        <v>459</v>
      </c>
      <c r="V42" s="162"/>
      <c r="W42" s="162"/>
      <c r="X42" s="163">
        <f t="shared" si="21"/>
        <v>0</v>
      </c>
      <c r="Y42" s="159"/>
      <c r="Z42" s="160"/>
      <c r="AA42" s="160"/>
      <c r="AB42" s="160"/>
    </row>
    <row r="43" spans="1:28" s="154" customFormat="1" ht="15" customHeight="1" thickBot="1" x14ac:dyDescent="0.2">
      <c r="A43" s="174" t="s">
        <v>459</v>
      </c>
      <c r="B43" s="162"/>
      <c r="C43" s="162"/>
      <c r="D43" s="163">
        <f t="shared" si="17"/>
        <v>0</v>
      </c>
      <c r="E43" s="159"/>
      <c r="F43" s="175" t="s">
        <v>459</v>
      </c>
      <c r="G43" s="162"/>
      <c r="H43" s="162"/>
      <c r="I43" s="163">
        <f t="shared" si="18"/>
        <v>0</v>
      </c>
      <c r="J43" s="159"/>
      <c r="K43" s="176" t="s">
        <v>459</v>
      </c>
      <c r="L43" s="162"/>
      <c r="M43" s="162"/>
      <c r="N43" s="163">
        <f t="shared" si="19"/>
        <v>0</v>
      </c>
      <c r="O43" s="159"/>
      <c r="P43" s="177" t="s">
        <v>459</v>
      </c>
      <c r="Q43" s="162"/>
      <c r="R43" s="162"/>
      <c r="S43" s="163">
        <f t="shared" si="20"/>
        <v>0</v>
      </c>
      <c r="T43" s="159"/>
      <c r="U43" s="177" t="s">
        <v>459</v>
      </c>
      <c r="V43" s="162"/>
      <c r="W43" s="162"/>
      <c r="X43" s="163">
        <f t="shared" si="21"/>
        <v>0</v>
      </c>
      <c r="Y43" s="159"/>
      <c r="Z43" s="160"/>
      <c r="AA43" s="160"/>
      <c r="AB43" s="160"/>
    </row>
    <row r="44" spans="1:28" s="154" customFormat="1" ht="15" customHeight="1" x14ac:dyDescent="0.15">
      <c r="A44" s="174" t="s">
        <v>459</v>
      </c>
      <c r="B44" s="162"/>
      <c r="C44" s="162"/>
      <c r="D44" s="163">
        <f t="shared" si="17"/>
        <v>0</v>
      </c>
      <c r="E44" s="159"/>
      <c r="F44" s="175" t="s">
        <v>459</v>
      </c>
      <c r="G44" s="162"/>
      <c r="H44" s="162"/>
      <c r="I44" s="163">
        <f t="shared" si="18"/>
        <v>0</v>
      </c>
      <c r="J44" s="159"/>
      <c r="K44" s="176" t="s">
        <v>459</v>
      </c>
      <c r="L44" s="162"/>
      <c r="M44" s="162"/>
      <c r="N44" s="163">
        <f t="shared" si="19"/>
        <v>0</v>
      </c>
      <c r="O44" s="159"/>
      <c r="P44" s="177" t="s">
        <v>459</v>
      </c>
      <c r="Q44" s="162"/>
      <c r="R44" s="162"/>
      <c r="S44" s="163">
        <f t="shared" si="20"/>
        <v>0</v>
      </c>
      <c r="T44" s="159"/>
      <c r="U44" s="177" t="s">
        <v>459</v>
      </c>
      <c r="V44" s="162"/>
      <c r="W44" s="162"/>
      <c r="X44" s="163">
        <f t="shared" si="21"/>
        <v>0</v>
      </c>
      <c r="Y44" s="159"/>
      <c r="Z44" s="716" t="s">
        <v>470</v>
      </c>
      <c r="AA44" s="718">
        <f>SUM(C36,H36,M36,R36,W36,C46,H46,M46,R46,W46)</f>
        <v>0</v>
      </c>
      <c r="AB44" s="160"/>
    </row>
    <row r="45" spans="1:28" s="154" customFormat="1" ht="15" customHeight="1" thickBot="1" x14ac:dyDescent="0.2">
      <c r="A45" s="159"/>
      <c r="B45" s="159"/>
      <c r="C45" s="169" t="s">
        <v>432</v>
      </c>
      <c r="D45" s="170">
        <f>SUM(D39:D44)</f>
        <v>0</v>
      </c>
      <c r="E45" s="159"/>
      <c r="F45" s="159"/>
      <c r="G45" s="159"/>
      <c r="H45" s="169" t="s">
        <v>432</v>
      </c>
      <c r="I45" s="170">
        <f>SUM(I39:I44)</f>
        <v>0</v>
      </c>
      <c r="J45" s="159"/>
      <c r="K45" s="159"/>
      <c r="L45" s="159"/>
      <c r="M45" s="169" t="s">
        <v>432</v>
      </c>
      <c r="N45" s="170">
        <f>SUM(N39:N44)</f>
        <v>0</v>
      </c>
      <c r="O45" s="159"/>
      <c r="P45" s="159"/>
      <c r="Q45" s="159"/>
      <c r="R45" s="169" t="s">
        <v>432</v>
      </c>
      <c r="S45" s="170">
        <f>SUM(S39:S44)</f>
        <v>0</v>
      </c>
      <c r="T45" s="159"/>
      <c r="U45" s="159"/>
      <c r="V45" s="159"/>
      <c r="W45" s="169" t="s">
        <v>432</v>
      </c>
      <c r="X45" s="170">
        <f>SUM(X39:X44)</f>
        <v>0</v>
      </c>
      <c r="Y45" s="159"/>
      <c r="Z45" s="717"/>
      <c r="AA45" s="719"/>
      <c r="AB45" s="160"/>
    </row>
    <row r="46" spans="1:28" s="154" customFormat="1" ht="15" customHeight="1" thickBot="1" x14ac:dyDescent="0.2">
      <c r="A46" s="159"/>
      <c r="B46" s="180" t="s">
        <v>468</v>
      </c>
      <c r="C46" s="181"/>
      <c r="D46" s="182" t="s">
        <v>469</v>
      </c>
      <c r="E46" s="159"/>
      <c r="F46" s="159"/>
      <c r="G46" s="180" t="s">
        <v>468</v>
      </c>
      <c r="H46" s="181"/>
      <c r="I46" s="182" t="s">
        <v>469</v>
      </c>
      <c r="J46" s="159"/>
      <c r="K46" s="159"/>
      <c r="L46" s="180" t="s">
        <v>468</v>
      </c>
      <c r="M46" s="181"/>
      <c r="N46" s="182" t="s">
        <v>469</v>
      </c>
      <c r="O46" s="159"/>
      <c r="P46" s="159"/>
      <c r="Q46" s="180" t="s">
        <v>468</v>
      </c>
      <c r="R46" s="181"/>
      <c r="S46" s="182" t="s">
        <v>469</v>
      </c>
      <c r="T46" s="159"/>
      <c r="U46" s="159"/>
      <c r="V46" s="180" t="s">
        <v>468</v>
      </c>
      <c r="W46" s="181"/>
      <c r="X46" s="182" t="s">
        <v>469</v>
      </c>
      <c r="Y46" s="159"/>
      <c r="Z46" s="160"/>
      <c r="AA46" s="160"/>
      <c r="AB46" s="160"/>
    </row>
    <row r="47" spans="1:28" s="154" customFormat="1" ht="15" customHeight="1" thickBot="1" x14ac:dyDescent="0.2">
      <c r="A47" s="159"/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60"/>
      <c r="AA47" s="160"/>
      <c r="AB47" s="160"/>
    </row>
    <row r="48" spans="1:28" s="154" customFormat="1" ht="21.75" customHeight="1" thickBot="1" x14ac:dyDescent="0.25">
      <c r="A48" s="720" t="s">
        <v>471</v>
      </c>
      <c r="B48" s="721"/>
      <c r="C48" s="721"/>
      <c r="D48" s="722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60"/>
      <c r="AA48" s="160"/>
      <c r="AB48" s="160"/>
    </row>
    <row r="49" spans="1:28" s="154" customFormat="1" ht="15" customHeight="1" thickBot="1" x14ac:dyDescent="0.2">
      <c r="A49" s="159"/>
      <c r="B49" s="159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60"/>
      <c r="AA49" s="160"/>
      <c r="AB49" s="160"/>
    </row>
    <row r="50" spans="1:28" s="154" customFormat="1" ht="15" customHeight="1" thickBot="1" x14ac:dyDescent="0.2">
      <c r="A50" s="156" t="str">
        <f>A5</f>
        <v>居間</v>
      </c>
      <c r="B50" s="157" t="s">
        <v>431</v>
      </c>
      <c r="C50" s="157" t="s">
        <v>34</v>
      </c>
      <c r="D50" s="158" t="s">
        <v>432</v>
      </c>
      <c r="E50" s="159"/>
      <c r="F50" s="156" t="str">
        <f>F5</f>
        <v>手(右)</v>
      </c>
      <c r="G50" s="157" t="s">
        <v>431</v>
      </c>
      <c r="H50" s="157" t="s">
        <v>34</v>
      </c>
      <c r="I50" s="158" t="s">
        <v>432</v>
      </c>
      <c r="J50" s="159"/>
      <c r="K50" s="156" t="str">
        <f>K5</f>
        <v>中(左)</v>
      </c>
      <c r="L50" s="157" t="s">
        <v>431</v>
      </c>
      <c r="M50" s="157" t="s">
        <v>34</v>
      </c>
      <c r="N50" s="158" t="s">
        <v>432</v>
      </c>
      <c r="O50" s="159"/>
      <c r="P50" s="156" t="str">
        <f>P5</f>
        <v>奥</v>
      </c>
      <c r="Q50" s="157" t="s">
        <v>431</v>
      </c>
      <c r="R50" s="157" t="s">
        <v>34</v>
      </c>
      <c r="S50" s="158" t="s">
        <v>432</v>
      </c>
      <c r="T50" s="159"/>
      <c r="U50" s="156">
        <f>U5</f>
        <v>0</v>
      </c>
      <c r="V50" s="157" t="s">
        <v>431</v>
      </c>
      <c r="W50" s="157" t="s">
        <v>34</v>
      </c>
      <c r="X50" s="158" t="s">
        <v>432</v>
      </c>
      <c r="Y50" s="159"/>
      <c r="Z50" s="160"/>
      <c r="AA50" s="160"/>
      <c r="AB50" s="160"/>
    </row>
    <row r="51" spans="1:28" s="154" customFormat="1" ht="15" customHeight="1" x14ac:dyDescent="0.15">
      <c r="A51" s="161" t="s">
        <v>459</v>
      </c>
      <c r="B51" s="162"/>
      <c r="C51" s="162"/>
      <c r="D51" s="163">
        <f t="shared" ref="D51:D56" si="22">SUM(B51*C51)</f>
        <v>0</v>
      </c>
      <c r="E51" s="159"/>
      <c r="F51" s="164" t="s">
        <v>459</v>
      </c>
      <c r="G51" s="162"/>
      <c r="H51" s="162"/>
      <c r="I51" s="163">
        <f t="shared" ref="I51:I56" si="23">SUM(G51*H51)</f>
        <v>0</v>
      </c>
      <c r="J51" s="159"/>
      <c r="K51" s="165" t="s">
        <v>459</v>
      </c>
      <c r="L51" s="162"/>
      <c r="M51" s="162"/>
      <c r="N51" s="163">
        <f t="shared" ref="N51:N56" si="24">SUM(L51*M51)</f>
        <v>0</v>
      </c>
      <c r="O51" s="159"/>
      <c r="P51" s="166" t="s">
        <v>459</v>
      </c>
      <c r="Q51" s="162"/>
      <c r="R51" s="162"/>
      <c r="S51" s="163">
        <f t="shared" ref="S51:S56" si="25">SUM(Q51*R51)</f>
        <v>0</v>
      </c>
      <c r="T51" s="159"/>
      <c r="U51" s="166" t="s">
        <v>459</v>
      </c>
      <c r="V51" s="162"/>
      <c r="W51" s="162"/>
      <c r="X51" s="163">
        <f t="shared" ref="X51:X56" si="26">SUM(V51*W51)</f>
        <v>0</v>
      </c>
      <c r="Y51" s="159"/>
      <c r="Z51" s="723" t="s">
        <v>471</v>
      </c>
      <c r="AA51" s="724"/>
      <c r="AB51" s="160"/>
    </row>
    <row r="52" spans="1:28" s="154" customFormat="1" ht="15" customHeight="1" x14ac:dyDescent="0.15">
      <c r="A52" s="161" t="s">
        <v>459</v>
      </c>
      <c r="B52" s="162"/>
      <c r="C52" s="162"/>
      <c r="D52" s="163">
        <f t="shared" si="22"/>
        <v>0</v>
      </c>
      <c r="E52" s="159"/>
      <c r="F52" s="164" t="s">
        <v>459</v>
      </c>
      <c r="G52" s="162"/>
      <c r="H52" s="162"/>
      <c r="I52" s="163">
        <f t="shared" si="23"/>
        <v>0</v>
      </c>
      <c r="J52" s="159"/>
      <c r="K52" s="165" t="s">
        <v>459</v>
      </c>
      <c r="L52" s="162"/>
      <c r="M52" s="162"/>
      <c r="N52" s="163">
        <f t="shared" si="24"/>
        <v>0</v>
      </c>
      <c r="O52" s="159"/>
      <c r="P52" s="166" t="s">
        <v>459</v>
      </c>
      <c r="Q52" s="162"/>
      <c r="R52" s="162"/>
      <c r="S52" s="163">
        <f t="shared" si="25"/>
        <v>0</v>
      </c>
      <c r="T52" s="159"/>
      <c r="U52" s="166" t="s">
        <v>459</v>
      </c>
      <c r="V52" s="162"/>
      <c r="W52" s="162"/>
      <c r="X52" s="163">
        <f t="shared" si="26"/>
        <v>0</v>
      </c>
      <c r="Y52" s="159"/>
      <c r="Z52" s="725"/>
      <c r="AA52" s="726"/>
      <c r="AB52" s="160"/>
    </row>
    <row r="53" spans="1:28" s="154" customFormat="1" ht="15" customHeight="1" x14ac:dyDescent="0.15">
      <c r="A53" s="161" t="s">
        <v>459</v>
      </c>
      <c r="B53" s="162"/>
      <c r="C53" s="162"/>
      <c r="D53" s="163">
        <f t="shared" si="22"/>
        <v>0</v>
      </c>
      <c r="E53" s="159"/>
      <c r="F53" s="164" t="s">
        <v>459</v>
      </c>
      <c r="G53" s="162"/>
      <c r="H53" s="162"/>
      <c r="I53" s="163">
        <f t="shared" si="23"/>
        <v>0</v>
      </c>
      <c r="J53" s="159"/>
      <c r="K53" s="165" t="s">
        <v>459</v>
      </c>
      <c r="L53" s="162"/>
      <c r="M53" s="162"/>
      <c r="N53" s="163">
        <f t="shared" si="24"/>
        <v>0</v>
      </c>
      <c r="O53" s="159"/>
      <c r="P53" s="166" t="s">
        <v>459</v>
      </c>
      <c r="Q53" s="162"/>
      <c r="R53" s="162"/>
      <c r="S53" s="163">
        <f t="shared" si="25"/>
        <v>0</v>
      </c>
      <c r="T53" s="159"/>
      <c r="U53" s="166" t="s">
        <v>459</v>
      </c>
      <c r="V53" s="162"/>
      <c r="W53" s="162"/>
      <c r="X53" s="163">
        <f t="shared" si="26"/>
        <v>0</v>
      </c>
      <c r="Y53" s="159"/>
      <c r="Z53" s="173" t="str">
        <f>A50</f>
        <v>居間</v>
      </c>
      <c r="AA53" s="172">
        <f>D57</f>
        <v>0</v>
      </c>
      <c r="AB53" s="160"/>
    </row>
    <row r="54" spans="1:28" s="154" customFormat="1" ht="15" customHeight="1" x14ac:dyDescent="0.15">
      <c r="A54" s="161" t="s">
        <v>459</v>
      </c>
      <c r="B54" s="162"/>
      <c r="C54" s="162"/>
      <c r="D54" s="163">
        <f t="shared" si="22"/>
        <v>0</v>
      </c>
      <c r="E54" s="159"/>
      <c r="F54" s="164" t="s">
        <v>459</v>
      </c>
      <c r="G54" s="162"/>
      <c r="H54" s="162"/>
      <c r="I54" s="163">
        <f t="shared" si="23"/>
        <v>0</v>
      </c>
      <c r="J54" s="159"/>
      <c r="K54" s="165" t="s">
        <v>459</v>
      </c>
      <c r="L54" s="162"/>
      <c r="M54" s="162"/>
      <c r="N54" s="163">
        <f t="shared" si="24"/>
        <v>0</v>
      </c>
      <c r="O54" s="159"/>
      <c r="P54" s="166" t="s">
        <v>459</v>
      </c>
      <c r="Q54" s="162"/>
      <c r="R54" s="162"/>
      <c r="S54" s="163">
        <f t="shared" si="25"/>
        <v>0</v>
      </c>
      <c r="T54" s="159"/>
      <c r="U54" s="166" t="s">
        <v>459</v>
      </c>
      <c r="V54" s="162"/>
      <c r="W54" s="162"/>
      <c r="X54" s="163">
        <f t="shared" si="26"/>
        <v>0</v>
      </c>
      <c r="Y54" s="159"/>
      <c r="Z54" s="173" t="str">
        <f>F50</f>
        <v>手(右)</v>
      </c>
      <c r="AA54" s="172">
        <f>I57</f>
        <v>0</v>
      </c>
      <c r="AB54" s="160"/>
    </row>
    <row r="55" spans="1:28" s="154" customFormat="1" ht="15" customHeight="1" x14ac:dyDescent="0.15">
      <c r="A55" s="161" t="s">
        <v>459</v>
      </c>
      <c r="B55" s="162"/>
      <c r="C55" s="162"/>
      <c r="D55" s="163">
        <f t="shared" si="22"/>
        <v>0</v>
      </c>
      <c r="E55" s="159"/>
      <c r="F55" s="164" t="s">
        <v>459</v>
      </c>
      <c r="G55" s="162"/>
      <c r="H55" s="162"/>
      <c r="I55" s="163">
        <f t="shared" si="23"/>
        <v>0</v>
      </c>
      <c r="J55" s="159"/>
      <c r="K55" s="165" t="s">
        <v>459</v>
      </c>
      <c r="L55" s="162"/>
      <c r="M55" s="162"/>
      <c r="N55" s="163">
        <f t="shared" si="24"/>
        <v>0</v>
      </c>
      <c r="O55" s="159"/>
      <c r="P55" s="166" t="s">
        <v>459</v>
      </c>
      <c r="Q55" s="162"/>
      <c r="R55" s="162"/>
      <c r="S55" s="163">
        <f t="shared" si="25"/>
        <v>0</v>
      </c>
      <c r="T55" s="159"/>
      <c r="U55" s="166" t="s">
        <v>459</v>
      </c>
      <c r="V55" s="162"/>
      <c r="W55" s="162"/>
      <c r="X55" s="163">
        <f t="shared" si="26"/>
        <v>0</v>
      </c>
      <c r="Y55" s="159"/>
      <c r="Z55" s="173" t="str">
        <f>K50</f>
        <v>中(左)</v>
      </c>
      <c r="AA55" s="172">
        <f>N57</f>
        <v>0</v>
      </c>
      <c r="AB55" s="160"/>
    </row>
    <row r="56" spans="1:28" s="154" customFormat="1" ht="15" customHeight="1" x14ac:dyDescent="0.15">
      <c r="A56" s="161" t="s">
        <v>459</v>
      </c>
      <c r="B56" s="162"/>
      <c r="C56" s="162"/>
      <c r="D56" s="163">
        <f t="shared" si="22"/>
        <v>0</v>
      </c>
      <c r="E56" s="159"/>
      <c r="F56" s="164" t="s">
        <v>459</v>
      </c>
      <c r="G56" s="162"/>
      <c r="H56" s="162"/>
      <c r="I56" s="163">
        <f t="shared" si="23"/>
        <v>0</v>
      </c>
      <c r="J56" s="159"/>
      <c r="K56" s="165" t="s">
        <v>459</v>
      </c>
      <c r="L56" s="162"/>
      <c r="M56" s="162"/>
      <c r="N56" s="163">
        <f t="shared" si="24"/>
        <v>0</v>
      </c>
      <c r="O56" s="159"/>
      <c r="P56" s="166" t="s">
        <v>459</v>
      </c>
      <c r="Q56" s="162"/>
      <c r="R56" s="162"/>
      <c r="S56" s="163">
        <f t="shared" si="25"/>
        <v>0</v>
      </c>
      <c r="T56" s="159"/>
      <c r="U56" s="166" t="s">
        <v>459</v>
      </c>
      <c r="V56" s="162"/>
      <c r="W56" s="162"/>
      <c r="X56" s="163">
        <f t="shared" si="26"/>
        <v>0</v>
      </c>
      <c r="Y56" s="159"/>
      <c r="Z56" s="173" t="str">
        <f>P50</f>
        <v>奥</v>
      </c>
      <c r="AA56" s="172">
        <f>S57</f>
        <v>0</v>
      </c>
      <c r="AB56" s="160"/>
    </row>
    <row r="57" spans="1:28" s="154" customFormat="1" ht="15" customHeight="1" thickBot="1" x14ac:dyDescent="0.2">
      <c r="A57" s="159"/>
      <c r="B57" s="159"/>
      <c r="C57" s="183" t="s">
        <v>432</v>
      </c>
      <c r="D57" s="184">
        <f>SUM(D51:D56)</f>
        <v>0</v>
      </c>
      <c r="E57" s="159"/>
      <c r="F57" s="159"/>
      <c r="G57" s="159"/>
      <c r="H57" s="183" t="s">
        <v>432</v>
      </c>
      <c r="I57" s="184">
        <f>SUM(I51:I56)</f>
        <v>0</v>
      </c>
      <c r="J57" s="159"/>
      <c r="K57" s="159"/>
      <c r="L57" s="159"/>
      <c r="M57" s="183" t="s">
        <v>432</v>
      </c>
      <c r="N57" s="184">
        <f>SUM(N51:N56)</f>
        <v>0</v>
      </c>
      <c r="O57" s="159"/>
      <c r="P57" s="159"/>
      <c r="Q57" s="159"/>
      <c r="R57" s="183" t="s">
        <v>432</v>
      </c>
      <c r="S57" s="184">
        <f>SUM(S51:S56)</f>
        <v>0</v>
      </c>
      <c r="T57" s="159"/>
      <c r="U57" s="159"/>
      <c r="V57" s="159"/>
      <c r="W57" s="183" t="s">
        <v>432</v>
      </c>
      <c r="X57" s="184">
        <f>SUM(X51:X56)</f>
        <v>0</v>
      </c>
      <c r="Y57" s="159"/>
      <c r="Z57" s="173">
        <f>U50</f>
        <v>0</v>
      </c>
      <c r="AA57" s="172">
        <f>X57</f>
        <v>0</v>
      </c>
      <c r="AB57" s="160"/>
    </row>
    <row r="58" spans="1:28" s="154" customFormat="1" ht="15" customHeight="1" x14ac:dyDescent="0.15">
      <c r="A58" s="159"/>
      <c r="B58" s="185"/>
      <c r="C58" s="159"/>
      <c r="D58" s="159"/>
      <c r="E58" s="159"/>
      <c r="F58" s="159"/>
      <c r="G58" s="185"/>
      <c r="H58" s="159"/>
      <c r="I58" s="159"/>
      <c r="J58" s="159"/>
      <c r="K58" s="159"/>
      <c r="L58" s="185"/>
      <c r="M58" s="159"/>
      <c r="N58" s="159"/>
      <c r="O58" s="159"/>
      <c r="P58" s="159"/>
      <c r="Q58" s="185"/>
      <c r="R58" s="159"/>
      <c r="S58" s="159"/>
      <c r="T58" s="159"/>
      <c r="U58" s="159"/>
      <c r="V58" s="185"/>
      <c r="W58" s="159"/>
      <c r="X58" s="159"/>
      <c r="Y58" s="159"/>
      <c r="Z58" s="173" t="str">
        <f>A60</f>
        <v>台所</v>
      </c>
      <c r="AA58" s="172">
        <f>D67</f>
        <v>0</v>
      </c>
      <c r="AB58" s="160"/>
    </row>
    <row r="59" spans="1:28" s="154" customFormat="1" ht="15" customHeight="1" thickBot="1" x14ac:dyDescent="0.2">
      <c r="A59" s="159"/>
      <c r="B59" s="159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73" t="str">
        <f>F60</f>
        <v>UT</v>
      </c>
      <c r="AA59" s="172">
        <f>I67</f>
        <v>0</v>
      </c>
      <c r="AB59" s="160"/>
    </row>
    <row r="60" spans="1:28" s="154" customFormat="1" ht="15" customHeight="1" x14ac:dyDescent="0.15">
      <c r="A60" s="156" t="str">
        <f>A15</f>
        <v>台所</v>
      </c>
      <c r="B60" s="157" t="s">
        <v>431</v>
      </c>
      <c r="C60" s="157" t="s">
        <v>34</v>
      </c>
      <c r="D60" s="158" t="s">
        <v>432</v>
      </c>
      <c r="E60" s="159"/>
      <c r="F60" s="156" t="str">
        <f>F15</f>
        <v>UT</v>
      </c>
      <c r="G60" s="157" t="s">
        <v>431</v>
      </c>
      <c r="H60" s="157" t="s">
        <v>34</v>
      </c>
      <c r="I60" s="158" t="s">
        <v>432</v>
      </c>
      <c r="J60" s="159"/>
      <c r="K60" s="156" t="str">
        <f>K15</f>
        <v>WC</v>
      </c>
      <c r="L60" s="157" t="s">
        <v>431</v>
      </c>
      <c r="M60" s="157" t="s">
        <v>34</v>
      </c>
      <c r="N60" s="158" t="s">
        <v>432</v>
      </c>
      <c r="O60" s="159"/>
      <c r="P60" s="156" t="str">
        <f>P15</f>
        <v>玄関</v>
      </c>
      <c r="Q60" s="157" t="s">
        <v>431</v>
      </c>
      <c r="R60" s="157" t="s">
        <v>34</v>
      </c>
      <c r="S60" s="158" t="s">
        <v>432</v>
      </c>
      <c r="T60" s="159"/>
      <c r="U60" s="156" t="str">
        <f>U15</f>
        <v>土間</v>
      </c>
      <c r="V60" s="157" t="s">
        <v>431</v>
      </c>
      <c r="W60" s="157" t="s">
        <v>34</v>
      </c>
      <c r="X60" s="158" t="s">
        <v>432</v>
      </c>
      <c r="Y60" s="159"/>
      <c r="Z60" s="173" t="str">
        <f>K60</f>
        <v>WC</v>
      </c>
      <c r="AA60" s="172">
        <f>N67</f>
        <v>0</v>
      </c>
      <c r="AB60" s="160"/>
    </row>
    <row r="61" spans="1:28" s="154" customFormat="1" ht="15" customHeight="1" x14ac:dyDescent="0.15">
      <c r="A61" s="174" t="s">
        <v>459</v>
      </c>
      <c r="B61" s="162"/>
      <c r="C61" s="162"/>
      <c r="D61" s="163">
        <f t="shared" ref="D61:D66" si="27">SUM(B61*C61)</f>
        <v>0</v>
      </c>
      <c r="E61" s="159"/>
      <c r="F61" s="175" t="s">
        <v>459</v>
      </c>
      <c r="G61" s="162"/>
      <c r="H61" s="162"/>
      <c r="I61" s="163">
        <f t="shared" ref="I61:I66" si="28">SUM(G61*H61)</f>
        <v>0</v>
      </c>
      <c r="J61" s="159"/>
      <c r="K61" s="176" t="s">
        <v>459</v>
      </c>
      <c r="L61" s="162"/>
      <c r="M61" s="162"/>
      <c r="N61" s="163">
        <f t="shared" ref="N61:N66" si="29">SUM(L61*M61)</f>
        <v>0</v>
      </c>
      <c r="O61" s="159"/>
      <c r="P61" s="177" t="s">
        <v>459</v>
      </c>
      <c r="Q61" s="162"/>
      <c r="R61" s="162"/>
      <c r="S61" s="163">
        <f t="shared" ref="S61:S66" si="30">SUM(Q61*R61)</f>
        <v>0</v>
      </c>
      <c r="T61" s="159"/>
      <c r="U61" s="177" t="s">
        <v>459</v>
      </c>
      <c r="V61" s="162"/>
      <c r="W61" s="162"/>
      <c r="X61" s="163">
        <f t="shared" ref="X61:X66" si="31">SUM(V61*W61)</f>
        <v>0</v>
      </c>
      <c r="Y61" s="159"/>
      <c r="Z61" s="173" t="str">
        <f>P60</f>
        <v>玄関</v>
      </c>
      <c r="AA61" s="172">
        <f>S67</f>
        <v>0</v>
      </c>
      <c r="AB61" s="160"/>
    </row>
    <row r="62" spans="1:28" s="154" customFormat="1" ht="15" customHeight="1" x14ac:dyDescent="0.15">
      <c r="A62" s="174" t="s">
        <v>459</v>
      </c>
      <c r="B62" s="162"/>
      <c r="C62" s="162"/>
      <c r="D62" s="163">
        <f t="shared" si="27"/>
        <v>0</v>
      </c>
      <c r="E62" s="159"/>
      <c r="F62" s="175" t="s">
        <v>459</v>
      </c>
      <c r="G62" s="162"/>
      <c r="H62" s="162"/>
      <c r="I62" s="163">
        <f t="shared" si="28"/>
        <v>0</v>
      </c>
      <c r="J62" s="159"/>
      <c r="K62" s="176" t="s">
        <v>459</v>
      </c>
      <c r="L62" s="162"/>
      <c r="M62" s="162"/>
      <c r="N62" s="163">
        <f t="shared" si="29"/>
        <v>0</v>
      </c>
      <c r="O62" s="159"/>
      <c r="P62" s="177" t="s">
        <v>459</v>
      </c>
      <c r="Q62" s="162"/>
      <c r="R62" s="162"/>
      <c r="S62" s="163">
        <f t="shared" si="30"/>
        <v>0</v>
      </c>
      <c r="T62" s="159"/>
      <c r="U62" s="177" t="s">
        <v>459</v>
      </c>
      <c r="V62" s="162"/>
      <c r="W62" s="162"/>
      <c r="X62" s="163">
        <f t="shared" si="31"/>
        <v>0</v>
      </c>
      <c r="Y62" s="159"/>
      <c r="Z62" s="173" t="str">
        <f>U60</f>
        <v>土間</v>
      </c>
      <c r="AA62" s="172">
        <f>X67</f>
        <v>0</v>
      </c>
      <c r="AB62" s="160"/>
    </row>
    <row r="63" spans="1:28" s="154" customFormat="1" ht="15" customHeight="1" x14ac:dyDescent="0.15">
      <c r="A63" s="174" t="s">
        <v>459</v>
      </c>
      <c r="B63" s="162"/>
      <c r="C63" s="162"/>
      <c r="D63" s="163">
        <f t="shared" si="27"/>
        <v>0</v>
      </c>
      <c r="E63" s="159"/>
      <c r="F63" s="175" t="s">
        <v>459</v>
      </c>
      <c r="G63" s="162"/>
      <c r="H63" s="162"/>
      <c r="I63" s="163">
        <f t="shared" si="28"/>
        <v>0</v>
      </c>
      <c r="J63" s="159"/>
      <c r="K63" s="176" t="s">
        <v>459</v>
      </c>
      <c r="L63" s="162"/>
      <c r="M63" s="162"/>
      <c r="N63" s="163">
        <f t="shared" si="29"/>
        <v>0</v>
      </c>
      <c r="O63" s="159"/>
      <c r="P63" s="177" t="s">
        <v>459</v>
      </c>
      <c r="Q63" s="162"/>
      <c r="R63" s="162"/>
      <c r="S63" s="163">
        <f t="shared" si="30"/>
        <v>0</v>
      </c>
      <c r="T63" s="159"/>
      <c r="U63" s="177" t="s">
        <v>459</v>
      </c>
      <c r="V63" s="162"/>
      <c r="W63" s="162"/>
      <c r="X63" s="163">
        <f t="shared" si="31"/>
        <v>0</v>
      </c>
      <c r="Y63" s="159"/>
      <c r="Z63" s="712" t="s">
        <v>405</v>
      </c>
      <c r="AA63" s="713">
        <f>SUM(AA53:AA62)</f>
        <v>0</v>
      </c>
      <c r="AB63" s="160"/>
    </row>
    <row r="64" spans="1:28" s="154" customFormat="1" ht="15" customHeight="1" x14ac:dyDescent="0.15">
      <c r="A64" s="174" t="s">
        <v>459</v>
      </c>
      <c r="B64" s="162"/>
      <c r="C64" s="162"/>
      <c r="D64" s="163">
        <f t="shared" si="27"/>
        <v>0</v>
      </c>
      <c r="E64" s="159"/>
      <c r="F64" s="175" t="s">
        <v>459</v>
      </c>
      <c r="G64" s="162"/>
      <c r="H64" s="162"/>
      <c r="I64" s="163">
        <f t="shared" si="28"/>
        <v>0</v>
      </c>
      <c r="J64" s="159"/>
      <c r="K64" s="176" t="s">
        <v>459</v>
      </c>
      <c r="L64" s="162"/>
      <c r="M64" s="162"/>
      <c r="N64" s="163">
        <f t="shared" si="29"/>
        <v>0</v>
      </c>
      <c r="O64" s="159"/>
      <c r="P64" s="177" t="s">
        <v>459</v>
      </c>
      <c r="Q64" s="162"/>
      <c r="R64" s="162"/>
      <c r="S64" s="163">
        <f t="shared" si="30"/>
        <v>0</v>
      </c>
      <c r="T64" s="159"/>
      <c r="U64" s="177" t="s">
        <v>459</v>
      </c>
      <c r="V64" s="162"/>
      <c r="W64" s="162"/>
      <c r="X64" s="163">
        <f t="shared" si="31"/>
        <v>0</v>
      </c>
      <c r="Y64" s="159"/>
      <c r="Z64" s="712"/>
      <c r="AA64" s="713"/>
      <c r="AB64" s="160"/>
    </row>
    <row r="65" spans="1:28" s="154" customFormat="1" ht="15" customHeight="1" x14ac:dyDescent="0.15">
      <c r="A65" s="174" t="s">
        <v>459</v>
      </c>
      <c r="B65" s="162"/>
      <c r="C65" s="162"/>
      <c r="D65" s="163">
        <f t="shared" si="27"/>
        <v>0</v>
      </c>
      <c r="E65" s="159"/>
      <c r="F65" s="175" t="s">
        <v>459</v>
      </c>
      <c r="G65" s="162"/>
      <c r="H65" s="162"/>
      <c r="I65" s="163">
        <f t="shared" si="28"/>
        <v>0</v>
      </c>
      <c r="J65" s="159"/>
      <c r="K65" s="176" t="s">
        <v>459</v>
      </c>
      <c r="L65" s="162"/>
      <c r="M65" s="162"/>
      <c r="N65" s="163">
        <f t="shared" si="29"/>
        <v>0</v>
      </c>
      <c r="O65" s="159"/>
      <c r="P65" s="177" t="s">
        <v>459</v>
      </c>
      <c r="Q65" s="162"/>
      <c r="R65" s="162"/>
      <c r="S65" s="163">
        <f t="shared" si="30"/>
        <v>0</v>
      </c>
      <c r="T65" s="159"/>
      <c r="U65" s="177" t="s">
        <v>459</v>
      </c>
      <c r="V65" s="162"/>
      <c r="W65" s="162"/>
      <c r="X65" s="163">
        <f t="shared" si="31"/>
        <v>0</v>
      </c>
      <c r="Y65" s="159"/>
      <c r="Z65" s="160"/>
      <c r="AA65" s="160"/>
      <c r="AB65" s="160"/>
    </row>
    <row r="66" spans="1:28" s="154" customFormat="1" ht="15" customHeight="1" x14ac:dyDescent="0.15">
      <c r="A66" s="174" t="s">
        <v>459</v>
      </c>
      <c r="B66" s="162"/>
      <c r="C66" s="162"/>
      <c r="D66" s="163">
        <f t="shared" si="27"/>
        <v>0</v>
      </c>
      <c r="E66" s="159"/>
      <c r="F66" s="175" t="s">
        <v>459</v>
      </c>
      <c r="G66" s="162"/>
      <c r="H66" s="162"/>
      <c r="I66" s="163">
        <f t="shared" si="28"/>
        <v>0</v>
      </c>
      <c r="J66" s="159"/>
      <c r="K66" s="176" t="s">
        <v>459</v>
      </c>
      <c r="L66" s="162"/>
      <c r="M66" s="162"/>
      <c r="N66" s="163">
        <f t="shared" si="29"/>
        <v>0</v>
      </c>
      <c r="O66" s="159"/>
      <c r="P66" s="177" t="s">
        <v>459</v>
      </c>
      <c r="Q66" s="162"/>
      <c r="R66" s="162"/>
      <c r="S66" s="163">
        <f t="shared" si="30"/>
        <v>0</v>
      </c>
      <c r="T66" s="159"/>
      <c r="U66" s="177" t="s">
        <v>459</v>
      </c>
      <c r="V66" s="162"/>
      <c r="W66" s="162"/>
      <c r="X66" s="163">
        <f t="shared" si="31"/>
        <v>0</v>
      </c>
      <c r="Y66" s="159"/>
      <c r="Z66" s="160"/>
      <c r="AA66" s="160"/>
      <c r="AB66" s="160"/>
    </row>
    <row r="67" spans="1:28" s="154" customFormat="1" ht="15" customHeight="1" thickBot="1" x14ac:dyDescent="0.2">
      <c r="A67" s="153"/>
      <c r="B67" s="153"/>
      <c r="C67" s="186" t="s">
        <v>432</v>
      </c>
      <c r="D67" s="187">
        <f>SUM(D61:D66)</f>
        <v>0</v>
      </c>
      <c r="E67" s="153"/>
      <c r="F67" s="153"/>
      <c r="G67" s="153"/>
      <c r="H67" s="186" t="s">
        <v>432</v>
      </c>
      <c r="I67" s="187">
        <f>SUM(I61:I66)</f>
        <v>0</v>
      </c>
      <c r="J67" s="153"/>
      <c r="K67" s="153"/>
      <c r="L67" s="153"/>
      <c r="M67" s="186" t="s">
        <v>432</v>
      </c>
      <c r="N67" s="187">
        <f>SUM(N61:N66)</f>
        <v>0</v>
      </c>
      <c r="O67" s="153"/>
      <c r="P67" s="153"/>
      <c r="Q67" s="153"/>
      <c r="R67" s="186" t="s">
        <v>432</v>
      </c>
      <c r="S67" s="187">
        <f>SUM(S61:S66)</f>
        <v>0</v>
      </c>
      <c r="T67" s="153"/>
      <c r="U67" s="153"/>
      <c r="V67" s="153"/>
      <c r="W67" s="186" t="s">
        <v>432</v>
      </c>
      <c r="X67" s="187">
        <f>SUM(X61:X66)</f>
        <v>0</v>
      </c>
      <c r="Y67" s="153"/>
    </row>
    <row r="68" spans="1:28" s="154" customFormat="1" ht="18" customHeight="1" x14ac:dyDescent="0.15">
      <c r="A68" s="153"/>
      <c r="B68" s="188"/>
      <c r="C68" s="153"/>
      <c r="D68" s="153"/>
      <c r="E68" s="153"/>
      <c r="F68" s="153"/>
      <c r="G68" s="188"/>
      <c r="H68" s="153"/>
      <c r="I68" s="153"/>
      <c r="J68" s="153"/>
      <c r="K68" s="153"/>
      <c r="L68" s="188"/>
      <c r="M68" s="153"/>
      <c r="N68" s="153"/>
      <c r="O68" s="153"/>
      <c r="P68" s="153"/>
      <c r="Q68" s="188"/>
      <c r="R68" s="153"/>
      <c r="S68" s="153"/>
      <c r="T68" s="153"/>
      <c r="U68" s="153"/>
      <c r="V68" s="188"/>
      <c r="W68" s="153"/>
      <c r="X68" s="153"/>
      <c r="Y68" s="153"/>
    </row>
  </sheetData>
  <mergeCells count="25">
    <mergeCell ref="A48:D48"/>
    <mergeCell ref="Z51:AA52"/>
    <mergeCell ref="Z63:Z64"/>
    <mergeCell ref="AA63:AA64"/>
    <mergeCell ref="A25:D26"/>
    <mergeCell ref="Z27:AA28"/>
    <mergeCell ref="AB27:AB28"/>
    <mergeCell ref="Z39:Z40"/>
    <mergeCell ref="AA39:AA40"/>
    <mergeCell ref="Z44:Z45"/>
    <mergeCell ref="AA44:AA45"/>
    <mergeCell ref="Z8:AA8"/>
    <mergeCell ref="AC10:AD11"/>
    <mergeCell ref="Z12:AA13"/>
    <mergeCell ref="AC12:AD13"/>
    <mergeCell ref="Z24:Z25"/>
    <mergeCell ref="AA24:AA25"/>
    <mergeCell ref="AC24:AC25"/>
    <mergeCell ref="AD24:AD25"/>
    <mergeCell ref="Z6:AA6"/>
    <mergeCell ref="C1:G1"/>
    <mergeCell ref="H1:I1"/>
    <mergeCell ref="N1:P1"/>
    <mergeCell ref="A3:D3"/>
    <mergeCell ref="Z4:AA4"/>
  </mergeCells>
  <phoneticPr fontId="3"/>
  <hyperlinks>
    <hyperlink ref="Z4:AA4" location="工事カード!A1" display="メニューへ戻る" xr:uid="{35D69528-6484-4A16-9680-C608957B56CC}"/>
    <hyperlink ref="Z6:AA6" location="見積書!A1" display="見積書へ戻る" xr:uid="{E8E167F9-894B-4ADE-9290-FD8307C1CAB8}"/>
    <hyperlink ref="Z8:AA8" location="'業者住所録 '!A1" display="発注書へ戻る" xr:uid="{CFEF229A-FA3B-4DCB-88AE-F216F1385EC5}"/>
  </hyperlinks>
  <pageMargins left="0.25" right="0.25" top="0.75" bottom="0.75" header="0.3" footer="0.3"/>
  <pageSetup paperSize="9" scale="57" orientation="portrait" verticalDpi="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517D-8F13-48AA-9ACD-09E13F51282C}">
  <sheetPr codeName="Sheet28">
    <tabColor theme="9" tint="-0.249977111117893"/>
    <pageSetUpPr fitToPage="1"/>
  </sheetPr>
  <dimension ref="B1:U94"/>
  <sheetViews>
    <sheetView showGridLines="0" showZeros="0" zoomScaleNormal="100" workbookViewId="0">
      <selection activeCell="A4" sqref="A4:XFD4"/>
    </sheetView>
  </sheetViews>
  <sheetFormatPr defaultRowHeight="13.5" x14ac:dyDescent="0.15"/>
  <cols>
    <col min="1" max="1" width="1.25" style="1" customWidth="1"/>
    <col min="2" max="2" width="7.25" style="1" customWidth="1"/>
    <col min="3" max="3" width="8.125" style="1" customWidth="1"/>
    <col min="4" max="4" width="11.125" style="1" customWidth="1"/>
    <col min="5" max="5" width="29.25" style="1" customWidth="1"/>
    <col min="6" max="6" width="9.75" style="1" customWidth="1"/>
    <col min="7" max="7" width="7.25" style="1" customWidth="1"/>
    <col min="8" max="8" width="7.25" style="2" customWidth="1"/>
    <col min="9" max="9" width="7" style="2" bestFit="1" customWidth="1"/>
    <col min="10" max="10" width="10" style="1" customWidth="1"/>
    <col min="11" max="11" width="15.125" style="1" customWidth="1"/>
    <col min="12" max="12" width="9" style="1"/>
    <col min="13" max="14" width="10" style="1" bestFit="1" customWidth="1"/>
    <col min="15" max="256" width="9" style="1"/>
    <col min="257" max="257" width="1.25" style="1" customWidth="1"/>
    <col min="258" max="258" width="7.25" style="1" customWidth="1"/>
    <col min="259" max="259" width="11.5" style="1" customWidth="1"/>
    <col min="260" max="260" width="11.125" style="1" customWidth="1"/>
    <col min="261" max="261" width="29.25" style="1" customWidth="1"/>
    <col min="262" max="262" width="9.75" style="1" customWidth="1"/>
    <col min="263" max="264" width="7.25" style="1" customWidth="1"/>
    <col min="265" max="265" width="6.5" style="1" customWidth="1"/>
    <col min="266" max="266" width="10" style="1" customWidth="1"/>
    <col min="267" max="267" width="15.125" style="1" customWidth="1"/>
    <col min="268" max="512" width="9" style="1"/>
    <col min="513" max="513" width="1.25" style="1" customWidth="1"/>
    <col min="514" max="514" width="7.25" style="1" customWidth="1"/>
    <col min="515" max="515" width="11.5" style="1" customWidth="1"/>
    <col min="516" max="516" width="11.125" style="1" customWidth="1"/>
    <col min="517" max="517" width="29.25" style="1" customWidth="1"/>
    <col min="518" max="518" width="9.75" style="1" customWidth="1"/>
    <col min="519" max="520" width="7.25" style="1" customWidth="1"/>
    <col min="521" max="521" width="6.5" style="1" customWidth="1"/>
    <col min="522" max="522" width="10" style="1" customWidth="1"/>
    <col min="523" max="523" width="15.125" style="1" customWidth="1"/>
    <col min="524" max="768" width="9" style="1"/>
    <col min="769" max="769" width="1.25" style="1" customWidth="1"/>
    <col min="770" max="770" width="7.25" style="1" customWidth="1"/>
    <col min="771" max="771" width="11.5" style="1" customWidth="1"/>
    <col min="772" max="772" width="11.125" style="1" customWidth="1"/>
    <col min="773" max="773" width="29.25" style="1" customWidth="1"/>
    <col min="774" max="774" width="9.75" style="1" customWidth="1"/>
    <col min="775" max="776" width="7.25" style="1" customWidth="1"/>
    <col min="777" max="777" width="6.5" style="1" customWidth="1"/>
    <col min="778" max="778" width="10" style="1" customWidth="1"/>
    <col min="779" max="779" width="15.125" style="1" customWidth="1"/>
    <col min="780" max="1024" width="9" style="1"/>
    <col min="1025" max="1025" width="1.25" style="1" customWidth="1"/>
    <col min="1026" max="1026" width="7.25" style="1" customWidth="1"/>
    <col min="1027" max="1027" width="11.5" style="1" customWidth="1"/>
    <col min="1028" max="1028" width="11.125" style="1" customWidth="1"/>
    <col min="1029" max="1029" width="29.25" style="1" customWidth="1"/>
    <col min="1030" max="1030" width="9.75" style="1" customWidth="1"/>
    <col min="1031" max="1032" width="7.25" style="1" customWidth="1"/>
    <col min="1033" max="1033" width="6.5" style="1" customWidth="1"/>
    <col min="1034" max="1034" width="10" style="1" customWidth="1"/>
    <col min="1035" max="1035" width="15.125" style="1" customWidth="1"/>
    <col min="1036" max="1280" width="9" style="1"/>
    <col min="1281" max="1281" width="1.25" style="1" customWidth="1"/>
    <col min="1282" max="1282" width="7.25" style="1" customWidth="1"/>
    <col min="1283" max="1283" width="11.5" style="1" customWidth="1"/>
    <col min="1284" max="1284" width="11.125" style="1" customWidth="1"/>
    <col min="1285" max="1285" width="29.25" style="1" customWidth="1"/>
    <col min="1286" max="1286" width="9.75" style="1" customWidth="1"/>
    <col min="1287" max="1288" width="7.25" style="1" customWidth="1"/>
    <col min="1289" max="1289" width="6.5" style="1" customWidth="1"/>
    <col min="1290" max="1290" width="10" style="1" customWidth="1"/>
    <col min="1291" max="1291" width="15.125" style="1" customWidth="1"/>
    <col min="1292" max="1536" width="9" style="1"/>
    <col min="1537" max="1537" width="1.25" style="1" customWidth="1"/>
    <col min="1538" max="1538" width="7.25" style="1" customWidth="1"/>
    <col min="1539" max="1539" width="11.5" style="1" customWidth="1"/>
    <col min="1540" max="1540" width="11.125" style="1" customWidth="1"/>
    <col min="1541" max="1541" width="29.25" style="1" customWidth="1"/>
    <col min="1542" max="1542" width="9.75" style="1" customWidth="1"/>
    <col min="1543" max="1544" width="7.25" style="1" customWidth="1"/>
    <col min="1545" max="1545" width="6.5" style="1" customWidth="1"/>
    <col min="1546" max="1546" width="10" style="1" customWidth="1"/>
    <col min="1547" max="1547" width="15.125" style="1" customWidth="1"/>
    <col min="1548" max="1792" width="9" style="1"/>
    <col min="1793" max="1793" width="1.25" style="1" customWidth="1"/>
    <col min="1794" max="1794" width="7.25" style="1" customWidth="1"/>
    <col min="1795" max="1795" width="11.5" style="1" customWidth="1"/>
    <col min="1796" max="1796" width="11.125" style="1" customWidth="1"/>
    <col min="1797" max="1797" width="29.25" style="1" customWidth="1"/>
    <col min="1798" max="1798" width="9.75" style="1" customWidth="1"/>
    <col min="1799" max="1800" width="7.25" style="1" customWidth="1"/>
    <col min="1801" max="1801" width="6.5" style="1" customWidth="1"/>
    <col min="1802" max="1802" width="10" style="1" customWidth="1"/>
    <col min="1803" max="1803" width="15.125" style="1" customWidth="1"/>
    <col min="1804" max="2048" width="9" style="1"/>
    <col min="2049" max="2049" width="1.25" style="1" customWidth="1"/>
    <col min="2050" max="2050" width="7.25" style="1" customWidth="1"/>
    <col min="2051" max="2051" width="11.5" style="1" customWidth="1"/>
    <col min="2052" max="2052" width="11.125" style="1" customWidth="1"/>
    <col min="2053" max="2053" width="29.25" style="1" customWidth="1"/>
    <col min="2054" max="2054" width="9.75" style="1" customWidth="1"/>
    <col min="2055" max="2056" width="7.25" style="1" customWidth="1"/>
    <col min="2057" max="2057" width="6.5" style="1" customWidth="1"/>
    <col min="2058" max="2058" width="10" style="1" customWidth="1"/>
    <col min="2059" max="2059" width="15.125" style="1" customWidth="1"/>
    <col min="2060" max="2304" width="9" style="1"/>
    <col min="2305" max="2305" width="1.25" style="1" customWidth="1"/>
    <col min="2306" max="2306" width="7.25" style="1" customWidth="1"/>
    <col min="2307" max="2307" width="11.5" style="1" customWidth="1"/>
    <col min="2308" max="2308" width="11.125" style="1" customWidth="1"/>
    <col min="2309" max="2309" width="29.25" style="1" customWidth="1"/>
    <col min="2310" max="2310" width="9.75" style="1" customWidth="1"/>
    <col min="2311" max="2312" width="7.25" style="1" customWidth="1"/>
    <col min="2313" max="2313" width="6.5" style="1" customWidth="1"/>
    <col min="2314" max="2314" width="10" style="1" customWidth="1"/>
    <col min="2315" max="2315" width="15.125" style="1" customWidth="1"/>
    <col min="2316" max="2560" width="9" style="1"/>
    <col min="2561" max="2561" width="1.25" style="1" customWidth="1"/>
    <col min="2562" max="2562" width="7.25" style="1" customWidth="1"/>
    <col min="2563" max="2563" width="11.5" style="1" customWidth="1"/>
    <col min="2564" max="2564" width="11.125" style="1" customWidth="1"/>
    <col min="2565" max="2565" width="29.25" style="1" customWidth="1"/>
    <col min="2566" max="2566" width="9.75" style="1" customWidth="1"/>
    <col min="2567" max="2568" width="7.25" style="1" customWidth="1"/>
    <col min="2569" max="2569" width="6.5" style="1" customWidth="1"/>
    <col min="2570" max="2570" width="10" style="1" customWidth="1"/>
    <col min="2571" max="2571" width="15.125" style="1" customWidth="1"/>
    <col min="2572" max="2816" width="9" style="1"/>
    <col min="2817" max="2817" width="1.25" style="1" customWidth="1"/>
    <col min="2818" max="2818" width="7.25" style="1" customWidth="1"/>
    <col min="2819" max="2819" width="11.5" style="1" customWidth="1"/>
    <col min="2820" max="2820" width="11.125" style="1" customWidth="1"/>
    <col min="2821" max="2821" width="29.25" style="1" customWidth="1"/>
    <col min="2822" max="2822" width="9.75" style="1" customWidth="1"/>
    <col min="2823" max="2824" width="7.25" style="1" customWidth="1"/>
    <col min="2825" max="2825" width="6.5" style="1" customWidth="1"/>
    <col min="2826" max="2826" width="10" style="1" customWidth="1"/>
    <col min="2827" max="2827" width="15.125" style="1" customWidth="1"/>
    <col min="2828" max="3072" width="9" style="1"/>
    <col min="3073" max="3073" width="1.25" style="1" customWidth="1"/>
    <col min="3074" max="3074" width="7.25" style="1" customWidth="1"/>
    <col min="3075" max="3075" width="11.5" style="1" customWidth="1"/>
    <col min="3076" max="3076" width="11.125" style="1" customWidth="1"/>
    <col min="3077" max="3077" width="29.25" style="1" customWidth="1"/>
    <col min="3078" max="3078" width="9.75" style="1" customWidth="1"/>
    <col min="3079" max="3080" width="7.25" style="1" customWidth="1"/>
    <col min="3081" max="3081" width="6.5" style="1" customWidth="1"/>
    <col min="3082" max="3082" width="10" style="1" customWidth="1"/>
    <col min="3083" max="3083" width="15.125" style="1" customWidth="1"/>
    <col min="3084" max="3328" width="9" style="1"/>
    <col min="3329" max="3329" width="1.25" style="1" customWidth="1"/>
    <col min="3330" max="3330" width="7.25" style="1" customWidth="1"/>
    <col min="3331" max="3331" width="11.5" style="1" customWidth="1"/>
    <col min="3332" max="3332" width="11.125" style="1" customWidth="1"/>
    <col min="3333" max="3333" width="29.25" style="1" customWidth="1"/>
    <col min="3334" max="3334" width="9.75" style="1" customWidth="1"/>
    <col min="3335" max="3336" width="7.25" style="1" customWidth="1"/>
    <col min="3337" max="3337" width="6.5" style="1" customWidth="1"/>
    <col min="3338" max="3338" width="10" style="1" customWidth="1"/>
    <col min="3339" max="3339" width="15.125" style="1" customWidth="1"/>
    <col min="3340" max="3584" width="9" style="1"/>
    <col min="3585" max="3585" width="1.25" style="1" customWidth="1"/>
    <col min="3586" max="3586" width="7.25" style="1" customWidth="1"/>
    <col min="3587" max="3587" width="11.5" style="1" customWidth="1"/>
    <col min="3588" max="3588" width="11.125" style="1" customWidth="1"/>
    <col min="3589" max="3589" width="29.25" style="1" customWidth="1"/>
    <col min="3590" max="3590" width="9.75" style="1" customWidth="1"/>
    <col min="3591" max="3592" width="7.25" style="1" customWidth="1"/>
    <col min="3593" max="3593" width="6.5" style="1" customWidth="1"/>
    <col min="3594" max="3594" width="10" style="1" customWidth="1"/>
    <col min="3595" max="3595" width="15.125" style="1" customWidth="1"/>
    <col min="3596" max="3840" width="9" style="1"/>
    <col min="3841" max="3841" width="1.25" style="1" customWidth="1"/>
    <col min="3842" max="3842" width="7.25" style="1" customWidth="1"/>
    <col min="3843" max="3843" width="11.5" style="1" customWidth="1"/>
    <col min="3844" max="3844" width="11.125" style="1" customWidth="1"/>
    <col min="3845" max="3845" width="29.25" style="1" customWidth="1"/>
    <col min="3846" max="3846" width="9.75" style="1" customWidth="1"/>
    <col min="3847" max="3848" width="7.25" style="1" customWidth="1"/>
    <col min="3849" max="3849" width="6.5" style="1" customWidth="1"/>
    <col min="3850" max="3850" width="10" style="1" customWidth="1"/>
    <col min="3851" max="3851" width="15.125" style="1" customWidth="1"/>
    <col min="3852" max="4096" width="9" style="1"/>
    <col min="4097" max="4097" width="1.25" style="1" customWidth="1"/>
    <col min="4098" max="4098" width="7.25" style="1" customWidth="1"/>
    <col min="4099" max="4099" width="11.5" style="1" customWidth="1"/>
    <col min="4100" max="4100" width="11.125" style="1" customWidth="1"/>
    <col min="4101" max="4101" width="29.25" style="1" customWidth="1"/>
    <col min="4102" max="4102" width="9.75" style="1" customWidth="1"/>
    <col min="4103" max="4104" width="7.25" style="1" customWidth="1"/>
    <col min="4105" max="4105" width="6.5" style="1" customWidth="1"/>
    <col min="4106" max="4106" width="10" style="1" customWidth="1"/>
    <col min="4107" max="4107" width="15.125" style="1" customWidth="1"/>
    <col min="4108" max="4352" width="9" style="1"/>
    <col min="4353" max="4353" width="1.25" style="1" customWidth="1"/>
    <col min="4354" max="4354" width="7.25" style="1" customWidth="1"/>
    <col min="4355" max="4355" width="11.5" style="1" customWidth="1"/>
    <col min="4356" max="4356" width="11.125" style="1" customWidth="1"/>
    <col min="4357" max="4357" width="29.25" style="1" customWidth="1"/>
    <col min="4358" max="4358" width="9.75" style="1" customWidth="1"/>
    <col min="4359" max="4360" width="7.25" style="1" customWidth="1"/>
    <col min="4361" max="4361" width="6.5" style="1" customWidth="1"/>
    <col min="4362" max="4362" width="10" style="1" customWidth="1"/>
    <col min="4363" max="4363" width="15.125" style="1" customWidth="1"/>
    <col min="4364" max="4608" width="9" style="1"/>
    <col min="4609" max="4609" width="1.25" style="1" customWidth="1"/>
    <col min="4610" max="4610" width="7.25" style="1" customWidth="1"/>
    <col min="4611" max="4611" width="11.5" style="1" customWidth="1"/>
    <col min="4612" max="4612" width="11.125" style="1" customWidth="1"/>
    <col min="4613" max="4613" width="29.25" style="1" customWidth="1"/>
    <col min="4614" max="4614" width="9.75" style="1" customWidth="1"/>
    <col min="4615" max="4616" width="7.25" style="1" customWidth="1"/>
    <col min="4617" max="4617" width="6.5" style="1" customWidth="1"/>
    <col min="4618" max="4618" width="10" style="1" customWidth="1"/>
    <col min="4619" max="4619" width="15.125" style="1" customWidth="1"/>
    <col min="4620" max="4864" width="9" style="1"/>
    <col min="4865" max="4865" width="1.25" style="1" customWidth="1"/>
    <col min="4866" max="4866" width="7.25" style="1" customWidth="1"/>
    <col min="4867" max="4867" width="11.5" style="1" customWidth="1"/>
    <col min="4868" max="4868" width="11.125" style="1" customWidth="1"/>
    <col min="4869" max="4869" width="29.25" style="1" customWidth="1"/>
    <col min="4870" max="4870" width="9.75" style="1" customWidth="1"/>
    <col min="4871" max="4872" width="7.25" style="1" customWidth="1"/>
    <col min="4873" max="4873" width="6.5" style="1" customWidth="1"/>
    <col min="4874" max="4874" width="10" style="1" customWidth="1"/>
    <col min="4875" max="4875" width="15.125" style="1" customWidth="1"/>
    <col min="4876" max="5120" width="9" style="1"/>
    <col min="5121" max="5121" width="1.25" style="1" customWidth="1"/>
    <col min="5122" max="5122" width="7.25" style="1" customWidth="1"/>
    <col min="5123" max="5123" width="11.5" style="1" customWidth="1"/>
    <col min="5124" max="5124" width="11.125" style="1" customWidth="1"/>
    <col min="5125" max="5125" width="29.25" style="1" customWidth="1"/>
    <col min="5126" max="5126" width="9.75" style="1" customWidth="1"/>
    <col min="5127" max="5128" width="7.25" style="1" customWidth="1"/>
    <col min="5129" max="5129" width="6.5" style="1" customWidth="1"/>
    <col min="5130" max="5130" width="10" style="1" customWidth="1"/>
    <col min="5131" max="5131" width="15.125" style="1" customWidth="1"/>
    <col min="5132" max="5376" width="9" style="1"/>
    <col min="5377" max="5377" width="1.25" style="1" customWidth="1"/>
    <col min="5378" max="5378" width="7.25" style="1" customWidth="1"/>
    <col min="5379" max="5379" width="11.5" style="1" customWidth="1"/>
    <col min="5380" max="5380" width="11.125" style="1" customWidth="1"/>
    <col min="5381" max="5381" width="29.25" style="1" customWidth="1"/>
    <col min="5382" max="5382" width="9.75" style="1" customWidth="1"/>
    <col min="5383" max="5384" width="7.25" style="1" customWidth="1"/>
    <col min="5385" max="5385" width="6.5" style="1" customWidth="1"/>
    <col min="5386" max="5386" width="10" style="1" customWidth="1"/>
    <col min="5387" max="5387" width="15.125" style="1" customWidth="1"/>
    <col min="5388" max="5632" width="9" style="1"/>
    <col min="5633" max="5633" width="1.25" style="1" customWidth="1"/>
    <col min="5634" max="5634" width="7.25" style="1" customWidth="1"/>
    <col min="5635" max="5635" width="11.5" style="1" customWidth="1"/>
    <col min="5636" max="5636" width="11.125" style="1" customWidth="1"/>
    <col min="5637" max="5637" width="29.25" style="1" customWidth="1"/>
    <col min="5638" max="5638" width="9.75" style="1" customWidth="1"/>
    <col min="5639" max="5640" width="7.25" style="1" customWidth="1"/>
    <col min="5641" max="5641" width="6.5" style="1" customWidth="1"/>
    <col min="5642" max="5642" width="10" style="1" customWidth="1"/>
    <col min="5643" max="5643" width="15.125" style="1" customWidth="1"/>
    <col min="5644" max="5888" width="9" style="1"/>
    <col min="5889" max="5889" width="1.25" style="1" customWidth="1"/>
    <col min="5890" max="5890" width="7.25" style="1" customWidth="1"/>
    <col min="5891" max="5891" width="11.5" style="1" customWidth="1"/>
    <col min="5892" max="5892" width="11.125" style="1" customWidth="1"/>
    <col min="5893" max="5893" width="29.25" style="1" customWidth="1"/>
    <col min="5894" max="5894" width="9.75" style="1" customWidth="1"/>
    <col min="5895" max="5896" width="7.25" style="1" customWidth="1"/>
    <col min="5897" max="5897" width="6.5" style="1" customWidth="1"/>
    <col min="5898" max="5898" width="10" style="1" customWidth="1"/>
    <col min="5899" max="5899" width="15.125" style="1" customWidth="1"/>
    <col min="5900" max="6144" width="9" style="1"/>
    <col min="6145" max="6145" width="1.25" style="1" customWidth="1"/>
    <col min="6146" max="6146" width="7.25" style="1" customWidth="1"/>
    <col min="6147" max="6147" width="11.5" style="1" customWidth="1"/>
    <col min="6148" max="6148" width="11.125" style="1" customWidth="1"/>
    <col min="6149" max="6149" width="29.25" style="1" customWidth="1"/>
    <col min="6150" max="6150" width="9.75" style="1" customWidth="1"/>
    <col min="6151" max="6152" width="7.25" style="1" customWidth="1"/>
    <col min="6153" max="6153" width="6.5" style="1" customWidth="1"/>
    <col min="6154" max="6154" width="10" style="1" customWidth="1"/>
    <col min="6155" max="6155" width="15.125" style="1" customWidth="1"/>
    <col min="6156" max="6400" width="9" style="1"/>
    <col min="6401" max="6401" width="1.25" style="1" customWidth="1"/>
    <col min="6402" max="6402" width="7.25" style="1" customWidth="1"/>
    <col min="6403" max="6403" width="11.5" style="1" customWidth="1"/>
    <col min="6404" max="6404" width="11.125" style="1" customWidth="1"/>
    <col min="6405" max="6405" width="29.25" style="1" customWidth="1"/>
    <col min="6406" max="6406" width="9.75" style="1" customWidth="1"/>
    <col min="6407" max="6408" width="7.25" style="1" customWidth="1"/>
    <col min="6409" max="6409" width="6.5" style="1" customWidth="1"/>
    <col min="6410" max="6410" width="10" style="1" customWidth="1"/>
    <col min="6411" max="6411" width="15.125" style="1" customWidth="1"/>
    <col min="6412" max="6656" width="9" style="1"/>
    <col min="6657" max="6657" width="1.25" style="1" customWidth="1"/>
    <col min="6658" max="6658" width="7.25" style="1" customWidth="1"/>
    <col min="6659" max="6659" width="11.5" style="1" customWidth="1"/>
    <col min="6660" max="6660" width="11.125" style="1" customWidth="1"/>
    <col min="6661" max="6661" width="29.25" style="1" customWidth="1"/>
    <col min="6662" max="6662" width="9.75" style="1" customWidth="1"/>
    <col min="6663" max="6664" width="7.25" style="1" customWidth="1"/>
    <col min="6665" max="6665" width="6.5" style="1" customWidth="1"/>
    <col min="6666" max="6666" width="10" style="1" customWidth="1"/>
    <col min="6667" max="6667" width="15.125" style="1" customWidth="1"/>
    <col min="6668" max="6912" width="9" style="1"/>
    <col min="6913" max="6913" width="1.25" style="1" customWidth="1"/>
    <col min="6914" max="6914" width="7.25" style="1" customWidth="1"/>
    <col min="6915" max="6915" width="11.5" style="1" customWidth="1"/>
    <col min="6916" max="6916" width="11.125" style="1" customWidth="1"/>
    <col min="6917" max="6917" width="29.25" style="1" customWidth="1"/>
    <col min="6918" max="6918" width="9.75" style="1" customWidth="1"/>
    <col min="6919" max="6920" width="7.25" style="1" customWidth="1"/>
    <col min="6921" max="6921" width="6.5" style="1" customWidth="1"/>
    <col min="6922" max="6922" width="10" style="1" customWidth="1"/>
    <col min="6923" max="6923" width="15.125" style="1" customWidth="1"/>
    <col min="6924" max="7168" width="9" style="1"/>
    <col min="7169" max="7169" width="1.25" style="1" customWidth="1"/>
    <col min="7170" max="7170" width="7.25" style="1" customWidth="1"/>
    <col min="7171" max="7171" width="11.5" style="1" customWidth="1"/>
    <col min="7172" max="7172" width="11.125" style="1" customWidth="1"/>
    <col min="7173" max="7173" width="29.25" style="1" customWidth="1"/>
    <col min="7174" max="7174" width="9.75" style="1" customWidth="1"/>
    <col min="7175" max="7176" width="7.25" style="1" customWidth="1"/>
    <col min="7177" max="7177" width="6.5" style="1" customWidth="1"/>
    <col min="7178" max="7178" width="10" style="1" customWidth="1"/>
    <col min="7179" max="7179" width="15.125" style="1" customWidth="1"/>
    <col min="7180" max="7424" width="9" style="1"/>
    <col min="7425" max="7425" width="1.25" style="1" customWidth="1"/>
    <col min="7426" max="7426" width="7.25" style="1" customWidth="1"/>
    <col min="7427" max="7427" width="11.5" style="1" customWidth="1"/>
    <col min="7428" max="7428" width="11.125" style="1" customWidth="1"/>
    <col min="7429" max="7429" width="29.25" style="1" customWidth="1"/>
    <col min="7430" max="7430" width="9.75" style="1" customWidth="1"/>
    <col min="7431" max="7432" width="7.25" style="1" customWidth="1"/>
    <col min="7433" max="7433" width="6.5" style="1" customWidth="1"/>
    <col min="7434" max="7434" width="10" style="1" customWidth="1"/>
    <col min="7435" max="7435" width="15.125" style="1" customWidth="1"/>
    <col min="7436" max="7680" width="9" style="1"/>
    <col min="7681" max="7681" width="1.25" style="1" customWidth="1"/>
    <col min="7682" max="7682" width="7.25" style="1" customWidth="1"/>
    <col min="7683" max="7683" width="11.5" style="1" customWidth="1"/>
    <col min="7684" max="7684" width="11.125" style="1" customWidth="1"/>
    <col min="7685" max="7685" width="29.25" style="1" customWidth="1"/>
    <col min="7686" max="7686" width="9.75" style="1" customWidth="1"/>
    <col min="7687" max="7688" width="7.25" style="1" customWidth="1"/>
    <col min="7689" max="7689" width="6.5" style="1" customWidth="1"/>
    <col min="7690" max="7690" width="10" style="1" customWidth="1"/>
    <col min="7691" max="7691" width="15.125" style="1" customWidth="1"/>
    <col min="7692" max="7936" width="9" style="1"/>
    <col min="7937" max="7937" width="1.25" style="1" customWidth="1"/>
    <col min="7938" max="7938" width="7.25" style="1" customWidth="1"/>
    <col min="7939" max="7939" width="11.5" style="1" customWidth="1"/>
    <col min="7940" max="7940" width="11.125" style="1" customWidth="1"/>
    <col min="7941" max="7941" width="29.25" style="1" customWidth="1"/>
    <col min="7942" max="7942" width="9.75" style="1" customWidth="1"/>
    <col min="7943" max="7944" width="7.25" style="1" customWidth="1"/>
    <col min="7945" max="7945" width="6.5" style="1" customWidth="1"/>
    <col min="7946" max="7946" width="10" style="1" customWidth="1"/>
    <col min="7947" max="7947" width="15.125" style="1" customWidth="1"/>
    <col min="7948" max="8192" width="9" style="1"/>
    <col min="8193" max="8193" width="1.25" style="1" customWidth="1"/>
    <col min="8194" max="8194" width="7.25" style="1" customWidth="1"/>
    <col min="8195" max="8195" width="11.5" style="1" customWidth="1"/>
    <col min="8196" max="8196" width="11.125" style="1" customWidth="1"/>
    <col min="8197" max="8197" width="29.25" style="1" customWidth="1"/>
    <col min="8198" max="8198" width="9.75" style="1" customWidth="1"/>
    <col min="8199" max="8200" width="7.25" style="1" customWidth="1"/>
    <col min="8201" max="8201" width="6.5" style="1" customWidth="1"/>
    <col min="8202" max="8202" width="10" style="1" customWidth="1"/>
    <col min="8203" max="8203" width="15.125" style="1" customWidth="1"/>
    <col min="8204" max="8448" width="9" style="1"/>
    <col min="8449" max="8449" width="1.25" style="1" customWidth="1"/>
    <col min="8450" max="8450" width="7.25" style="1" customWidth="1"/>
    <col min="8451" max="8451" width="11.5" style="1" customWidth="1"/>
    <col min="8452" max="8452" width="11.125" style="1" customWidth="1"/>
    <col min="8453" max="8453" width="29.25" style="1" customWidth="1"/>
    <col min="8454" max="8454" width="9.75" style="1" customWidth="1"/>
    <col min="8455" max="8456" width="7.25" style="1" customWidth="1"/>
    <col min="8457" max="8457" width="6.5" style="1" customWidth="1"/>
    <col min="8458" max="8458" width="10" style="1" customWidth="1"/>
    <col min="8459" max="8459" width="15.125" style="1" customWidth="1"/>
    <col min="8460" max="8704" width="9" style="1"/>
    <col min="8705" max="8705" width="1.25" style="1" customWidth="1"/>
    <col min="8706" max="8706" width="7.25" style="1" customWidth="1"/>
    <col min="8707" max="8707" width="11.5" style="1" customWidth="1"/>
    <col min="8708" max="8708" width="11.125" style="1" customWidth="1"/>
    <col min="8709" max="8709" width="29.25" style="1" customWidth="1"/>
    <col min="8710" max="8710" width="9.75" style="1" customWidth="1"/>
    <col min="8711" max="8712" width="7.25" style="1" customWidth="1"/>
    <col min="8713" max="8713" width="6.5" style="1" customWidth="1"/>
    <col min="8714" max="8714" width="10" style="1" customWidth="1"/>
    <col min="8715" max="8715" width="15.125" style="1" customWidth="1"/>
    <col min="8716" max="8960" width="9" style="1"/>
    <col min="8961" max="8961" width="1.25" style="1" customWidth="1"/>
    <col min="8962" max="8962" width="7.25" style="1" customWidth="1"/>
    <col min="8963" max="8963" width="11.5" style="1" customWidth="1"/>
    <col min="8964" max="8964" width="11.125" style="1" customWidth="1"/>
    <col min="8965" max="8965" width="29.25" style="1" customWidth="1"/>
    <col min="8966" max="8966" width="9.75" style="1" customWidth="1"/>
    <col min="8967" max="8968" width="7.25" style="1" customWidth="1"/>
    <col min="8969" max="8969" width="6.5" style="1" customWidth="1"/>
    <col min="8970" max="8970" width="10" style="1" customWidth="1"/>
    <col min="8971" max="8971" width="15.125" style="1" customWidth="1"/>
    <col min="8972" max="9216" width="9" style="1"/>
    <col min="9217" max="9217" width="1.25" style="1" customWidth="1"/>
    <col min="9218" max="9218" width="7.25" style="1" customWidth="1"/>
    <col min="9219" max="9219" width="11.5" style="1" customWidth="1"/>
    <col min="9220" max="9220" width="11.125" style="1" customWidth="1"/>
    <col min="9221" max="9221" width="29.25" style="1" customWidth="1"/>
    <col min="9222" max="9222" width="9.75" style="1" customWidth="1"/>
    <col min="9223" max="9224" width="7.25" style="1" customWidth="1"/>
    <col min="9225" max="9225" width="6.5" style="1" customWidth="1"/>
    <col min="9226" max="9226" width="10" style="1" customWidth="1"/>
    <col min="9227" max="9227" width="15.125" style="1" customWidth="1"/>
    <col min="9228" max="9472" width="9" style="1"/>
    <col min="9473" max="9473" width="1.25" style="1" customWidth="1"/>
    <col min="9474" max="9474" width="7.25" style="1" customWidth="1"/>
    <col min="9475" max="9475" width="11.5" style="1" customWidth="1"/>
    <col min="9476" max="9476" width="11.125" style="1" customWidth="1"/>
    <col min="9477" max="9477" width="29.25" style="1" customWidth="1"/>
    <col min="9478" max="9478" width="9.75" style="1" customWidth="1"/>
    <col min="9479" max="9480" width="7.25" style="1" customWidth="1"/>
    <col min="9481" max="9481" width="6.5" style="1" customWidth="1"/>
    <col min="9482" max="9482" width="10" style="1" customWidth="1"/>
    <col min="9483" max="9483" width="15.125" style="1" customWidth="1"/>
    <col min="9484" max="9728" width="9" style="1"/>
    <col min="9729" max="9729" width="1.25" style="1" customWidth="1"/>
    <col min="9730" max="9730" width="7.25" style="1" customWidth="1"/>
    <col min="9731" max="9731" width="11.5" style="1" customWidth="1"/>
    <col min="9732" max="9732" width="11.125" style="1" customWidth="1"/>
    <col min="9733" max="9733" width="29.25" style="1" customWidth="1"/>
    <col min="9734" max="9734" width="9.75" style="1" customWidth="1"/>
    <col min="9735" max="9736" width="7.25" style="1" customWidth="1"/>
    <col min="9737" max="9737" width="6.5" style="1" customWidth="1"/>
    <col min="9738" max="9738" width="10" style="1" customWidth="1"/>
    <col min="9739" max="9739" width="15.125" style="1" customWidth="1"/>
    <col min="9740" max="9984" width="9" style="1"/>
    <col min="9985" max="9985" width="1.25" style="1" customWidth="1"/>
    <col min="9986" max="9986" width="7.25" style="1" customWidth="1"/>
    <col min="9987" max="9987" width="11.5" style="1" customWidth="1"/>
    <col min="9988" max="9988" width="11.125" style="1" customWidth="1"/>
    <col min="9989" max="9989" width="29.25" style="1" customWidth="1"/>
    <col min="9990" max="9990" width="9.75" style="1" customWidth="1"/>
    <col min="9991" max="9992" width="7.25" style="1" customWidth="1"/>
    <col min="9993" max="9993" width="6.5" style="1" customWidth="1"/>
    <col min="9994" max="9994" width="10" style="1" customWidth="1"/>
    <col min="9995" max="9995" width="15.125" style="1" customWidth="1"/>
    <col min="9996" max="10240" width="9" style="1"/>
    <col min="10241" max="10241" width="1.25" style="1" customWidth="1"/>
    <col min="10242" max="10242" width="7.25" style="1" customWidth="1"/>
    <col min="10243" max="10243" width="11.5" style="1" customWidth="1"/>
    <col min="10244" max="10244" width="11.125" style="1" customWidth="1"/>
    <col min="10245" max="10245" width="29.25" style="1" customWidth="1"/>
    <col min="10246" max="10246" width="9.75" style="1" customWidth="1"/>
    <col min="10247" max="10248" width="7.25" style="1" customWidth="1"/>
    <col min="10249" max="10249" width="6.5" style="1" customWidth="1"/>
    <col min="10250" max="10250" width="10" style="1" customWidth="1"/>
    <col min="10251" max="10251" width="15.125" style="1" customWidth="1"/>
    <col min="10252" max="10496" width="9" style="1"/>
    <col min="10497" max="10497" width="1.25" style="1" customWidth="1"/>
    <col min="10498" max="10498" width="7.25" style="1" customWidth="1"/>
    <col min="10499" max="10499" width="11.5" style="1" customWidth="1"/>
    <col min="10500" max="10500" width="11.125" style="1" customWidth="1"/>
    <col min="10501" max="10501" width="29.25" style="1" customWidth="1"/>
    <col min="10502" max="10502" width="9.75" style="1" customWidth="1"/>
    <col min="10503" max="10504" width="7.25" style="1" customWidth="1"/>
    <col min="10505" max="10505" width="6.5" style="1" customWidth="1"/>
    <col min="10506" max="10506" width="10" style="1" customWidth="1"/>
    <col min="10507" max="10507" width="15.125" style="1" customWidth="1"/>
    <col min="10508" max="10752" width="9" style="1"/>
    <col min="10753" max="10753" width="1.25" style="1" customWidth="1"/>
    <col min="10754" max="10754" width="7.25" style="1" customWidth="1"/>
    <col min="10755" max="10755" width="11.5" style="1" customWidth="1"/>
    <col min="10756" max="10756" width="11.125" style="1" customWidth="1"/>
    <col min="10757" max="10757" width="29.25" style="1" customWidth="1"/>
    <col min="10758" max="10758" width="9.75" style="1" customWidth="1"/>
    <col min="10759" max="10760" width="7.25" style="1" customWidth="1"/>
    <col min="10761" max="10761" width="6.5" style="1" customWidth="1"/>
    <col min="10762" max="10762" width="10" style="1" customWidth="1"/>
    <col min="10763" max="10763" width="15.125" style="1" customWidth="1"/>
    <col min="10764" max="11008" width="9" style="1"/>
    <col min="11009" max="11009" width="1.25" style="1" customWidth="1"/>
    <col min="11010" max="11010" width="7.25" style="1" customWidth="1"/>
    <col min="11011" max="11011" width="11.5" style="1" customWidth="1"/>
    <col min="11012" max="11012" width="11.125" style="1" customWidth="1"/>
    <col min="11013" max="11013" width="29.25" style="1" customWidth="1"/>
    <col min="11014" max="11014" width="9.75" style="1" customWidth="1"/>
    <col min="11015" max="11016" width="7.25" style="1" customWidth="1"/>
    <col min="11017" max="11017" width="6.5" style="1" customWidth="1"/>
    <col min="11018" max="11018" width="10" style="1" customWidth="1"/>
    <col min="11019" max="11019" width="15.125" style="1" customWidth="1"/>
    <col min="11020" max="11264" width="9" style="1"/>
    <col min="11265" max="11265" width="1.25" style="1" customWidth="1"/>
    <col min="11266" max="11266" width="7.25" style="1" customWidth="1"/>
    <col min="11267" max="11267" width="11.5" style="1" customWidth="1"/>
    <col min="11268" max="11268" width="11.125" style="1" customWidth="1"/>
    <col min="11269" max="11269" width="29.25" style="1" customWidth="1"/>
    <col min="11270" max="11270" width="9.75" style="1" customWidth="1"/>
    <col min="11271" max="11272" width="7.25" style="1" customWidth="1"/>
    <col min="11273" max="11273" width="6.5" style="1" customWidth="1"/>
    <col min="11274" max="11274" width="10" style="1" customWidth="1"/>
    <col min="11275" max="11275" width="15.125" style="1" customWidth="1"/>
    <col min="11276" max="11520" width="9" style="1"/>
    <col min="11521" max="11521" width="1.25" style="1" customWidth="1"/>
    <col min="11522" max="11522" width="7.25" style="1" customWidth="1"/>
    <col min="11523" max="11523" width="11.5" style="1" customWidth="1"/>
    <col min="11524" max="11524" width="11.125" style="1" customWidth="1"/>
    <col min="11525" max="11525" width="29.25" style="1" customWidth="1"/>
    <col min="11526" max="11526" width="9.75" style="1" customWidth="1"/>
    <col min="11527" max="11528" width="7.25" style="1" customWidth="1"/>
    <col min="11529" max="11529" width="6.5" style="1" customWidth="1"/>
    <col min="11530" max="11530" width="10" style="1" customWidth="1"/>
    <col min="11531" max="11531" width="15.125" style="1" customWidth="1"/>
    <col min="11532" max="11776" width="9" style="1"/>
    <col min="11777" max="11777" width="1.25" style="1" customWidth="1"/>
    <col min="11778" max="11778" width="7.25" style="1" customWidth="1"/>
    <col min="11779" max="11779" width="11.5" style="1" customWidth="1"/>
    <col min="11780" max="11780" width="11.125" style="1" customWidth="1"/>
    <col min="11781" max="11781" width="29.25" style="1" customWidth="1"/>
    <col min="11782" max="11782" width="9.75" style="1" customWidth="1"/>
    <col min="11783" max="11784" width="7.25" style="1" customWidth="1"/>
    <col min="11785" max="11785" width="6.5" style="1" customWidth="1"/>
    <col min="11786" max="11786" width="10" style="1" customWidth="1"/>
    <col min="11787" max="11787" width="15.125" style="1" customWidth="1"/>
    <col min="11788" max="12032" width="9" style="1"/>
    <col min="12033" max="12033" width="1.25" style="1" customWidth="1"/>
    <col min="12034" max="12034" width="7.25" style="1" customWidth="1"/>
    <col min="12035" max="12035" width="11.5" style="1" customWidth="1"/>
    <col min="12036" max="12036" width="11.125" style="1" customWidth="1"/>
    <col min="12037" max="12037" width="29.25" style="1" customWidth="1"/>
    <col min="12038" max="12038" width="9.75" style="1" customWidth="1"/>
    <col min="12039" max="12040" width="7.25" style="1" customWidth="1"/>
    <col min="12041" max="12041" width="6.5" style="1" customWidth="1"/>
    <col min="12042" max="12042" width="10" style="1" customWidth="1"/>
    <col min="12043" max="12043" width="15.125" style="1" customWidth="1"/>
    <col min="12044" max="12288" width="9" style="1"/>
    <col min="12289" max="12289" width="1.25" style="1" customWidth="1"/>
    <col min="12290" max="12290" width="7.25" style="1" customWidth="1"/>
    <col min="12291" max="12291" width="11.5" style="1" customWidth="1"/>
    <col min="12292" max="12292" width="11.125" style="1" customWidth="1"/>
    <col min="12293" max="12293" width="29.25" style="1" customWidth="1"/>
    <col min="12294" max="12294" width="9.75" style="1" customWidth="1"/>
    <col min="12295" max="12296" width="7.25" style="1" customWidth="1"/>
    <col min="12297" max="12297" width="6.5" style="1" customWidth="1"/>
    <col min="12298" max="12298" width="10" style="1" customWidth="1"/>
    <col min="12299" max="12299" width="15.125" style="1" customWidth="1"/>
    <col min="12300" max="12544" width="9" style="1"/>
    <col min="12545" max="12545" width="1.25" style="1" customWidth="1"/>
    <col min="12546" max="12546" width="7.25" style="1" customWidth="1"/>
    <col min="12547" max="12547" width="11.5" style="1" customWidth="1"/>
    <col min="12548" max="12548" width="11.125" style="1" customWidth="1"/>
    <col min="12549" max="12549" width="29.25" style="1" customWidth="1"/>
    <col min="12550" max="12550" width="9.75" style="1" customWidth="1"/>
    <col min="12551" max="12552" width="7.25" style="1" customWidth="1"/>
    <col min="12553" max="12553" width="6.5" style="1" customWidth="1"/>
    <col min="12554" max="12554" width="10" style="1" customWidth="1"/>
    <col min="12555" max="12555" width="15.125" style="1" customWidth="1"/>
    <col min="12556" max="12800" width="9" style="1"/>
    <col min="12801" max="12801" width="1.25" style="1" customWidth="1"/>
    <col min="12802" max="12802" width="7.25" style="1" customWidth="1"/>
    <col min="12803" max="12803" width="11.5" style="1" customWidth="1"/>
    <col min="12804" max="12804" width="11.125" style="1" customWidth="1"/>
    <col min="12805" max="12805" width="29.25" style="1" customWidth="1"/>
    <col min="12806" max="12806" width="9.75" style="1" customWidth="1"/>
    <col min="12807" max="12808" width="7.25" style="1" customWidth="1"/>
    <col min="12809" max="12809" width="6.5" style="1" customWidth="1"/>
    <col min="12810" max="12810" width="10" style="1" customWidth="1"/>
    <col min="12811" max="12811" width="15.125" style="1" customWidth="1"/>
    <col min="12812" max="13056" width="9" style="1"/>
    <col min="13057" max="13057" width="1.25" style="1" customWidth="1"/>
    <col min="13058" max="13058" width="7.25" style="1" customWidth="1"/>
    <col min="13059" max="13059" width="11.5" style="1" customWidth="1"/>
    <col min="13060" max="13060" width="11.125" style="1" customWidth="1"/>
    <col min="13061" max="13061" width="29.25" style="1" customWidth="1"/>
    <col min="13062" max="13062" width="9.75" style="1" customWidth="1"/>
    <col min="13063" max="13064" width="7.25" style="1" customWidth="1"/>
    <col min="13065" max="13065" width="6.5" style="1" customWidth="1"/>
    <col min="13066" max="13066" width="10" style="1" customWidth="1"/>
    <col min="13067" max="13067" width="15.125" style="1" customWidth="1"/>
    <col min="13068" max="13312" width="9" style="1"/>
    <col min="13313" max="13313" width="1.25" style="1" customWidth="1"/>
    <col min="13314" max="13314" width="7.25" style="1" customWidth="1"/>
    <col min="13315" max="13315" width="11.5" style="1" customWidth="1"/>
    <col min="13316" max="13316" width="11.125" style="1" customWidth="1"/>
    <col min="13317" max="13317" width="29.25" style="1" customWidth="1"/>
    <col min="13318" max="13318" width="9.75" style="1" customWidth="1"/>
    <col min="13319" max="13320" width="7.25" style="1" customWidth="1"/>
    <col min="13321" max="13321" width="6.5" style="1" customWidth="1"/>
    <col min="13322" max="13322" width="10" style="1" customWidth="1"/>
    <col min="13323" max="13323" width="15.125" style="1" customWidth="1"/>
    <col min="13324" max="13568" width="9" style="1"/>
    <col min="13569" max="13569" width="1.25" style="1" customWidth="1"/>
    <col min="13570" max="13570" width="7.25" style="1" customWidth="1"/>
    <col min="13571" max="13571" width="11.5" style="1" customWidth="1"/>
    <col min="13572" max="13572" width="11.125" style="1" customWidth="1"/>
    <col min="13573" max="13573" width="29.25" style="1" customWidth="1"/>
    <col min="13574" max="13574" width="9.75" style="1" customWidth="1"/>
    <col min="13575" max="13576" width="7.25" style="1" customWidth="1"/>
    <col min="13577" max="13577" width="6.5" style="1" customWidth="1"/>
    <col min="13578" max="13578" width="10" style="1" customWidth="1"/>
    <col min="13579" max="13579" width="15.125" style="1" customWidth="1"/>
    <col min="13580" max="13824" width="9" style="1"/>
    <col min="13825" max="13825" width="1.25" style="1" customWidth="1"/>
    <col min="13826" max="13826" width="7.25" style="1" customWidth="1"/>
    <col min="13827" max="13827" width="11.5" style="1" customWidth="1"/>
    <col min="13828" max="13828" width="11.125" style="1" customWidth="1"/>
    <col min="13829" max="13829" width="29.25" style="1" customWidth="1"/>
    <col min="13830" max="13830" width="9.75" style="1" customWidth="1"/>
    <col min="13831" max="13832" width="7.25" style="1" customWidth="1"/>
    <col min="13833" max="13833" width="6.5" style="1" customWidth="1"/>
    <col min="13834" max="13834" width="10" style="1" customWidth="1"/>
    <col min="13835" max="13835" width="15.125" style="1" customWidth="1"/>
    <col min="13836" max="14080" width="9" style="1"/>
    <col min="14081" max="14081" width="1.25" style="1" customWidth="1"/>
    <col min="14082" max="14082" width="7.25" style="1" customWidth="1"/>
    <col min="14083" max="14083" width="11.5" style="1" customWidth="1"/>
    <col min="14084" max="14084" width="11.125" style="1" customWidth="1"/>
    <col min="14085" max="14085" width="29.25" style="1" customWidth="1"/>
    <col min="14086" max="14086" width="9.75" style="1" customWidth="1"/>
    <col min="14087" max="14088" width="7.25" style="1" customWidth="1"/>
    <col min="14089" max="14089" width="6.5" style="1" customWidth="1"/>
    <col min="14090" max="14090" width="10" style="1" customWidth="1"/>
    <col min="14091" max="14091" width="15.125" style="1" customWidth="1"/>
    <col min="14092" max="14336" width="9" style="1"/>
    <col min="14337" max="14337" width="1.25" style="1" customWidth="1"/>
    <col min="14338" max="14338" width="7.25" style="1" customWidth="1"/>
    <col min="14339" max="14339" width="11.5" style="1" customWidth="1"/>
    <col min="14340" max="14340" width="11.125" style="1" customWidth="1"/>
    <col min="14341" max="14341" width="29.25" style="1" customWidth="1"/>
    <col min="14342" max="14342" width="9.75" style="1" customWidth="1"/>
    <col min="14343" max="14344" width="7.25" style="1" customWidth="1"/>
    <col min="14345" max="14345" width="6.5" style="1" customWidth="1"/>
    <col min="14346" max="14346" width="10" style="1" customWidth="1"/>
    <col min="14347" max="14347" width="15.125" style="1" customWidth="1"/>
    <col min="14348" max="14592" width="9" style="1"/>
    <col min="14593" max="14593" width="1.25" style="1" customWidth="1"/>
    <col min="14594" max="14594" width="7.25" style="1" customWidth="1"/>
    <col min="14595" max="14595" width="11.5" style="1" customWidth="1"/>
    <col min="14596" max="14596" width="11.125" style="1" customWidth="1"/>
    <col min="14597" max="14597" width="29.25" style="1" customWidth="1"/>
    <col min="14598" max="14598" width="9.75" style="1" customWidth="1"/>
    <col min="14599" max="14600" width="7.25" style="1" customWidth="1"/>
    <col min="14601" max="14601" width="6.5" style="1" customWidth="1"/>
    <col min="14602" max="14602" width="10" style="1" customWidth="1"/>
    <col min="14603" max="14603" width="15.125" style="1" customWidth="1"/>
    <col min="14604" max="14848" width="9" style="1"/>
    <col min="14849" max="14849" width="1.25" style="1" customWidth="1"/>
    <col min="14850" max="14850" width="7.25" style="1" customWidth="1"/>
    <col min="14851" max="14851" width="11.5" style="1" customWidth="1"/>
    <col min="14852" max="14852" width="11.125" style="1" customWidth="1"/>
    <col min="14853" max="14853" width="29.25" style="1" customWidth="1"/>
    <col min="14854" max="14854" width="9.75" style="1" customWidth="1"/>
    <col min="14855" max="14856" width="7.25" style="1" customWidth="1"/>
    <col min="14857" max="14857" width="6.5" style="1" customWidth="1"/>
    <col min="14858" max="14858" width="10" style="1" customWidth="1"/>
    <col min="14859" max="14859" width="15.125" style="1" customWidth="1"/>
    <col min="14860" max="15104" width="9" style="1"/>
    <col min="15105" max="15105" width="1.25" style="1" customWidth="1"/>
    <col min="15106" max="15106" width="7.25" style="1" customWidth="1"/>
    <col min="15107" max="15107" width="11.5" style="1" customWidth="1"/>
    <col min="15108" max="15108" width="11.125" style="1" customWidth="1"/>
    <col min="15109" max="15109" width="29.25" style="1" customWidth="1"/>
    <col min="15110" max="15110" width="9.75" style="1" customWidth="1"/>
    <col min="15111" max="15112" width="7.25" style="1" customWidth="1"/>
    <col min="15113" max="15113" width="6.5" style="1" customWidth="1"/>
    <col min="15114" max="15114" width="10" style="1" customWidth="1"/>
    <col min="15115" max="15115" width="15.125" style="1" customWidth="1"/>
    <col min="15116" max="15360" width="9" style="1"/>
    <col min="15361" max="15361" width="1.25" style="1" customWidth="1"/>
    <col min="15362" max="15362" width="7.25" style="1" customWidth="1"/>
    <col min="15363" max="15363" width="11.5" style="1" customWidth="1"/>
    <col min="15364" max="15364" width="11.125" style="1" customWidth="1"/>
    <col min="15365" max="15365" width="29.25" style="1" customWidth="1"/>
    <col min="15366" max="15366" width="9.75" style="1" customWidth="1"/>
    <col min="15367" max="15368" width="7.25" style="1" customWidth="1"/>
    <col min="15369" max="15369" width="6.5" style="1" customWidth="1"/>
    <col min="15370" max="15370" width="10" style="1" customWidth="1"/>
    <col min="15371" max="15371" width="15.125" style="1" customWidth="1"/>
    <col min="15372" max="15616" width="9" style="1"/>
    <col min="15617" max="15617" width="1.25" style="1" customWidth="1"/>
    <col min="15618" max="15618" width="7.25" style="1" customWidth="1"/>
    <col min="15619" max="15619" width="11.5" style="1" customWidth="1"/>
    <col min="15620" max="15620" width="11.125" style="1" customWidth="1"/>
    <col min="15621" max="15621" width="29.25" style="1" customWidth="1"/>
    <col min="15622" max="15622" width="9.75" style="1" customWidth="1"/>
    <col min="15623" max="15624" width="7.25" style="1" customWidth="1"/>
    <col min="15625" max="15625" width="6.5" style="1" customWidth="1"/>
    <col min="15626" max="15626" width="10" style="1" customWidth="1"/>
    <col min="15627" max="15627" width="15.125" style="1" customWidth="1"/>
    <col min="15628" max="15872" width="9" style="1"/>
    <col min="15873" max="15873" width="1.25" style="1" customWidth="1"/>
    <col min="15874" max="15874" width="7.25" style="1" customWidth="1"/>
    <col min="15875" max="15875" width="11.5" style="1" customWidth="1"/>
    <col min="15876" max="15876" width="11.125" style="1" customWidth="1"/>
    <col min="15877" max="15877" width="29.25" style="1" customWidth="1"/>
    <col min="15878" max="15878" width="9.75" style="1" customWidth="1"/>
    <col min="15879" max="15880" width="7.25" style="1" customWidth="1"/>
    <col min="15881" max="15881" width="6.5" style="1" customWidth="1"/>
    <col min="15882" max="15882" width="10" style="1" customWidth="1"/>
    <col min="15883" max="15883" width="15.125" style="1" customWidth="1"/>
    <col min="15884" max="16128" width="9" style="1"/>
    <col min="16129" max="16129" width="1.25" style="1" customWidth="1"/>
    <col min="16130" max="16130" width="7.25" style="1" customWidth="1"/>
    <col min="16131" max="16131" width="11.5" style="1" customWidth="1"/>
    <col min="16132" max="16132" width="11.125" style="1" customWidth="1"/>
    <col min="16133" max="16133" width="29.25" style="1" customWidth="1"/>
    <col min="16134" max="16134" width="9.75" style="1" customWidth="1"/>
    <col min="16135" max="16136" width="7.25" style="1" customWidth="1"/>
    <col min="16137" max="16137" width="6.5" style="1" customWidth="1"/>
    <col min="16138" max="16138" width="10" style="1" customWidth="1"/>
    <col min="16139" max="16139" width="15.125" style="1" customWidth="1"/>
    <col min="16140" max="16384" width="9" style="1"/>
  </cols>
  <sheetData>
    <row r="1" spans="2:21" ht="40.700000000000003" customHeight="1" thickBot="1" x14ac:dyDescent="0.3">
      <c r="B1" s="357" t="s">
        <v>2278</v>
      </c>
      <c r="C1" s="358"/>
      <c r="D1" s="358"/>
      <c r="E1" s="358"/>
      <c r="F1" s="358"/>
      <c r="G1" s="358"/>
      <c r="H1" s="359"/>
      <c r="I1" s="359"/>
      <c r="J1" s="358"/>
      <c r="K1" s="360"/>
    </row>
    <row r="2" spans="2:21" ht="18.75" customHeight="1" x14ac:dyDescent="0.25">
      <c r="B2" s="356"/>
    </row>
    <row r="3" spans="2:21" ht="13.15" customHeight="1" x14ac:dyDescent="0.15">
      <c r="B3" s="14"/>
      <c r="C3" s="545" t="s">
        <v>32</v>
      </c>
      <c r="D3" s="546"/>
      <c r="E3" s="546"/>
      <c r="F3" s="545" t="s">
        <v>33</v>
      </c>
      <c r="G3" s="547"/>
      <c r="H3" s="16" t="s">
        <v>34</v>
      </c>
      <c r="I3" s="16" t="s">
        <v>35</v>
      </c>
      <c r="J3" s="15" t="s">
        <v>36</v>
      </c>
      <c r="K3" s="17" t="s">
        <v>37</v>
      </c>
    </row>
    <row r="4" spans="2:21" ht="13.15" customHeight="1" x14ac:dyDescent="0.15">
      <c r="B4" s="737" t="s">
        <v>2279</v>
      </c>
      <c r="C4" s="19" t="s">
        <v>2716</v>
      </c>
      <c r="D4" s="20"/>
      <c r="E4" s="21"/>
      <c r="F4" s="20"/>
      <c r="G4" s="22"/>
      <c r="H4" s="23">
        <v>1</v>
      </c>
      <c r="I4" s="24" t="s">
        <v>719</v>
      </c>
      <c r="J4" s="25">
        <v>28000</v>
      </c>
      <c r="K4" s="26">
        <f>SUM(H4*J4)</f>
        <v>28000</v>
      </c>
    </row>
    <row r="5" spans="2:21" ht="13.15" customHeight="1" x14ac:dyDescent="0.15">
      <c r="B5" s="738"/>
      <c r="C5" s="19" t="s">
        <v>2718</v>
      </c>
      <c r="D5" s="20"/>
      <c r="E5" s="21"/>
      <c r="F5" s="20"/>
      <c r="G5" s="22"/>
      <c r="H5" s="23">
        <v>1</v>
      </c>
      <c r="I5" s="24" t="s">
        <v>2713</v>
      </c>
      <c r="J5" s="25">
        <v>28000</v>
      </c>
      <c r="K5" s="26">
        <f t="shared" ref="K5:K8" si="0">SUM(H5*J5)</f>
        <v>28000</v>
      </c>
    </row>
    <row r="6" spans="2:21" ht="13.15" customHeight="1" x14ac:dyDescent="0.15">
      <c r="B6" s="738"/>
      <c r="C6" s="19" t="s">
        <v>2719</v>
      </c>
      <c r="D6" s="20"/>
      <c r="E6" s="21"/>
      <c r="F6" s="20"/>
      <c r="G6" s="22"/>
      <c r="H6" s="23">
        <v>1</v>
      </c>
      <c r="I6" s="24" t="s">
        <v>2713</v>
      </c>
      <c r="J6" s="25">
        <v>23000</v>
      </c>
      <c r="K6" s="26">
        <f t="shared" si="0"/>
        <v>23000</v>
      </c>
    </row>
    <row r="7" spans="2:21" ht="13.15" customHeight="1" x14ac:dyDescent="0.15">
      <c r="B7" s="738"/>
      <c r="C7" s="19" t="s">
        <v>2717</v>
      </c>
      <c r="D7" s="20"/>
      <c r="E7" s="21"/>
      <c r="F7" s="20"/>
      <c r="G7" s="22"/>
      <c r="H7" s="23">
        <v>1</v>
      </c>
      <c r="I7" s="24" t="s">
        <v>719</v>
      </c>
      <c r="J7" s="25">
        <v>25000</v>
      </c>
      <c r="K7" s="26">
        <f t="shared" si="0"/>
        <v>25000</v>
      </c>
      <c r="N7" s="361"/>
      <c r="O7" s="361"/>
      <c r="P7" s="361"/>
      <c r="Q7" s="361"/>
      <c r="R7" s="361"/>
      <c r="S7" s="362"/>
      <c r="T7" s="191"/>
      <c r="U7" s="363"/>
    </row>
    <row r="8" spans="2:21" ht="13.15" customHeight="1" x14ac:dyDescent="0.15">
      <c r="B8" s="738"/>
      <c r="C8" s="19" t="s">
        <v>2710</v>
      </c>
      <c r="D8" s="20"/>
      <c r="E8" s="21"/>
      <c r="F8" s="20"/>
      <c r="G8" s="22"/>
      <c r="H8" s="23">
        <v>1</v>
      </c>
      <c r="I8" s="24" t="s">
        <v>719</v>
      </c>
      <c r="J8" s="25">
        <v>23000</v>
      </c>
      <c r="K8" s="26">
        <f t="shared" si="0"/>
        <v>23000</v>
      </c>
      <c r="N8" s="361"/>
      <c r="O8" s="361"/>
      <c r="P8" s="361"/>
      <c r="Q8" s="361"/>
      <c r="R8" s="361"/>
      <c r="S8" s="362"/>
      <c r="T8" s="191"/>
      <c r="U8" s="363"/>
    </row>
    <row r="9" spans="2:21" ht="13.15" customHeight="1" x14ac:dyDescent="0.15">
      <c r="B9" s="738"/>
      <c r="C9" s="19" t="s">
        <v>2711</v>
      </c>
      <c r="D9" s="20"/>
      <c r="E9" s="21"/>
      <c r="F9" s="20"/>
      <c r="G9" s="22"/>
      <c r="H9" s="23">
        <v>1</v>
      </c>
      <c r="I9" s="24" t="s">
        <v>719</v>
      </c>
      <c r="J9" s="25">
        <v>25000</v>
      </c>
      <c r="K9" s="25">
        <f t="shared" ref="K9:K29" si="1">SUM(H9*J9)</f>
        <v>25000</v>
      </c>
    </row>
    <row r="10" spans="2:21" ht="13.15" customHeight="1" x14ac:dyDescent="0.15">
      <c r="B10" s="738"/>
      <c r="C10" s="19" t="s">
        <v>2712</v>
      </c>
      <c r="D10" s="20"/>
      <c r="E10" s="21"/>
      <c r="F10" s="20"/>
      <c r="G10" s="22"/>
      <c r="H10" s="23">
        <v>1</v>
      </c>
      <c r="I10" s="24" t="s">
        <v>2713</v>
      </c>
      <c r="J10" s="25">
        <v>28000</v>
      </c>
      <c r="K10" s="25">
        <f t="shared" si="1"/>
        <v>28000</v>
      </c>
    </row>
    <row r="11" spans="2:21" ht="13.15" customHeight="1" x14ac:dyDescent="0.15">
      <c r="B11" s="738"/>
      <c r="C11" s="19" t="s">
        <v>2709</v>
      </c>
      <c r="D11" s="20"/>
      <c r="E11" s="21"/>
      <c r="F11" s="20"/>
      <c r="G11" s="22"/>
      <c r="H11" s="23">
        <v>1</v>
      </c>
      <c r="I11" s="24" t="s">
        <v>719</v>
      </c>
      <c r="J11" s="25">
        <v>28000</v>
      </c>
      <c r="K11" s="25">
        <f t="shared" si="1"/>
        <v>28000</v>
      </c>
    </row>
    <row r="12" spans="2:21" ht="13.15" customHeight="1" x14ac:dyDescent="0.15">
      <c r="B12" s="738"/>
      <c r="C12" s="19" t="s">
        <v>2715</v>
      </c>
      <c r="D12" s="20"/>
      <c r="E12" s="21"/>
      <c r="F12" s="20"/>
      <c r="G12" s="22"/>
      <c r="H12" s="23">
        <v>1</v>
      </c>
      <c r="I12" s="28" t="s">
        <v>2714</v>
      </c>
      <c r="J12" s="25">
        <v>45500</v>
      </c>
      <c r="K12" s="25">
        <f t="shared" si="1"/>
        <v>45500</v>
      </c>
    </row>
    <row r="13" spans="2:21" ht="13.15" customHeight="1" x14ac:dyDescent="0.15">
      <c r="B13" s="738"/>
      <c r="C13" s="19" t="s">
        <v>2282</v>
      </c>
      <c r="D13" s="20"/>
      <c r="E13" s="21"/>
      <c r="F13" s="20"/>
      <c r="G13" s="22"/>
      <c r="H13" s="23">
        <v>1</v>
      </c>
      <c r="I13" s="24" t="s">
        <v>719</v>
      </c>
      <c r="J13" s="25">
        <v>12000</v>
      </c>
      <c r="K13" s="25">
        <f t="shared" si="1"/>
        <v>12000</v>
      </c>
    </row>
    <row r="14" spans="2:21" ht="13.15" customHeight="1" x14ac:dyDescent="0.15">
      <c r="B14" s="738"/>
      <c r="C14" s="19" t="s">
        <v>2283</v>
      </c>
      <c r="D14" s="20"/>
      <c r="E14" s="21"/>
      <c r="F14" s="20"/>
      <c r="G14" s="22"/>
      <c r="H14" s="23">
        <v>1</v>
      </c>
      <c r="I14" s="24" t="s">
        <v>719</v>
      </c>
      <c r="J14" s="25">
        <v>18000</v>
      </c>
      <c r="K14" s="25">
        <f t="shared" si="1"/>
        <v>18000</v>
      </c>
    </row>
    <row r="15" spans="2:21" ht="13.15" customHeight="1" x14ac:dyDescent="0.15">
      <c r="B15" s="738"/>
      <c r="C15" s="19" t="s">
        <v>2284</v>
      </c>
      <c r="D15" s="20"/>
      <c r="E15" s="21"/>
      <c r="F15" s="20"/>
      <c r="G15" s="22"/>
      <c r="H15" s="23">
        <v>1</v>
      </c>
      <c r="I15" s="24" t="s">
        <v>719</v>
      </c>
      <c r="J15" s="25">
        <v>18000</v>
      </c>
      <c r="K15" s="25">
        <f t="shared" si="1"/>
        <v>18000</v>
      </c>
    </row>
    <row r="16" spans="2:21" ht="13.15" customHeight="1" x14ac:dyDescent="0.15">
      <c r="B16" s="738"/>
      <c r="C16" s="19" t="s">
        <v>2285</v>
      </c>
      <c r="D16" s="20"/>
      <c r="E16" s="21"/>
      <c r="F16" s="20"/>
      <c r="G16" s="22"/>
      <c r="H16" s="23">
        <v>1</v>
      </c>
      <c r="I16" s="24" t="s">
        <v>719</v>
      </c>
      <c r="J16" s="25">
        <v>13000</v>
      </c>
      <c r="K16" s="25">
        <f t="shared" si="1"/>
        <v>13000</v>
      </c>
    </row>
    <row r="17" spans="2:13" ht="13.15" customHeight="1" x14ac:dyDescent="0.15">
      <c r="B17" s="738"/>
      <c r="C17" s="19" t="s">
        <v>2667</v>
      </c>
      <c r="D17" s="21"/>
      <c r="E17" s="20"/>
      <c r="F17" s="21"/>
      <c r="G17" s="22"/>
      <c r="H17" s="23">
        <v>1</v>
      </c>
      <c r="I17" s="24" t="s">
        <v>719</v>
      </c>
      <c r="J17" s="26">
        <v>54000</v>
      </c>
      <c r="K17" s="25">
        <f t="shared" si="1"/>
        <v>54000</v>
      </c>
    </row>
    <row r="18" spans="2:13" ht="13.15" customHeight="1" x14ac:dyDescent="0.15">
      <c r="B18" s="738"/>
      <c r="C18" s="19" t="s">
        <v>2668</v>
      </c>
      <c r="D18" s="20"/>
      <c r="E18" s="21"/>
      <c r="F18" s="20"/>
      <c r="G18" s="22"/>
      <c r="H18" s="23">
        <v>1</v>
      </c>
      <c r="I18" s="28" t="s">
        <v>719</v>
      </c>
      <c r="J18" s="25">
        <v>5000</v>
      </c>
      <c r="K18" s="25">
        <f t="shared" si="1"/>
        <v>5000</v>
      </c>
    </row>
    <row r="19" spans="2:13" ht="13.15" customHeight="1" x14ac:dyDescent="0.15">
      <c r="B19" s="738"/>
      <c r="C19" s="19" t="s">
        <v>2669</v>
      </c>
      <c r="D19" s="20"/>
      <c r="E19" s="21"/>
      <c r="F19" s="20"/>
      <c r="G19" s="22"/>
      <c r="H19" s="23">
        <v>1</v>
      </c>
      <c r="I19" s="28" t="s">
        <v>719</v>
      </c>
      <c r="J19" s="25">
        <v>59000</v>
      </c>
      <c r="K19" s="25">
        <f t="shared" si="1"/>
        <v>59000</v>
      </c>
    </row>
    <row r="20" spans="2:13" ht="13.15" customHeight="1" x14ac:dyDescent="0.15">
      <c r="B20" s="738"/>
      <c r="C20" s="19"/>
      <c r="D20" s="20"/>
      <c r="E20" s="21"/>
      <c r="F20" s="20"/>
      <c r="G20" s="22"/>
      <c r="H20" s="23"/>
      <c r="I20" s="28"/>
      <c r="J20" s="25"/>
      <c r="K20" s="25"/>
    </row>
    <row r="21" spans="2:13" ht="13.15" customHeight="1" x14ac:dyDescent="0.15">
      <c r="B21" s="738"/>
      <c r="C21" s="19" t="s">
        <v>2723</v>
      </c>
      <c r="D21" s="20"/>
      <c r="E21" s="21"/>
      <c r="F21" s="20"/>
      <c r="G21" s="22"/>
      <c r="H21" s="23">
        <v>1</v>
      </c>
      <c r="I21" s="28" t="s">
        <v>719</v>
      </c>
      <c r="J21" s="25">
        <v>52000</v>
      </c>
      <c r="K21" s="25">
        <f t="shared" si="1"/>
        <v>52000</v>
      </c>
    </row>
    <row r="22" spans="2:13" ht="13.15" customHeight="1" x14ac:dyDescent="0.15">
      <c r="B22" s="738"/>
      <c r="C22" s="19" t="s">
        <v>2666</v>
      </c>
      <c r="D22" s="20"/>
      <c r="E22" s="21"/>
      <c r="F22" s="20"/>
      <c r="G22" s="22"/>
      <c r="H22" s="23">
        <v>1</v>
      </c>
      <c r="I22" s="28" t="s">
        <v>2296</v>
      </c>
      <c r="J22" s="25">
        <v>27000</v>
      </c>
      <c r="K22" s="25">
        <f t="shared" si="1"/>
        <v>27000</v>
      </c>
    </row>
    <row r="23" spans="2:13" ht="13.15" customHeight="1" x14ac:dyDescent="0.15">
      <c r="B23" s="738"/>
      <c r="C23" s="19"/>
      <c r="D23" s="20"/>
      <c r="E23" s="21"/>
      <c r="F23" s="20"/>
      <c r="G23" s="22"/>
      <c r="H23" s="23"/>
      <c r="I23" s="28"/>
      <c r="J23" s="25"/>
      <c r="K23" s="25">
        <f t="shared" si="1"/>
        <v>0</v>
      </c>
      <c r="M23" s="1" t="s">
        <v>11</v>
      </c>
    </row>
    <row r="24" spans="2:13" ht="13.15" customHeight="1" x14ac:dyDescent="0.15">
      <c r="B24" s="738"/>
      <c r="C24" s="19"/>
      <c r="D24" s="20"/>
      <c r="E24" s="21"/>
      <c r="F24" s="20"/>
      <c r="G24" s="22"/>
      <c r="H24" s="23"/>
      <c r="I24" s="28"/>
      <c r="J24" s="25"/>
      <c r="K24" s="25"/>
    </row>
    <row r="25" spans="2:13" ht="13.15" customHeight="1" x14ac:dyDescent="0.15">
      <c r="B25" s="738"/>
      <c r="C25" s="19"/>
      <c r="D25" s="20"/>
      <c r="E25" s="21"/>
      <c r="F25" s="20"/>
      <c r="G25" s="22"/>
      <c r="H25" s="23"/>
      <c r="I25" s="28"/>
      <c r="J25" s="25"/>
      <c r="K25" s="25"/>
    </row>
    <row r="26" spans="2:13" ht="13.15" customHeight="1" x14ac:dyDescent="0.15">
      <c r="B26" s="738"/>
      <c r="C26" s="19"/>
      <c r="D26" s="20"/>
      <c r="E26" s="21"/>
      <c r="F26" s="20"/>
      <c r="G26" s="22"/>
      <c r="H26" s="23"/>
      <c r="I26" s="28"/>
      <c r="J26" s="25"/>
      <c r="K26" s="25"/>
    </row>
    <row r="27" spans="2:13" ht="13.15" customHeight="1" x14ac:dyDescent="0.15">
      <c r="B27" s="738"/>
      <c r="C27" s="19"/>
      <c r="D27" s="20"/>
      <c r="E27" s="21"/>
      <c r="F27" s="20"/>
      <c r="G27" s="22"/>
      <c r="H27" s="23"/>
      <c r="I27" s="28"/>
      <c r="J27" s="25"/>
      <c r="K27" s="25">
        <f t="shared" si="1"/>
        <v>0</v>
      </c>
    </row>
    <row r="28" spans="2:13" ht="13.15" customHeight="1" x14ac:dyDescent="0.15">
      <c r="B28" s="738"/>
      <c r="C28" s="19"/>
      <c r="D28" s="20"/>
      <c r="E28" s="21"/>
      <c r="F28" s="20"/>
      <c r="G28" s="22"/>
      <c r="H28" s="23"/>
      <c r="I28" s="28"/>
      <c r="J28" s="25"/>
      <c r="K28" s="25">
        <f t="shared" si="1"/>
        <v>0</v>
      </c>
    </row>
    <row r="29" spans="2:13" ht="13.15" customHeight="1" x14ac:dyDescent="0.15">
      <c r="B29" s="739"/>
      <c r="C29" s="19"/>
      <c r="D29" s="20"/>
      <c r="E29" s="21"/>
      <c r="F29" s="20"/>
      <c r="G29" s="22"/>
      <c r="H29" s="23"/>
      <c r="I29" s="28"/>
      <c r="J29" s="25"/>
      <c r="K29" s="25">
        <f t="shared" si="1"/>
        <v>0</v>
      </c>
    </row>
    <row r="30" spans="2:13" ht="13.15" customHeight="1" x14ac:dyDescent="0.15">
      <c r="B30" s="743" t="s">
        <v>2280</v>
      </c>
      <c r="C30" s="19" t="s">
        <v>2659</v>
      </c>
      <c r="D30" s="20"/>
      <c r="E30" s="21"/>
      <c r="F30" s="20"/>
      <c r="G30" s="22"/>
      <c r="H30" s="29">
        <v>1</v>
      </c>
      <c r="I30" s="28" t="s">
        <v>719</v>
      </c>
      <c r="J30" s="25">
        <v>23000</v>
      </c>
      <c r="K30" s="26">
        <f>SUM(H30*J30)</f>
        <v>23000</v>
      </c>
    </row>
    <row r="31" spans="2:13" ht="13.15" customHeight="1" x14ac:dyDescent="0.15">
      <c r="B31" s="744"/>
      <c r="C31" s="19" t="s">
        <v>2660</v>
      </c>
      <c r="D31" s="20"/>
      <c r="E31" s="21"/>
      <c r="F31" s="20"/>
      <c r="G31" s="22"/>
      <c r="H31" s="23">
        <v>1</v>
      </c>
      <c r="I31" s="24" t="s">
        <v>2287</v>
      </c>
      <c r="J31" s="25">
        <v>8000</v>
      </c>
      <c r="K31" s="25">
        <f>SUM(H31*J31)</f>
        <v>8000</v>
      </c>
    </row>
    <row r="32" spans="2:13" ht="13.15" customHeight="1" x14ac:dyDescent="0.15">
      <c r="B32" s="744"/>
      <c r="C32" s="19" t="s">
        <v>2661</v>
      </c>
      <c r="D32" s="20"/>
      <c r="E32" s="21"/>
      <c r="F32" s="20"/>
      <c r="G32" s="22"/>
      <c r="H32" s="23">
        <v>1</v>
      </c>
      <c r="I32" s="24" t="s">
        <v>2287</v>
      </c>
      <c r="J32" s="25">
        <v>10000</v>
      </c>
      <c r="K32" s="25">
        <f t="shared" ref="K32:K48" si="2">SUM(H32*J32)</f>
        <v>10000</v>
      </c>
    </row>
    <row r="33" spans="2:11" ht="13.15" customHeight="1" x14ac:dyDescent="0.15">
      <c r="B33" s="744"/>
      <c r="C33" s="19" t="s">
        <v>2662</v>
      </c>
      <c r="D33" s="20"/>
      <c r="E33" s="21"/>
      <c r="F33" s="20"/>
      <c r="G33" s="22"/>
      <c r="H33" s="23">
        <v>1</v>
      </c>
      <c r="I33" s="24" t="s">
        <v>2287</v>
      </c>
      <c r="J33" s="25">
        <v>6000</v>
      </c>
      <c r="K33" s="25">
        <f t="shared" si="2"/>
        <v>6000</v>
      </c>
    </row>
    <row r="34" spans="2:11" ht="13.15" customHeight="1" x14ac:dyDescent="0.15">
      <c r="B34" s="744"/>
      <c r="C34" s="19" t="s">
        <v>2663</v>
      </c>
      <c r="D34" s="20"/>
      <c r="E34" s="21"/>
      <c r="F34" s="20"/>
      <c r="G34" s="22"/>
      <c r="H34" s="23">
        <v>1</v>
      </c>
      <c r="I34" s="24" t="s">
        <v>2287</v>
      </c>
      <c r="J34" s="25">
        <v>8000</v>
      </c>
      <c r="K34" s="25">
        <f t="shared" si="2"/>
        <v>8000</v>
      </c>
    </row>
    <row r="35" spans="2:11" ht="13.15" customHeight="1" x14ac:dyDescent="0.15">
      <c r="B35" s="744"/>
      <c r="C35" s="19" t="s">
        <v>2664</v>
      </c>
      <c r="D35" s="20"/>
      <c r="E35" s="21"/>
      <c r="F35" s="20"/>
      <c r="G35" s="22"/>
      <c r="H35" s="23">
        <v>1</v>
      </c>
      <c r="I35" s="24" t="s">
        <v>719</v>
      </c>
      <c r="J35" s="25">
        <v>6000</v>
      </c>
      <c r="K35" s="25">
        <f t="shared" si="2"/>
        <v>6000</v>
      </c>
    </row>
    <row r="36" spans="2:11" ht="13.15" customHeight="1" x14ac:dyDescent="0.15">
      <c r="B36" s="744"/>
      <c r="C36" s="19" t="s">
        <v>2721</v>
      </c>
      <c r="D36" s="20"/>
      <c r="E36" s="21"/>
      <c r="F36" s="20"/>
      <c r="G36" s="22"/>
      <c r="H36" s="23">
        <v>1</v>
      </c>
      <c r="I36" s="24" t="s">
        <v>2713</v>
      </c>
      <c r="J36" s="25">
        <v>15000</v>
      </c>
      <c r="K36" s="25">
        <f t="shared" si="2"/>
        <v>15000</v>
      </c>
    </row>
    <row r="37" spans="2:11" ht="13.15" customHeight="1" x14ac:dyDescent="0.15">
      <c r="B37" s="744"/>
      <c r="C37" s="19" t="s">
        <v>2722</v>
      </c>
      <c r="D37" s="20"/>
      <c r="E37" s="21"/>
      <c r="F37" s="20"/>
      <c r="G37" s="22"/>
      <c r="H37" s="23">
        <v>1</v>
      </c>
      <c r="I37" s="24" t="s">
        <v>2713</v>
      </c>
      <c r="J37" s="25">
        <v>12000</v>
      </c>
      <c r="K37" s="25">
        <f t="shared" si="2"/>
        <v>12000</v>
      </c>
    </row>
    <row r="38" spans="2:11" ht="13.15" customHeight="1" x14ac:dyDescent="0.15">
      <c r="B38" s="744"/>
      <c r="C38" s="19" t="s">
        <v>2291</v>
      </c>
      <c r="D38" s="20"/>
      <c r="E38" s="21"/>
      <c r="F38" s="20"/>
      <c r="G38" s="22"/>
      <c r="H38" s="23">
        <v>1</v>
      </c>
      <c r="I38" s="24" t="s">
        <v>2287</v>
      </c>
      <c r="J38" s="25">
        <v>12000</v>
      </c>
      <c r="K38" s="25">
        <f t="shared" si="2"/>
        <v>12000</v>
      </c>
    </row>
    <row r="39" spans="2:11" ht="13.15" customHeight="1" x14ac:dyDescent="0.15">
      <c r="B39" s="744"/>
      <c r="C39" s="19" t="s">
        <v>2292</v>
      </c>
      <c r="D39" s="20"/>
      <c r="E39" s="21"/>
      <c r="F39" s="20"/>
      <c r="G39" s="22"/>
      <c r="H39" s="23">
        <v>1</v>
      </c>
      <c r="I39" s="24" t="s">
        <v>719</v>
      </c>
      <c r="J39" s="25">
        <v>3000</v>
      </c>
      <c r="K39" s="25">
        <f t="shared" si="2"/>
        <v>3000</v>
      </c>
    </row>
    <row r="40" spans="2:11" ht="13.15" customHeight="1" x14ac:dyDescent="0.15">
      <c r="B40" s="744"/>
      <c r="C40" s="19" t="s">
        <v>2293</v>
      </c>
      <c r="D40" s="20"/>
      <c r="E40" s="21"/>
      <c r="F40" s="20"/>
      <c r="G40" s="22"/>
      <c r="H40" s="23">
        <v>1</v>
      </c>
      <c r="I40" s="24" t="s">
        <v>719</v>
      </c>
      <c r="J40" s="25">
        <v>3500</v>
      </c>
      <c r="K40" s="25">
        <f t="shared" si="2"/>
        <v>3500</v>
      </c>
    </row>
    <row r="41" spans="2:11" ht="13.15" customHeight="1" x14ac:dyDescent="0.15">
      <c r="B41" s="744"/>
      <c r="C41" s="19" t="s">
        <v>2286</v>
      </c>
      <c r="D41" s="20"/>
      <c r="E41" s="21"/>
      <c r="F41" s="20"/>
      <c r="G41" s="22"/>
      <c r="H41" s="23">
        <v>1</v>
      </c>
      <c r="I41" s="24" t="s">
        <v>2287</v>
      </c>
      <c r="J41" s="25">
        <v>600</v>
      </c>
      <c r="K41" s="25">
        <f t="shared" si="2"/>
        <v>600</v>
      </c>
    </row>
    <row r="42" spans="2:11" ht="13.15" customHeight="1" x14ac:dyDescent="0.15">
      <c r="B42" s="744"/>
      <c r="C42" s="19" t="s">
        <v>2288</v>
      </c>
      <c r="D42" s="20"/>
      <c r="E42" s="21"/>
      <c r="F42" s="20"/>
      <c r="G42" s="22"/>
      <c r="H42" s="23">
        <v>1</v>
      </c>
      <c r="I42" s="24" t="s">
        <v>2287</v>
      </c>
      <c r="J42" s="25">
        <v>600</v>
      </c>
      <c r="K42" s="25">
        <f t="shared" si="2"/>
        <v>600</v>
      </c>
    </row>
    <row r="43" spans="2:11" ht="13.15" customHeight="1" x14ac:dyDescent="0.15">
      <c r="B43" s="744"/>
      <c r="C43" s="19" t="s">
        <v>2289</v>
      </c>
      <c r="D43" s="20"/>
      <c r="E43" s="21"/>
      <c r="F43" s="20"/>
      <c r="G43" s="22"/>
      <c r="H43" s="23">
        <v>1</v>
      </c>
      <c r="I43" s="24" t="s">
        <v>2287</v>
      </c>
      <c r="J43" s="25">
        <v>600</v>
      </c>
      <c r="K43" s="25">
        <f t="shared" si="2"/>
        <v>600</v>
      </c>
    </row>
    <row r="44" spans="2:11" ht="13.15" customHeight="1" x14ac:dyDescent="0.15">
      <c r="B44" s="744"/>
      <c r="C44" s="19" t="s">
        <v>2290</v>
      </c>
      <c r="D44" s="20"/>
      <c r="E44" s="21"/>
      <c r="F44" s="20"/>
      <c r="G44" s="22"/>
      <c r="H44" s="23">
        <v>1</v>
      </c>
      <c r="I44" s="24" t="s">
        <v>719</v>
      </c>
      <c r="J44" s="25">
        <v>1500</v>
      </c>
      <c r="K44" s="25">
        <f t="shared" si="2"/>
        <v>1500</v>
      </c>
    </row>
    <row r="45" spans="2:11" ht="12.75" customHeight="1" x14ac:dyDescent="0.15">
      <c r="B45" s="744"/>
      <c r="C45" s="19"/>
      <c r="D45" s="20"/>
      <c r="E45" s="21"/>
      <c r="F45" s="20"/>
      <c r="G45" s="22"/>
      <c r="H45" s="23"/>
      <c r="I45" s="28"/>
      <c r="J45" s="25"/>
      <c r="K45" s="25">
        <f t="shared" si="2"/>
        <v>0</v>
      </c>
    </row>
    <row r="46" spans="2:11" ht="12.75" customHeight="1" x14ac:dyDescent="0.15">
      <c r="B46" s="744"/>
      <c r="C46" s="19"/>
      <c r="D46" s="20"/>
      <c r="E46" s="21"/>
      <c r="F46" s="20"/>
      <c r="G46" s="22"/>
      <c r="H46" s="23"/>
      <c r="I46" s="28"/>
      <c r="J46" s="25"/>
      <c r="K46" s="25">
        <f t="shared" si="2"/>
        <v>0</v>
      </c>
    </row>
    <row r="47" spans="2:11" ht="12.75" customHeight="1" x14ac:dyDescent="0.15">
      <c r="B47" s="744"/>
      <c r="C47" s="19"/>
      <c r="D47" s="20"/>
      <c r="E47" s="21"/>
      <c r="F47" s="20"/>
      <c r="G47" s="22"/>
      <c r="H47" s="23"/>
      <c r="I47" s="28"/>
      <c r="J47" s="25"/>
      <c r="K47" s="25">
        <f t="shared" si="2"/>
        <v>0</v>
      </c>
    </row>
    <row r="48" spans="2:11" ht="12.75" customHeight="1" x14ac:dyDescent="0.15">
      <c r="B48" s="745"/>
      <c r="C48" s="19"/>
      <c r="D48" s="20"/>
      <c r="E48" s="21"/>
      <c r="F48" s="20"/>
      <c r="G48" s="22"/>
      <c r="H48" s="23"/>
      <c r="I48" s="28"/>
      <c r="J48" s="25"/>
      <c r="K48" s="25">
        <f t="shared" si="2"/>
        <v>0</v>
      </c>
    </row>
    <row r="49" spans="2:11" ht="15" x14ac:dyDescent="0.15">
      <c r="B49" s="746" t="s">
        <v>2708</v>
      </c>
      <c r="C49" s="19" t="s">
        <v>2294</v>
      </c>
      <c r="D49" s="20"/>
      <c r="E49" s="21"/>
      <c r="F49" s="20"/>
      <c r="G49" s="22"/>
      <c r="H49" s="23">
        <v>1</v>
      </c>
      <c r="I49" s="24" t="s">
        <v>2287</v>
      </c>
      <c r="J49" s="25">
        <v>3000</v>
      </c>
      <c r="K49" s="26">
        <f>SUM(H49*J49)</f>
        <v>3000</v>
      </c>
    </row>
    <row r="50" spans="2:11" ht="15" x14ac:dyDescent="0.15">
      <c r="B50" s="747"/>
      <c r="C50" s="19" t="s">
        <v>2295</v>
      </c>
      <c r="D50" s="20"/>
      <c r="E50" s="21"/>
      <c r="F50" s="20"/>
      <c r="G50" s="22"/>
      <c r="H50" s="23">
        <v>1</v>
      </c>
      <c r="I50" s="24" t="s">
        <v>719</v>
      </c>
      <c r="J50" s="25">
        <v>3500</v>
      </c>
      <c r="K50" s="25">
        <f>SUM(H50*J50)</f>
        <v>3500</v>
      </c>
    </row>
    <row r="51" spans="2:11" x14ac:dyDescent="0.15">
      <c r="B51" s="747"/>
      <c r="C51" s="19" t="s">
        <v>2383</v>
      </c>
      <c r="D51" s="20"/>
      <c r="E51" s="21"/>
      <c r="F51" s="20"/>
      <c r="G51" s="22"/>
      <c r="H51" s="23">
        <v>1</v>
      </c>
      <c r="I51" s="24" t="s">
        <v>719</v>
      </c>
      <c r="J51" s="25">
        <v>9000</v>
      </c>
      <c r="K51" s="25">
        <f t="shared" ref="K51:K64" si="3">SUM(H51*J51)</f>
        <v>9000</v>
      </c>
    </row>
    <row r="52" spans="2:11" x14ac:dyDescent="0.15">
      <c r="B52" s="747"/>
      <c r="C52" s="19" t="s">
        <v>2665</v>
      </c>
      <c r="D52" s="20"/>
      <c r="E52" s="20"/>
      <c r="F52" s="20"/>
      <c r="G52" s="22"/>
      <c r="H52" s="23">
        <v>1</v>
      </c>
      <c r="I52" s="24" t="s">
        <v>719</v>
      </c>
      <c r="J52" s="26">
        <v>10000</v>
      </c>
      <c r="K52" s="25">
        <f t="shared" si="3"/>
        <v>10000</v>
      </c>
    </row>
    <row r="53" spans="2:11" x14ac:dyDescent="0.15">
      <c r="B53" s="747"/>
      <c r="C53" s="19" t="s">
        <v>2658</v>
      </c>
      <c r="D53" s="21"/>
      <c r="E53" s="20"/>
      <c r="F53" s="21"/>
      <c r="G53" s="22"/>
      <c r="H53" s="23">
        <v>1</v>
      </c>
      <c r="I53" s="24" t="s">
        <v>719</v>
      </c>
      <c r="J53" s="26">
        <v>800</v>
      </c>
      <c r="K53" s="25">
        <f t="shared" si="3"/>
        <v>800</v>
      </c>
    </row>
    <row r="54" spans="2:11" x14ac:dyDescent="0.15">
      <c r="B54" s="747"/>
      <c r="C54" s="19" t="s">
        <v>2720</v>
      </c>
      <c r="D54" s="20"/>
      <c r="E54" s="20"/>
      <c r="F54" s="20"/>
      <c r="G54" s="22"/>
      <c r="H54" s="29">
        <v>1</v>
      </c>
      <c r="I54" s="28" t="s">
        <v>535</v>
      </c>
      <c r="J54" s="25">
        <v>22000</v>
      </c>
      <c r="K54" s="25">
        <f t="shared" si="3"/>
        <v>22000</v>
      </c>
    </row>
    <row r="55" spans="2:11" x14ac:dyDescent="0.15">
      <c r="B55" s="747"/>
      <c r="C55" s="19" t="s">
        <v>2724</v>
      </c>
      <c r="D55" s="20"/>
      <c r="E55" s="21"/>
      <c r="F55" s="20"/>
      <c r="G55" s="22"/>
      <c r="H55" s="23"/>
      <c r="I55" s="24" t="s">
        <v>2725</v>
      </c>
      <c r="J55" s="25">
        <v>4600</v>
      </c>
      <c r="K55" s="25">
        <f t="shared" si="3"/>
        <v>0</v>
      </c>
    </row>
    <row r="56" spans="2:11" x14ac:dyDescent="0.15">
      <c r="B56" s="747"/>
      <c r="C56" s="19" t="s">
        <v>2726</v>
      </c>
      <c r="D56" s="20"/>
      <c r="E56" s="21"/>
      <c r="F56" s="20"/>
      <c r="G56" s="22"/>
      <c r="H56" s="23"/>
      <c r="I56" s="24" t="s">
        <v>2725</v>
      </c>
      <c r="J56" s="25">
        <v>11000</v>
      </c>
      <c r="K56" s="25">
        <f t="shared" si="3"/>
        <v>0</v>
      </c>
    </row>
    <row r="57" spans="2:11" x14ac:dyDescent="0.15">
      <c r="B57" s="747"/>
      <c r="C57" s="19" t="s">
        <v>2727</v>
      </c>
      <c r="D57" s="20"/>
      <c r="E57" s="21"/>
      <c r="F57" s="20"/>
      <c r="G57" s="22"/>
      <c r="H57" s="23"/>
      <c r="I57" s="24" t="s">
        <v>2725</v>
      </c>
      <c r="J57" s="25">
        <v>1800</v>
      </c>
      <c r="K57" s="25">
        <f t="shared" si="3"/>
        <v>0</v>
      </c>
    </row>
    <row r="58" spans="2:11" x14ac:dyDescent="0.15">
      <c r="B58" s="747"/>
      <c r="C58" s="19"/>
      <c r="D58" s="20"/>
      <c r="E58" s="21"/>
      <c r="F58" s="20"/>
      <c r="G58" s="22"/>
      <c r="H58" s="23"/>
      <c r="I58" s="24"/>
      <c r="J58" s="25"/>
      <c r="K58" s="25">
        <f t="shared" si="3"/>
        <v>0</v>
      </c>
    </row>
    <row r="59" spans="2:11" x14ac:dyDescent="0.15">
      <c r="B59" s="747"/>
      <c r="C59" s="19"/>
      <c r="D59" s="20"/>
      <c r="E59" s="20"/>
      <c r="F59" s="20"/>
      <c r="G59" s="22"/>
      <c r="H59" s="23"/>
      <c r="I59" s="24"/>
      <c r="J59" s="26"/>
      <c r="K59" s="25">
        <f t="shared" si="3"/>
        <v>0</v>
      </c>
    </row>
    <row r="60" spans="2:11" x14ac:dyDescent="0.15">
      <c r="B60" s="747"/>
      <c r="C60" s="19" t="s">
        <v>2728</v>
      </c>
      <c r="D60" s="20"/>
      <c r="E60" s="21"/>
      <c r="F60" s="20"/>
      <c r="G60" s="22"/>
      <c r="H60" s="23">
        <v>1</v>
      </c>
      <c r="I60" s="28" t="s">
        <v>2713</v>
      </c>
      <c r="J60" s="25">
        <v>8000</v>
      </c>
      <c r="K60" s="25">
        <f t="shared" si="3"/>
        <v>8000</v>
      </c>
    </row>
    <row r="61" spans="2:11" x14ac:dyDescent="0.15">
      <c r="B61" s="747"/>
      <c r="C61" s="19" t="s">
        <v>2729</v>
      </c>
      <c r="D61" s="20"/>
      <c r="E61" s="21"/>
      <c r="F61" s="20"/>
      <c r="G61" s="22"/>
      <c r="H61" s="23">
        <v>1</v>
      </c>
      <c r="I61" s="28" t="s">
        <v>2713</v>
      </c>
      <c r="J61" s="25">
        <v>8000</v>
      </c>
      <c r="K61" s="25">
        <f t="shared" si="3"/>
        <v>8000</v>
      </c>
    </row>
    <row r="62" spans="2:11" x14ac:dyDescent="0.15">
      <c r="B62" s="747"/>
      <c r="C62" s="19"/>
      <c r="D62" s="20"/>
      <c r="E62" s="21"/>
      <c r="F62" s="20"/>
      <c r="G62" s="22"/>
      <c r="H62" s="23"/>
      <c r="I62" s="28"/>
      <c r="J62" s="25"/>
      <c r="K62" s="25">
        <f t="shared" si="3"/>
        <v>0</v>
      </c>
    </row>
    <row r="63" spans="2:11" x14ac:dyDescent="0.15">
      <c r="B63" s="747"/>
      <c r="C63" s="19"/>
      <c r="D63" s="20"/>
      <c r="E63" s="21"/>
      <c r="F63" s="20"/>
      <c r="G63" s="22"/>
      <c r="H63" s="23"/>
      <c r="I63" s="28"/>
      <c r="J63" s="25"/>
      <c r="K63" s="25">
        <f t="shared" si="3"/>
        <v>0</v>
      </c>
    </row>
    <row r="64" spans="2:11" x14ac:dyDescent="0.15">
      <c r="B64" s="748"/>
      <c r="C64" s="19"/>
      <c r="D64" s="20"/>
      <c r="E64" s="21"/>
      <c r="F64" s="20"/>
      <c r="G64" s="22"/>
      <c r="H64" s="23"/>
      <c r="I64" s="28"/>
      <c r="J64" s="25"/>
      <c r="K64" s="25">
        <f t="shared" si="3"/>
        <v>0</v>
      </c>
    </row>
    <row r="65" spans="2:11" x14ac:dyDescent="0.15">
      <c r="B65" s="740" t="s">
        <v>2281</v>
      </c>
      <c r="C65" s="19" t="s">
        <v>2730</v>
      </c>
      <c r="D65" s="20"/>
      <c r="E65" s="21"/>
      <c r="F65" s="20"/>
      <c r="G65" s="22"/>
      <c r="H65" s="23">
        <v>1</v>
      </c>
      <c r="I65" s="28" t="s">
        <v>719</v>
      </c>
      <c r="J65" s="25">
        <v>60000</v>
      </c>
      <c r="K65" s="26">
        <f>SUM(H65*J65)</f>
        <v>60000</v>
      </c>
    </row>
    <row r="66" spans="2:11" x14ac:dyDescent="0.15">
      <c r="B66" s="741"/>
      <c r="C66" s="19"/>
      <c r="D66" s="20"/>
      <c r="E66" s="21"/>
      <c r="F66" s="20"/>
      <c r="G66" s="22"/>
      <c r="H66" s="23"/>
      <c r="I66" s="24"/>
      <c r="J66" s="25"/>
      <c r="K66" s="25">
        <f>SUM(H66*J66)</f>
        <v>0</v>
      </c>
    </row>
    <row r="67" spans="2:11" x14ac:dyDescent="0.15">
      <c r="B67" s="741"/>
      <c r="C67" s="19"/>
      <c r="D67" s="20"/>
      <c r="E67" s="21"/>
      <c r="F67" s="20"/>
      <c r="G67" s="22"/>
      <c r="H67" s="23"/>
      <c r="I67" s="24"/>
      <c r="J67" s="25"/>
      <c r="K67" s="25">
        <f t="shared" ref="K67:K79" si="4">SUM(H67*J67)</f>
        <v>0</v>
      </c>
    </row>
    <row r="68" spans="2:11" x14ac:dyDescent="0.15">
      <c r="B68" s="741"/>
      <c r="C68" s="19"/>
      <c r="D68" s="20"/>
      <c r="E68" s="21"/>
      <c r="F68" s="20"/>
      <c r="G68" s="22"/>
      <c r="H68" s="23"/>
      <c r="I68" s="24"/>
      <c r="J68" s="25"/>
      <c r="K68" s="25">
        <f t="shared" si="4"/>
        <v>0</v>
      </c>
    </row>
    <row r="69" spans="2:11" x14ac:dyDescent="0.15">
      <c r="B69" s="741"/>
      <c r="C69" s="19"/>
      <c r="D69" s="20"/>
      <c r="E69" s="21"/>
      <c r="F69" s="20"/>
      <c r="G69" s="22"/>
      <c r="H69" s="23"/>
      <c r="I69" s="24"/>
      <c r="J69" s="25"/>
      <c r="K69" s="25">
        <f t="shared" si="4"/>
        <v>0</v>
      </c>
    </row>
    <row r="70" spans="2:11" x14ac:dyDescent="0.15">
      <c r="B70" s="741"/>
      <c r="C70" s="19"/>
      <c r="D70" s="20"/>
      <c r="E70" s="21"/>
      <c r="F70" s="20"/>
      <c r="G70" s="22"/>
      <c r="H70" s="23"/>
      <c r="I70" s="24"/>
      <c r="J70" s="25"/>
      <c r="K70" s="25">
        <f t="shared" si="4"/>
        <v>0</v>
      </c>
    </row>
    <row r="71" spans="2:11" x14ac:dyDescent="0.15">
      <c r="B71" s="741"/>
      <c r="C71" s="19"/>
      <c r="D71" s="20"/>
      <c r="E71" s="21"/>
      <c r="F71" s="20"/>
      <c r="G71" s="22"/>
      <c r="H71" s="23"/>
      <c r="I71" s="24"/>
      <c r="J71" s="25"/>
      <c r="K71" s="25">
        <f t="shared" si="4"/>
        <v>0</v>
      </c>
    </row>
    <row r="72" spans="2:11" x14ac:dyDescent="0.15">
      <c r="B72" s="741"/>
      <c r="C72" s="19"/>
      <c r="D72" s="20"/>
      <c r="E72" s="21"/>
      <c r="F72" s="20"/>
      <c r="G72" s="22"/>
      <c r="H72" s="23"/>
      <c r="I72" s="24"/>
      <c r="J72" s="25"/>
      <c r="K72" s="25">
        <f t="shared" si="4"/>
        <v>0</v>
      </c>
    </row>
    <row r="73" spans="2:11" x14ac:dyDescent="0.15">
      <c r="B73" s="741"/>
      <c r="C73" s="19"/>
      <c r="D73" s="20"/>
      <c r="E73" s="21"/>
      <c r="F73" s="20"/>
      <c r="G73" s="22"/>
      <c r="H73" s="23"/>
      <c r="I73" s="24"/>
      <c r="J73" s="25"/>
      <c r="K73" s="25">
        <f t="shared" si="4"/>
        <v>0</v>
      </c>
    </row>
    <row r="74" spans="2:11" x14ac:dyDescent="0.15">
      <c r="B74" s="741"/>
      <c r="C74" s="19"/>
      <c r="D74" s="20"/>
      <c r="E74" s="21"/>
      <c r="F74" s="20"/>
      <c r="G74" s="22"/>
      <c r="H74" s="23"/>
      <c r="I74" s="24"/>
      <c r="J74" s="25"/>
      <c r="K74" s="25">
        <f t="shared" si="4"/>
        <v>0</v>
      </c>
    </row>
    <row r="75" spans="2:11" x14ac:dyDescent="0.15">
      <c r="B75" s="741"/>
      <c r="C75" s="19"/>
      <c r="D75" s="21"/>
      <c r="E75" s="20"/>
      <c r="F75" s="21"/>
      <c r="G75" s="22"/>
      <c r="H75" s="23"/>
      <c r="I75" s="24"/>
      <c r="J75" s="26"/>
      <c r="K75" s="25">
        <f t="shared" si="4"/>
        <v>0</v>
      </c>
    </row>
    <row r="76" spans="2:11" x14ac:dyDescent="0.15">
      <c r="B76" s="741"/>
      <c r="C76" s="19"/>
      <c r="D76" s="20"/>
      <c r="E76" s="21"/>
      <c r="F76" s="20"/>
      <c r="G76" s="22"/>
      <c r="H76" s="23"/>
      <c r="I76" s="28"/>
      <c r="J76" s="25"/>
      <c r="K76" s="25">
        <f t="shared" si="4"/>
        <v>0</v>
      </c>
    </row>
    <row r="77" spans="2:11" x14ac:dyDescent="0.15">
      <c r="B77" s="741"/>
      <c r="C77" s="19"/>
      <c r="D77" s="20"/>
      <c r="E77" s="21"/>
      <c r="F77" s="20"/>
      <c r="G77" s="22"/>
      <c r="H77" s="23"/>
      <c r="I77" s="28"/>
      <c r="J77" s="25"/>
      <c r="K77" s="25">
        <f t="shared" si="4"/>
        <v>0</v>
      </c>
    </row>
    <row r="78" spans="2:11" x14ac:dyDescent="0.15">
      <c r="B78" s="741"/>
      <c r="C78" s="19"/>
      <c r="D78" s="20"/>
      <c r="E78" s="21"/>
      <c r="F78" s="20"/>
      <c r="G78" s="22"/>
      <c r="H78" s="23"/>
      <c r="I78" s="28"/>
      <c r="J78" s="25"/>
      <c r="K78" s="25">
        <f t="shared" si="4"/>
        <v>0</v>
      </c>
    </row>
    <row r="79" spans="2:11" x14ac:dyDescent="0.15">
      <c r="B79" s="742"/>
      <c r="C79" s="19"/>
      <c r="D79" s="20"/>
      <c r="E79" s="21"/>
      <c r="F79" s="20"/>
      <c r="G79" s="22"/>
      <c r="H79" s="23"/>
      <c r="I79" s="28"/>
      <c r="J79" s="25"/>
      <c r="K79" s="25">
        <f t="shared" si="4"/>
        <v>0</v>
      </c>
    </row>
    <row r="80" spans="2:11" x14ac:dyDescent="0.15">
      <c r="B80" s="740" t="s">
        <v>2281</v>
      </c>
      <c r="C80" s="19"/>
      <c r="D80" s="20"/>
      <c r="E80" s="21"/>
      <c r="F80" s="20"/>
      <c r="G80" s="22"/>
      <c r="H80" s="23"/>
      <c r="I80" s="24"/>
      <c r="J80" s="25"/>
      <c r="K80" s="26">
        <f>SUM(H80*J80)</f>
        <v>0</v>
      </c>
    </row>
    <row r="81" spans="2:11" x14ac:dyDescent="0.15">
      <c r="B81" s="741"/>
      <c r="C81" s="19"/>
      <c r="D81" s="20"/>
      <c r="E81" s="21"/>
      <c r="F81" s="20"/>
      <c r="G81" s="22"/>
      <c r="H81" s="23"/>
      <c r="I81" s="24"/>
      <c r="J81" s="25"/>
      <c r="K81" s="25">
        <f>SUM(H81*J81)</f>
        <v>0</v>
      </c>
    </row>
    <row r="82" spans="2:11" x14ac:dyDescent="0.15">
      <c r="B82" s="741"/>
      <c r="C82" s="19"/>
      <c r="D82" s="20"/>
      <c r="E82" s="21"/>
      <c r="F82" s="20"/>
      <c r="G82" s="22"/>
      <c r="H82" s="23"/>
      <c r="I82" s="24"/>
      <c r="J82" s="25"/>
      <c r="K82" s="25">
        <f t="shared" ref="K82:K94" si="5">SUM(H82*J82)</f>
        <v>0</v>
      </c>
    </row>
    <row r="83" spans="2:11" x14ac:dyDescent="0.15">
      <c r="B83" s="741"/>
      <c r="C83" s="19"/>
      <c r="D83" s="20"/>
      <c r="E83" s="21"/>
      <c r="F83" s="20"/>
      <c r="G83" s="22"/>
      <c r="H83" s="23"/>
      <c r="I83" s="24"/>
      <c r="J83" s="25"/>
      <c r="K83" s="25">
        <f t="shared" si="5"/>
        <v>0</v>
      </c>
    </row>
    <row r="84" spans="2:11" x14ac:dyDescent="0.15">
      <c r="B84" s="741"/>
      <c r="C84" s="19"/>
      <c r="D84" s="20"/>
      <c r="E84" s="21"/>
      <c r="F84" s="20"/>
      <c r="G84" s="22"/>
      <c r="H84" s="23"/>
      <c r="I84" s="24"/>
      <c r="J84" s="25"/>
      <c r="K84" s="25">
        <f t="shared" si="5"/>
        <v>0</v>
      </c>
    </row>
    <row r="85" spans="2:11" x14ac:dyDescent="0.15">
      <c r="B85" s="741"/>
      <c r="C85" s="19"/>
      <c r="D85" s="20"/>
      <c r="E85" s="21"/>
      <c r="F85" s="20"/>
      <c r="G85" s="22"/>
      <c r="H85" s="23"/>
      <c r="I85" s="24"/>
      <c r="J85" s="25"/>
      <c r="K85" s="25">
        <f t="shared" si="5"/>
        <v>0</v>
      </c>
    </row>
    <row r="86" spans="2:11" x14ac:dyDescent="0.15">
      <c r="B86" s="741"/>
      <c r="C86" s="19"/>
      <c r="D86" s="20"/>
      <c r="E86" s="21"/>
      <c r="F86" s="20"/>
      <c r="G86" s="22"/>
      <c r="H86" s="23"/>
      <c r="I86" s="24"/>
      <c r="J86" s="25"/>
      <c r="K86" s="25">
        <f t="shared" si="5"/>
        <v>0</v>
      </c>
    </row>
    <row r="87" spans="2:11" x14ac:dyDescent="0.15">
      <c r="B87" s="741"/>
      <c r="C87" s="19"/>
      <c r="D87" s="20"/>
      <c r="E87" s="21"/>
      <c r="F87" s="20"/>
      <c r="G87" s="22"/>
      <c r="H87" s="23"/>
      <c r="I87" s="24"/>
      <c r="J87" s="25"/>
      <c r="K87" s="25">
        <f t="shared" si="5"/>
        <v>0</v>
      </c>
    </row>
    <row r="88" spans="2:11" x14ac:dyDescent="0.15">
      <c r="B88" s="741"/>
      <c r="C88" s="19"/>
      <c r="D88" s="20"/>
      <c r="E88" s="21"/>
      <c r="F88" s="20"/>
      <c r="G88" s="22"/>
      <c r="H88" s="23"/>
      <c r="I88" s="24"/>
      <c r="J88" s="25"/>
      <c r="K88" s="25">
        <f t="shared" si="5"/>
        <v>0</v>
      </c>
    </row>
    <row r="89" spans="2:11" x14ac:dyDescent="0.15">
      <c r="B89" s="741"/>
      <c r="C89" s="19"/>
      <c r="D89" s="20"/>
      <c r="E89" s="21"/>
      <c r="F89" s="20"/>
      <c r="G89" s="22"/>
      <c r="H89" s="23"/>
      <c r="I89" s="24"/>
      <c r="J89" s="25"/>
      <c r="K89" s="25">
        <f t="shared" si="5"/>
        <v>0</v>
      </c>
    </row>
    <row r="90" spans="2:11" x14ac:dyDescent="0.15">
      <c r="B90" s="741"/>
      <c r="C90" s="19"/>
      <c r="D90" s="21"/>
      <c r="E90" s="20"/>
      <c r="F90" s="21"/>
      <c r="G90" s="22"/>
      <c r="H90" s="23"/>
      <c r="I90" s="24"/>
      <c r="J90" s="26"/>
      <c r="K90" s="25">
        <f t="shared" si="5"/>
        <v>0</v>
      </c>
    </row>
    <row r="91" spans="2:11" x14ac:dyDescent="0.15">
      <c r="B91" s="741"/>
      <c r="C91" s="19"/>
      <c r="D91" s="20"/>
      <c r="E91" s="21"/>
      <c r="F91" s="20"/>
      <c r="G91" s="22"/>
      <c r="H91" s="23"/>
      <c r="I91" s="28"/>
      <c r="J91" s="25"/>
      <c r="K91" s="25">
        <f t="shared" si="5"/>
        <v>0</v>
      </c>
    </row>
    <row r="92" spans="2:11" x14ac:dyDescent="0.15">
      <c r="B92" s="741"/>
      <c r="C92" s="19"/>
      <c r="D92" s="20"/>
      <c r="E92" s="21"/>
      <c r="F92" s="20"/>
      <c r="G92" s="22"/>
      <c r="H92" s="23"/>
      <c r="I92" s="28"/>
      <c r="J92" s="25"/>
      <c r="K92" s="25">
        <f t="shared" si="5"/>
        <v>0</v>
      </c>
    </row>
    <row r="93" spans="2:11" x14ac:dyDescent="0.15">
      <c r="B93" s="741"/>
      <c r="C93" s="19"/>
      <c r="D93" s="20"/>
      <c r="E93" s="21"/>
      <c r="F93" s="20"/>
      <c r="G93" s="22"/>
      <c r="H93" s="23"/>
      <c r="I93" s="28"/>
      <c r="J93" s="25"/>
      <c r="K93" s="25">
        <f t="shared" si="5"/>
        <v>0</v>
      </c>
    </row>
    <row r="94" spans="2:11" x14ac:dyDescent="0.15">
      <c r="B94" s="742"/>
      <c r="C94" s="19"/>
      <c r="D94" s="20"/>
      <c r="E94" s="21"/>
      <c r="F94" s="20"/>
      <c r="G94" s="22"/>
      <c r="H94" s="23"/>
      <c r="I94" s="28"/>
      <c r="J94" s="25"/>
      <c r="K94" s="25">
        <f t="shared" si="5"/>
        <v>0</v>
      </c>
    </row>
  </sheetData>
  <mergeCells count="7">
    <mergeCell ref="F3:G3"/>
    <mergeCell ref="B4:B29"/>
    <mergeCell ref="B80:B94"/>
    <mergeCell ref="B30:B48"/>
    <mergeCell ref="B49:B64"/>
    <mergeCell ref="B65:B79"/>
    <mergeCell ref="C3:E3"/>
  </mergeCells>
  <phoneticPr fontId="3"/>
  <printOptions horizontalCentered="1" verticalCentered="1"/>
  <pageMargins left="0.25" right="0.25" top="0.75" bottom="0.75" header="0.3" footer="0.3"/>
  <pageSetup paperSize="9" scale="80" orientation="portrait" verticalDpi="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5C44-78E7-4B30-9798-B6EAD1ACFEB9}">
  <sheetPr codeName="Sheet3"/>
  <dimension ref="A1:K46"/>
  <sheetViews>
    <sheetView showGridLines="0" workbookViewId="0">
      <selection activeCell="A31" sqref="A31"/>
    </sheetView>
  </sheetViews>
  <sheetFormatPr defaultRowHeight="18.75" x14ac:dyDescent="0.4"/>
  <cols>
    <col min="1" max="1" width="38.75" bestFit="1" customWidth="1"/>
    <col min="2" max="2" width="15.5" customWidth="1"/>
    <col min="3" max="3" width="43" customWidth="1"/>
    <col min="4" max="4" width="24.75" bestFit="1" customWidth="1"/>
    <col min="8" max="8" width="33.75" bestFit="1" customWidth="1"/>
    <col min="9" max="9" width="16.125" bestFit="1" customWidth="1"/>
    <col min="10" max="10" width="38.25" bestFit="1" customWidth="1"/>
    <col min="11" max="11" width="25.375" bestFit="1" customWidth="1"/>
  </cols>
  <sheetData>
    <row r="1" spans="1:11" x14ac:dyDescent="0.4">
      <c r="A1" t="s">
        <v>340</v>
      </c>
      <c r="B1" t="s">
        <v>473</v>
      </c>
      <c r="C1" s="89" t="s">
        <v>5</v>
      </c>
      <c r="D1" t="s">
        <v>477</v>
      </c>
      <c r="F1" t="s">
        <v>423</v>
      </c>
    </row>
    <row r="2" spans="1:11" x14ac:dyDescent="0.4">
      <c r="A2" s="325"/>
      <c r="B2" s="325"/>
      <c r="C2" s="326"/>
      <c r="D2" s="325"/>
      <c r="E2" s="325"/>
    </row>
    <row r="3" spans="1:11" x14ac:dyDescent="0.4">
      <c r="A3" s="323" t="s">
        <v>757</v>
      </c>
      <c r="B3" s="325" t="s">
        <v>482</v>
      </c>
      <c r="C3" s="326" t="s">
        <v>474</v>
      </c>
      <c r="D3" s="325" t="s">
        <v>479</v>
      </c>
      <c r="E3" s="325"/>
      <c r="F3" t="s">
        <v>424</v>
      </c>
    </row>
    <row r="4" spans="1:11" x14ac:dyDescent="0.4">
      <c r="A4" s="325" t="s">
        <v>686</v>
      </c>
      <c r="B4" s="325" t="s">
        <v>475</v>
      </c>
      <c r="C4" s="326" t="s">
        <v>474</v>
      </c>
      <c r="D4" s="325" t="s">
        <v>479</v>
      </c>
      <c r="E4" s="325"/>
      <c r="F4" t="s">
        <v>425</v>
      </c>
    </row>
    <row r="5" spans="1:11" x14ac:dyDescent="0.4">
      <c r="A5" s="325" t="s">
        <v>687</v>
      </c>
      <c r="B5" s="325" t="s">
        <v>483</v>
      </c>
      <c r="C5" s="326" t="s">
        <v>476</v>
      </c>
      <c r="D5" s="325" t="s">
        <v>478</v>
      </c>
      <c r="E5" s="325"/>
      <c r="F5" t="s">
        <v>426</v>
      </c>
    </row>
    <row r="6" spans="1:11" x14ac:dyDescent="0.4">
      <c r="A6" s="325" t="s">
        <v>688</v>
      </c>
      <c r="B6" s="325" t="s">
        <v>481</v>
      </c>
      <c r="C6" s="325" t="s">
        <v>480</v>
      </c>
      <c r="D6" s="325"/>
      <c r="E6" s="325"/>
    </row>
    <row r="7" spans="1:11" x14ac:dyDescent="0.4">
      <c r="A7" s="325" t="s">
        <v>689</v>
      </c>
      <c r="B7" s="325"/>
      <c r="C7" s="325"/>
      <c r="D7" s="325"/>
      <c r="E7" s="325"/>
    </row>
    <row r="8" spans="1:11" x14ac:dyDescent="0.4">
      <c r="A8" s="325" t="s">
        <v>2458</v>
      </c>
      <c r="B8" s="325" t="s">
        <v>484</v>
      </c>
      <c r="C8" s="325" t="s">
        <v>485</v>
      </c>
      <c r="D8" s="325"/>
      <c r="E8" s="325"/>
    </row>
    <row r="9" spans="1:11" x14ac:dyDescent="0.4">
      <c r="A9" s="325" t="s">
        <v>691</v>
      </c>
      <c r="B9" s="325" t="s">
        <v>492</v>
      </c>
      <c r="C9" s="325" t="s">
        <v>493</v>
      </c>
      <c r="D9" s="325"/>
      <c r="E9" s="325"/>
    </row>
    <row r="10" spans="1:11" x14ac:dyDescent="0.4">
      <c r="A10" s="325" t="s">
        <v>472</v>
      </c>
      <c r="B10" s="325" t="s">
        <v>494</v>
      </c>
      <c r="C10" s="325" t="s">
        <v>495</v>
      </c>
      <c r="D10" s="325"/>
      <c r="E10" s="325"/>
      <c r="H10" s="750"/>
      <c r="I10" s="750"/>
      <c r="J10" s="750"/>
      <c r="K10" s="750"/>
    </row>
    <row r="11" spans="1:11" x14ac:dyDescent="0.4">
      <c r="A11" s="324" t="s">
        <v>1049</v>
      </c>
      <c r="B11" s="322" t="s">
        <v>1050</v>
      </c>
      <c r="C11" s="322" t="s">
        <v>1051</v>
      </c>
      <c r="D11" s="322" t="s">
        <v>1052</v>
      </c>
      <c r="E11" s="325"/>
      <c r="H11" s="327"/>
      <c r="I11" s="328"/>
      <c r="J11" s="329"/>
      <c r="K11" s="328"/>
    </row>
    <row r="12" spans="1:11" x14ac:dyDescent="0.4">
      <c r="A12" s="325" t="s">
        <v>690</v>
      </c>
      <c r="B12" s="325" t="s">
        <v>486</v>
      </c>
      <c r="C12" s="325" t="s">
        <v>487</v>
      </c>
      <c r="D12" s="325"/>
      <c r="E12" s="325"/>
      <c r="H12" s="749"/>
      <c r="I12" s="749"/>
      <c r="J12" s="749"/>
      <c r="K12" s="749"/>
    </row>
    <row r="13" spans="1:11" x14ac:dyDescent="0.4">
      <c r="A13" s="324" t="s">
        <v>1042</v>
      </c>
      <c r="B13" s="322" t="s">
        <v>1043</v>
      </c>
      <c r="C13" s="322" t="s">
        <v>1044</v>
      </c>
      <c r="D13" s="322" t="s">
        <v>1045</v>
      </c>
      <c r="E13" s="325"/>
      <c r="H13" s="749"/>
      <c r="I13" s="749"/>
      <c r="J13" s="749"/>
      <c r="K13" s="749"/>
    </row>
    <row r="14" spans="1:11" ht="19.5" x14ac:dyDescent="0.4">
      <c r="A14" s="427" t="s">
        <v>2539</v>
      </c>
      <c r="B14" s="322" t="s">
        <v>1046</v>
      </c>
      <c r="C14" s="322" t="s">
        <v>1047</v>
      </c>
      <c r="D14" s="322" t="s">
        <v>1048</v>
      </c>
      <c r="E14" s="325"/>
      <c r="H14" s="749"/>
      <c r="I14" s="749"/>
      <c r="J14" s="749"/>
      <c r="K14" s="749"/>
    </row>
    <row r="15" spans="1:11" x14ac:dyDescent="0.4">
      <c r="A15" s="325" t="s">
        <v>1041</v>
      </c>
      <c r="B15" s="325" t="s">
        <v>1245</v>
      </c>
      <c r="C15" s="325" t="s">
        <v>1246</v>
      </c>
      <c r="D15" s="325"/>
      <c r="E15" s="322" t="s">
        <v>11</v>
      </c>
      <c r="F15" t="s">
        <v>11</v>
      </c>
      <c r="H15" s="328"/>
      <c r="I15" s="328"/>
      <c r="J15" s="328"/>
      <c r="K15" s="328"/>
    </row>
    <row r="16" spans="1:11" x14ac:dyDescent="0.4">
      <c r="A16" s="325" t="s">
        <v>1242</v>
      </c>
      <c r="B16" s="325" t="s">
        <v>1243</v>
      </c>
      <c r="C16" s="325" t="s">
        <v>1244</v>
      </c>
      <c r="D16" s="325"/>
      <c r="E16" s="325"/>
      <c r="H16" s="328"/>
      <c r="I16" s="328"/>
      <c r="J16" s="328"/>
      <c r="K16" s="328"/>
    </row>
    <row r="17" spans="1:11" ht="18.75" customHeight="1" x14ac:dyDescent="0.4">
      <c r="A17" s="325" t="s">
        <v>1238</v>
      </c>
      <c r="B17" s="325" t="s">
        <v>1239</v>
      </c>
      <c r="C17" s="325" t="s">
        <v>1240</v>
      </c>
      <c r="D17" s="325" t="s">
        <v>1241</v>
      </c>
      <c r="E17" s="325"/>
      <c r="H17" s="749"/>
      <c r="I17" s="749"/>
      <c r="J17" s="749"/>
      <c r="K17" s="749"/>
    </row>
    <row r="18" spans="1:11" x14ac:dyDescent="0.4">
      <c r="A18" s="325" t="s">
        <v>2246</v>
      </c>
      <c r="B18" s="325" t="s">
        <v>2247</v>
      </c>
      <c r="C18" s="322" t="s">
        <v>1047</v>
      </c>
      <c r="D18" s="325"/>
      <c r="E18" s="325"/>
      <c r="H18" s="750"/>
      <c r="I18" s="750"/>
      <c r="J18" s="750"/>
      <c r="K18" s="750"/>
    </row>
    <row r="19" spans="1:11" x14ac:dyDescent="0.4">
      <c r="A19" s="325" t="s">
        <v>2264</v>
      </c>
      <c r="B19" s="325" t="s">
        <v>2265</v>
      </c>
      <c r="C19" s="325" t="s">
        <v>2266</v>
      </c>
      <c r="D19" s="325" t="s">
        <v>2267</v>
      </c>
      <c r="E19" s="325"/>
      <c r="H19" s="331"/>
      <c r="I19" s="328"/>
      <c r="J19" s="328"/>
      <c r="K19" s="328"/>
    </row>
    <row r="20" spans="1:11" x14ac:dyDescent="0.4">
      <c r="A20" s="325" t="s">
        <v>2309</v>
      </c>
      <c r="B20" s="325" t="s">
        <v>2306</v>
      </c>
      <c r="C20" s="325" t="s">
        <v>2307</v>
      </c>
      <c r="D20" s="325" t="s">
        <v>2308</v>
      </c>
      <c r="E20" s="325"/>
      <c r="H20" s="330"/>
      <c r="I20" s="328"/>
      <c r="J20" s="328"/>
      <c r="K20" s="328"/>
    </row>
    <row r="21" spans="1:11" x14ac:dyDescent="0.4">
      <c r="A21" s="325" t="s">
        <v>2386</v>
      </c>
      <c r="B21" s="325" t="s">
        <v>2388</v>
      </c>
      <c r="C21" s="325" t="s">
        <v>2387</v>
      </c>
      <c r="D21" s="325"/>
      <c r="E21" s="325"/>
      <c r="H21" s="331"/>
      <c r="I21" s="328"/>
      <c r="J21" s="328"/>
      <c r="K21" s="328"/>
    </row>
    <row r="22" spans="1:11" x14ac:dyDescent="0.4">
      <c r="A22" s="325" t="s">
        <v>2529</v>
      </c>
      <c r="B22" s="325" t="s">
        <v>2530</v>
      </c>
      <c r="C22" s="325" t="s">
        <v>2532</v>
      </c>
      <c r="D22" s="325" t="s">
        <v>2531</v>
      </c>
      <c r="E22" s="325"/>
      <c r="H22" s="328"/>
      <c r="I22" s="328"/>
      <c r="J22" s="328"/>
      <c r="K22" s="328"/>
    </row>
    <row r="23" spans="1:11" x14ac:dyDescent="0.4">
      <c r="A23" s="325" t="s">
        <v>2646</v>
      </c>
      <c r="B23" s="325" t="s">
        <v>2647</v>
      </c>
      <c r="C23" s="325" t="s">
        <v>2648</v>
      </c>
      <c r="D23" s="325" t="s">
        <v>2649</v>
      </c>
      <c r="E23" s="325"/>
    </row>
    <row r="24" spans="1:11" x14ac:dyDescent="0.4">
      <c r="A24" s="325" t="s">
        <v>2670</v>
      </c>
      <c r="B24" s="325" t="s">
        <v>490</v>
      </c>
      <c r="C24" s="325" t="s">
        <v>491</v>
      </c>
      <c r="D24" s="325"/>
      <c r="E24" s="325"/>
    </row>
    <row r="25" spans="1:11" x14ac:dyDescent="0.4">
      <c r="A25" s="325" t="s">
        <v>2675</v>
      </c>
      <c r="B25" s="325" t="s">
        <v>488</v>
      </c>
      <c r="C25" s="325" t="s">
        <v>489</v>
      </c>
      <c r="D25" s="325"/>
      <c r="E25" s="325"/>
    </row>
    <row r="26" spans="1:11" x14ac:dyDescent="0.4">
      <c r="A26" s="325" t="s">
        <v>2685</v>
      </c>
      <c r="B26" s="322" t="s">
        <v>1043</v>
      </c>
      <c r="C26" s="322" t="s">
        <v>1044</v>
      </c>
      <c r="D26" s="322" t="s">
        <v>1045</v>
      </c>
      <c r="E26" s="325"/>
    </row>
    <row r="27" spans="1:11" x14ac:dyDescent="0.4">
      <c r="A27" s="325" t="s">
        <v>2701</v>
      </c>
      <c r="B27" s="325" t="s">
        <v>2702</v>
      </c>
      <c r="C27" s="325" t="s">
        <v>2703</v>
      </c>
      <c r="D27" s="485"/>
      <c r="E27" s="325"/>
    </row>
    <row r="28" spans="1:11" x14ac:dyDescent="0.4">
      <c r="A28" s="325" t="s">
        <v>2754</v>
      </c>
      <c r="B28" s="325" t="s">
        <v>2655</v>
      </c>
      <c r="C28" s="325"/>
      <c r="D28" s="325"/>
      <c r="E28" s="325"/>
    </row>
    <row r="29" spans="1:11" x14ac:dyDescent="0.4">
      <c r="A29" s="325" t="s">
        <v>2788</v>
      </c>
      <c r="B29" s="325" t="s">
        <v>2655</v>
      </c>
      <c r="C29" s="325"/>
      <c r="D29" s="325"/>
      <c r="E29" s="325"/>
    </row>
    <row r="30" spans="1:11" x14ac:dyDescent="0.4">
      <c r="A30" s="325"/>
      <c r="B30" s="325"/>
      <c r="C30" s="325"/>
      <c r="D30" s="325"/>
      <c r="E30" s="325"/>
    </row>
    <row r="31" spans="1:11" x14ac:dyDescent="0.4">
      <c r="A31" s="325"/>
      <c r="B31" s="325"/>
      <c r="C31" s="325"/>
      <c r="D31" s="325"/>
      <c r="E31" s="325"/>
    </row>
    <row r="32" spans="1:11" x14ac:dyDescent="0.4">
      <c r="A32" s="325"/>
      <c r="B32" s="325"/>
      <c r="C32" s="325"/>
      <c r="D32" s="325"/>
      <c r="E32" s="325"/>
    </row>
    <row r="33" spans="1:5" x14ac:dyDescent="0.4">
      <c r="A33" s="325"/>
      <c r="B33" s="325"/>
      <c r="C33" s="325"/>
      <c r="D33" s="325"/>
      <c r="E33" s="325"/>
    </row>
    <row r="34" spans="1:5" x14ac:dyDescent="0.4">
      <c r="A34" s="325"/>
      <c r="B34" s="325"/>
      <c r="C34" s="325"/>
      <c r="D34" s="325"/>
      <c r="E34" s="325"/>
    </row>
    <row r="35" spans="1:5" x14ac:dyDescent="0.4">
      <c r="A35" s="325"/>
      <c r="B35" s="325"/>
      <c r="C35" s="325"/>
      <c r="D35" s="325"/>
      <c r="E35" s="325"/>
    </row>
    <row r="36" spans="1:5" x14ac:dyDescent="0.4">
      <c r="A36" s="325"/>
      <c r="B36" s="325"/>
      <c r="C36" s="325"/>
      <c r="D36" s="325"/>
      <c r="E36" s="325"/>
    </row>
    <row r="37" spans="1:5" x14ac:dyDescent="0.4">
      <c r="A37" s="325"/>
      <c r="B37" s="325"/>
      <c r="C37" s="325"/>
      <c r="D37" s="325"/>
      <c r="E37" s="325"/>
    </row>
    <row r="38" spans="1:5" x14ac:dyDescent="0.4">
      <c r="A38" s="325"/>
      <c r="B38" s="325"/>
      <c r="C38" s="325"/>
      <c r="D38" s="325"/>
      <c r="E38" s="325"/>
    </row>
    <row r="39" spans="1:5" x14ac:dyDescent="0.4">
      <c r="A39" s="325"/>
      <c r="B39" s="325"/>
      <c r="C39" s="325"/>
      <c r="D39" s="325"/>
      <c r="E39" s="325"/>
    </row>
    <row r="40" spans="1:5" x14ac:dyDescent="0.4">
      <c r="A40" s="325"/>
      <c r="B40" s="325"/>
      <c r="C40" s="325"/>
      <c r="D40" s="325"/>
      <c r="E40" s="325"/>
    </row>
    <row r="41" spans="1:5" x14ac:dyDescent="0.4">
      <c r="A41" s="325"/>
      <c r="B41" s="325"/>
      <c r="C41" s="325"/>
      <c r="D41" s="325"/>
      <c r="E41" s="325"/>
    </row>
    <row r="42" spans="1:5" x14ac:dyDescent="0.4">
      <c r="A42" s="325"/>
      <c r="B42" s="325"/>
      <c r="C42" s="325"/>
      <c r="D42" s="325"/>
      <c r="E42" s="325"/>
    </row>
    <row r="43" spans="1:5" x14ac:dyDescent="0.4">
      <c r="A43" s="325"/>
      <c r="B43" s="325"/>
      <c r="C43" s="325"/>
      <c r="D43" s="325"/>
      <c r="E43" s="325"/>
    </row>
    <row r="44" spans="1:5" x14ac:dyDescent="0.4">
      <c r="A44" s="325"/>
      <c r="B44" s="325"/>
      <c r="C44" s="325"/>
      <c r="D44" s="325"/>
      <c r="E44" s="325"/>
    </row>
    <row r="45" spans="1:5" x14ac:dyDescent="0.4">
      <c r="A45" s="325"/>
      <c r="B45" s="325"/>
      <c r="C45" s="325"/>
      <c r="D45" s="325"/>
      <c r="E45" s="325"/>
    </row>
    <row r="46" spans="1:5" x14ac:dyDescent="0.4">
      <c r="A46" s="325"/>
      <c r="B46" s="325"/>
      <c r="C46" s="325"/>
      <c r="D46" s="325"/>
      <c r="E46" s="325"/>
    </row>
  </sheetData>
  <mergeCells count="5">
    <mergeCell ref="H13:K14"/>
    <mergeCell ref="H17:K17"/>
    <mergeCell ref="H18:K18"/>
    <mergeCell ref="H10:K10"/>
    <mergeCell ref="H12:K12"/>
  </mergeCells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567D-5B90-494E-98EB-C58B5836D24A}">
  <sheetPr codeName="Sheet2"/>
  <dimension ref="A1:E51"/>
  <sheetViews>
    <sheetView workbookViewId="0">
      <selection activeCell="A11" sqref="A11"/>
    </sheetView>
  </sheetViews>
  <sheetFormatPr defaultColWidth="9" defaultRowHeight="13.5" x14ac:dyDescent="0.4"/>
  <cols>
    <col min="1" max="1" width="23.5" style="189" bestFit="1" customWidth="1"/>
    <col min="2" max="2" width="15.25" style="189" customWidth="1"/>
    <col min="3" max="3" width="37.75" style="189" bestFit="1" customWidth="1"/>
    <col min="4" max="4" width="20.5" style="189" bestFit="1" customWidth="1"/>
    <col min="5" max="5" width="29.25" style="189" bestFit="1" customWidth="1"/>
    <col min="6" max="16384" width="9" style="189"/>
  </cols>
  <sheetData>
    <row r="1" spans="1:5" x14ac:dyDescent="0.4">
      <c r="A1" s="216" t="s">
        <v>706</v>
      </c>
      <c r="B1" s="216" t="s">
        <v>2332</v>
      </c>
      <c r="C1" s="216" t="s">
        <v>5</v>
      </c>
      <c r="D1" s="216" t="s">
        <v>2327</v>
      </c>
      <c r="E1" s="216" t="s">
        <v>2333</v>
      </c>
    </row>
    <row r="2" spans="1:5" x14ac:dyDescent="0.4">
      <c r="A2" s="215" t="s">
        <v>380</v>
      </c>
      <c r="B2" s="216" t="s">
        <v>473</v>
      </c>
      <c r="C2" s="216"/>
      <c r="D2" s="216"/>
      <c r="E2" s="216"/>
    </row>
    <row r="3" spans="1:5" x14ac:dyDescent="0.4">
      <c r="A3" s="215"/>
      <c r="B3" s="215"/>
      <c r="C3" s="215"/>
      <c r="D3" s="215"/>
      <c r="E3" s="215"/>
    </row>
    <row r="4" spans="1:5" x14ac:dyDescent="0.4">
      <c r="A4" s="215" t="s">
        <v>385</v>
      </c>
      <c r="B4" s="215"/>
      <c r="C4" s="215"/>
      <c r="D4" s="215"/>
      <c r="E4" s="215"/>
    </row>
    <row r="5" spans="1:5" x14ac:dyDescent="0.4">
      <c r="A5" s="215" t="s">
        <v>382</v>
      </c>
      <c r="B5" s="215"/>
      <c r="C5" s="215"/>
      <c r="D5" s="215"/>
      <c r="E5" s="215"/>
    </row>
    <row r="6" spans="1:5" x14ac:dyDescent="0.4">
      <c r="A6" s="215" t="s">
        <v>383</v>
      </c>
      <c r="B6" s="215"/>
      <c r="C6" s="215"/>
      <c r="D6" s="215"/>
      <c r="E6" s="215"/>
    </row>
    <row r="7" spans="1:5" x14ac:dyDescent="0.4">
      <c r="A7" s="215" t="s">
        <v>384</v>
      </c>
      <c r="B7" s="215"/>
      <c r="C7" s="215"/>
      <c r="D7" s="215"/>
      <c r="E7" s="215"/>
    </row>
    <row r="8" spans="1:5" x14ac:dyDescent="0.4">
      <c r="A8" s="215" t="s">
        <v>381</v>
      </c>
      <c r="B8" s="215"/>
      <c r="C8" s="215"/>
      <c r="D8" s="215"/>
      <c r="E8" s="215"/>
    </row>
    <row r="9" spans="1:5" x14ac:dyDescent="0.4">
      <c r="A9" s="215" t="s">
        <v>386</v>
      </c>
      <c r="B9" s="215"/>
      <c r="C9" s="215"/>
      <c r="D9" s="215"/>
      <c r="E9" s="215"/>
    </row>
    <row r="10" spans="1:5" x14ac:dyDescent="0.4">
      <c r="A10" s="215" t="s">
        <v>387</v>
      </c>
      <c r="B10" s="215" t="s">
        <v>2339</v>
      </c>
      <c r="C10" s="215" t="s">
        <v>2335</v>
      </c>
      <c r="D10" s="215" t="s">
        <v>2337</v>
      </c>
      <c r="E10" s="215" t="s">
        <v>2338</v>
      </c>
    </row>
    <row r="11" spans="1:5" x14ac:dyDescent="0.4">
      <c r="A11" s="484" t="s">
        <v>2678</v>
      </c>
      <c r="B11" s="215" t="s">
        <v>2680</v>
      </c>
      <c r="C11" s="215" t="s">
        <v>2679</v>
      </c>
      <c r="D11" s="215"/>
      <c r="E11" s="215"/>
    </row>
    <row r="12" spans="1:5" x14ac:dyDescent="0.4">
      <c r="A12" s="215" t="s">
        <v>388</v>
      </c>
      <c r="B12" s="215"/>
      <c r="C12" s="215"/>
      <c r="D12" s="215"/>
      <c r="E12" s="215"/>
    </row>
    <row r="13" spans="1:5" x14ac:dyDescent="0.4">
      <c r="A13" s="215" t="s">
        <v>692</v>
      </c>
      <c r="B13" s="215"/>
      <c r="C13" s="215"/>
      <c r="D13" s="215"/>
      <c r="E13" s="215"/>
    </row>
    <row r="14" spans="1:5" x14ac:dyDescent="0.4">
      <c r="A14" s="215" t="s">
        <v>695</v>
      </c>
      <c r="B14" s="215"/>
      <c r="C14" s="215"/>
      <c r="D14" s="215"/>
      <c r="E14" s="215"/>
    </row>
    <row r="15" spans="1:5" x14ac:dyDescent="0.4">
      <c r="A15" s="215" t="s">
        <v>694</v>
      </c>
      <c r="B15" s="215"/>
      <c r="C15" s="215"/>
      <c r="D15" s="215"/>
      <c r="E15" s="215"/>
    </row>
    <row r="16" spans="1:5" x14ac:dyDescent="0.4">
      <c r="A16" s="215" t="s">
        <v>696</v>
      </c>
      <c r="B16" s="215"/>
      <c r="C16" s="215"/>
      <c r="D16" s="215"/>
      <c r="E16" s="215"/>
    </row>
    <row r="17" spans="1:5" x14ac:dyDescent="0.4">
      <c r="A17" s="215" t="s">
        <v>697</v>
      </c>
      <c r="B17" s="215"/>
      <c r="C17" s="215"/>
      <c r="D17" s="215"/>
      <c r="E17" s="215"/>
    </row>
    <row r="18" spans="1:5" x14ac:dyDescent="0.4">
      <c r="A18" s="215" t="s">
        <v>698</v>
      </c>
      <c r="B18" s="215"/>
      <c r="C18" s="215"/>
      <c r="D18" s="215"/>
      <c r="E18" s="215"/>
    </row>
    <row r="19" spans="1:5" x14ac:dyDescent="0.4">
      <c r="A19" s="215" t="s">
        <v>699</v>
      </c>
      <c r="B19" s="215"/>
      <c r="C19" s="215"/>
      <c r="D19" s="215"/>
      <c r="E19" s="215"/>
    </row>
    <row r="20" spans="1:5" x14ac:dyDescent="0.4">
      <c r="A20" s="215" t="s">
        <v>700</v>
      </c>
      <c r="B20" s="215"/>
      <c r="C20" s="215"/>
      <c r="D20" s="215"/>
      <c r="E20" s="215"/>
    </row>
    <row r="21" spans="1:5" x14ac:dyDescent="0.4">
      <c r="A21" s="215" t="s">
        <v>702</v>
      </c>
      <c r="B21" s="215"/>
      <c r="C21" s="215"/>
      <c r="D21" s="215"/>
      <c r="E21" s="215"/>
    </row>
    <row r="22" spans="1:5" x14ac:dyDescent="0.4">
      <c r="A22" s="215" t="s">
        <v>703</v>
      </c>
      <c r="B22" s="215"/>
      <c r="C22" s="215"/>
      <c r="D22" s="215"/>
      <c r="E22" s="215"/>
    </row>
    <row r="23" spans="1:5" x14ac:dyDescent="0.4">
      <c r="A23" s="215" t="s">
        <v>704</v>
      </c>
      <c r="B23" s="215"/>
      <c r="C23" s="215"/>
      <c r="D23" s="215"/>
      <c r="E23" s="215"/>
    </row>
    <row r="24" spans="1:5" x14ac:dyDescent="0.4">
      <c r="A24" s="215" t="s">
        <v>705</v>
      </c>
      <c r="B24" s="215"/>
      <c r="C24" s="215"/>
      <c r="D24" s="215"/>
      <c r="E24" s="215"/>
    </row>
    <row r="25" spans="1:5" x14ac:dyDescent="0.4">
      <c r="A25" s="215" t="s">
        <v>2224</v>
      </c>
      <c r="B25" s="215"/>
      <c r="C25" s="215"/>
      <c r="D25" s="215"/>
      <c r="E25" s="215"/>
    </row>
    <row r="26" spans="1:5" x14ac:dyDescent="0.4">
      <c r="A26" s="215" t="s">
        <v>2238</v>
      </c>
      <c r="B26" s="215"/>
      <c r="C26" s="215"/>
      <c r="D26" s="215"/>
      <c r="E26" s="215"/>
    </row>
    <row r="27" spans="1:5" x14ac:dyDescent="0.4">
      <c r="A27" s="215" t="s">
        <v>2239</v>
      </c>
      <c r="B27" s="215"/>
      <c r="C27" s="215"/>
      <c r="D27" s="215"/>
      <c r="E27" s="215"/>
    </row>
    <row r="28" spans="1:5" x14ac:dyDescent="0.4">
      <c r="A28" s="215" t="s">
        <v>2297</v>
      </c>
      <c r="B28" s="215"/>
      <c r="C28" s="215"/>
      <c r="D28" s="215"/>
      <c r="E28" s="215"/>
    </row>
    <row r="29" spans="1:5" x14ac:dyDescent="0.4">
      <c r="A29" s="215" t="s">
        <v>2446</v>
      </c>
      <c r="B29" s="215" t="s">
        <v>2447</v>
      </c>
      <c r="C29" s="215" t="s">
        <v>2448</v>
      </c>
      <c r="D29" s="215"/>
      <c r="E29" s="215"/>
    </row>
    <row r="30" spans="1:5" x14ac:dyDescent="0.4">
      <c r="A30" s="217" t="s">
        <v>2522</v>
      </c>
      <c r="B30" s="217" t="s">
        <v>2523</v>
      </c>
      <c r="C30" s="217" t="s">
        <v>2524</v>
      </c>
      <c r="D30" s="217" t="s">
        <v>2525</v>
      </c>
      <c r="E30" s="217"/>
    </row>
    <row r="31" spans="1:5" x14ac:dyDescent="0.4">
      <c r="A31" s="217" t="s">
        <v>2654</v>
      </c>
      <c r="B31" s="217" t="s">
        <v>2655</v>
      </c>
      <c r="C31" s="217"/>
      <c r="D31" s="217"/>
      <c r="E31" s="217"/>
    </row>
    <row r="32" spans="1:5" x14ac:dyDescent="0.4">
      <c r="A32" s="217" t="s">
        <v>2690</v>
      </c>
      <c r="B32" s="217" t="s">
        <v>2655</v>
      </c>
      <c r="C32" s="217" t="s">
        <v>2691</v>
      </c>
      <c r="D32" s="217"/>
      <c r="E32" s="217"/>
    </row>
    <row r="33" spans="1:5" x14ac:dyDescent="0.4">
      <c r="A33" s="215"/>
      <c r="B33" s="215"/>
      <c r="C33" s="215"/>
      <c r="D33" s="215"/>
      <c r="E33" s="215"/>
    </row>
    <row r="34" spans="1:5" x14ac:dyDescent="0.4">
      <c r="A34" s="215"/>
      <c r="B34" s="215"/>
      <c r="C34" s="215"/>
      <c r="D34" s="215"/>
      <c r="E34" s="215"/>
    </row>
    <row r="35" spans="1:5" x14ac:dyDescent="0.4">
      <c r="A35" s="215"/>
      <c r="B35" s="215"/>
      <c r="C35" s="215"/>
      <c r="D35" s="215"/>
      <c r="E35" s="215"/>
    </row>
    <row r="36" spans="1:5" x14ac:dyDescent="0.4">
      <c r="A36" s="215"/>
      <c r="B36" s="215"/>
      <c r="C36" s="215"/>
      <c r="D36" s="215"/>
      <c r="E36" s="215"/>
    </row>
    <row r="37" spans="1:5" x14ac:dyDescent="0.4">
      <c r="A37" s="215"/>
      <c r="B37" s="215"/>
      <c r="C37" s="215"/>
      <c r="D37" s="215"/>
      <c r="E37" s="215"/>
    </row>
    <row r="38" spans="1:5" x14ac:dyDescent="0.4">
      <c r="A38" s="215"/>
      <c r="B38" s="215"/>
      <c r="C38" s="215"/>
      <c r="D38" s="215"/>
      <c r="E38" s="215"/>
    </row>
    <row r="39" spans="1:5" x14ac:dyDescent="0.4">
      <c r="A39" s="215"/>
      <c r="B39" s="215"/>
      <c r="C39" s="215"/>
      <c r="D39" s="215"/>
      <c r="E39" s="215"/>
    </row>
    <row r="40" spans="1:5" x14ac:dyDescent="0.4">
      <c r="A40" s="215"/>
      <c r="B40" s="215"/>
      <c r="C40" s="215"/>
      <c r="D40" s="215"/>
      <c r="E40" s="215"/>
    </row>
    <row r="41" spans="1:5" x14ac:dyDescent="0.4">
      <c r="A41" s="215"/>
      <c r="B41" s="215"/>
      <c r="C41" s="215"/>
      <c r="D41" s="215"/>
      <c r="E41" s="215"/>
    </row>
    <row r="42" spans="1:5" x14ac:dyDescent="0.4">
      <c r="A42" s="215"/>
      <c r="B42" s="215"/>
      <c r="C42" s="215"/>
      <c r="D42" s="215"/>
      <c r="E42" s="215"/>
    </row>
    <row r="43" spans="1:5" x14ac:dyDescent="0.4">
      <c r="A43" s="215"/>
      <c r="B43" s="215"/>
      <c r="C43" s="215"/>
      <c r="D43" s="215"/>
      <c r="E43" s="215"/>
    </row>
    <row r="44" spans="1:5" x14ac:dyDescent="0.4">
      <c r="A44" s="215"/>
      <c r="B44" s="215"/>
      <c r="C44" s="215"/>
      <c r="D44" s="215"/>
      <c r="E44" s="215"/>
    </row>
    <row r="45" spans="1:5" x14ac:dyDescent="0.4">
      <c r="A45" s="215"/>
      <c r="B45" s="215"/>
      <c r="C45" s="215"/>
      <c r="D45" s="215"/>
      <c r="E45" s="215"/>
    </row>
    <row r="46" spans="1:5" x14ac:dyDescent="0.4">
      <c r="A46" s="217"/>
      <c r="B46" s="217"/>
      <c r="C46" s="217"/>
      <c r="D46" s="217"/>
      <c r="E46" s="217"/>
    </row>
    <row r="47" spans="1:5" x14ac:dyDescent="0.4">
      <c r="A47" s="217"/>
      <c r="B47" s="217"/>
      <c r="C47" s="217"/>
      <c r="D47" s="217"/>
      <c r="E47" s="217"/>
    </row>
    <row r="48" spans="1:5" x14ac:dyDescent="0.4">
      <c r="A48" s="217"/>
      <c r="B48" s="217"/>
      <c r="C48" s="217"/>
      <c r="D48" s="217"/>
      <c r="E48" s="217"/>
    </row>
    <row r="49" spans="1:5" x14ac:dyDescent="0.4">
      <c r="A49" s="217"/>
      <c r="B49" s="217"/>
      <c r="C49" s="217"/>
      <c r="D49" s="217"/>
      <c r="E49" s="217"/>
    </row>
    <row r="50" spans="1:5" x14ac:dyDescent="0.4">
      <c r="A50" s="217"/>
      <c r="B50" s="217"/>
      <c r="C50" s="217"/>
      <c r="D50" s="217"/>
      <c r="E50" s="217"/>
    </row>
    <row r="51" spans="1:5" x14ac:dyDescent="0.4">
      <c r="A51" s="217" t="s">
        <v>2789</v>
      </c>
      <c r="B51" s="217" t="s">
        <v>2655</v>
      </c>
      <c r="C51" s="217"/>
      <c r="D51" s="217"/>
      <c r="E51" s="217"/>
    </row>
  </sheetData>
  <phoneticPr fontId="3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CF6E2-0EB8-4D8E-B34E-37CB2BF3EDFB}">
  <sheetPr codeName="Sheet7"/>
  <dimension ref="A1:J388"/>
  <sheetViews>
    <sheetView showGridLines="0" topLeftCell="A3" workbookViewId="0">
      <selection activeCell="A41" sqref="A41"/>
    </sheetView>
  </sheetViews>
  <sheetFormatPr defaultColWidth="9" defaultRowHeight="13.5" x14ac:dyDescent="0.4"/>
  <cols>
    <col min="1" max="1" width="47.75" style="189" bestFit="1" customWidth="1"/>
    <col min="2" max="2" width="10.375" style="189" bestFit="1" customWidth="1"/>
    <col min="3" max="3" width="13.75" style="189" bestFit="1" customWidth="1"/>
    <col min="4" max="4" width="32.75" style="189" bestFit="1" customWidth="1"/>
    <col min="5" max="5" width="9" style="189"/>
    <col min="6" max="6" width="45.25" style="189" customWidth="1"/>
    <col min="7" max="7" width="11.375" style="189" customWidth="1"/>
    <col min="8" max="8" width="9" style="471"/>
    <col min="9" max="9" width="38.25" style="189" customWidth="1"/>
    <col min="10" max="16384" width="9" style="189"/>
  </cols>
  <sheetData>
    <row r="1" spans="1:9" ht="14.25" thickBot="1" x14ac:dyDescent="0.45"/>
    <row r="2" spans="1:9" ht="18.75" x14ac:dyDescent="0.4">
      <c r="A2" s="229" t="s">
        <v>496</v>
      </c>
      <c r="B2" s="232" t="s">
        <v>706</v>
      </c>
      <c r="C2" s="232" t="s">
        <v>715</v>
      </c>
      <c r="D2" s="233" t="s">
        <v>716</v>
      </c>
      <c r="F2" s="231" t="s">
        <v>2223</v>
      </c>
      <c r="G2" s="237"/>
      <c r="H2" s="472"/>
      <c r="I2" s="238"/>
    </row>
    <row r="3" spans="1:9" ht="18.75" x14ac:dyDescent="0.2">
      <c r="A3" s="234" t="s">
        <v>497</v>
      </c>
      <c r="B3" s="235" t="s">
        <v>498</v>
      </c>
      <c r="C3" s="235" t="s">
        <v>499</v>
      </c>
      <c r="D3" s="236" t="s">
        <v>500</v>
      </c>
      <c r="F3" s="219" t="s">
        <v>2769</v>
      </c>
      <c r="G3" s="214" t="s">
        <v>733</v>
      </c>
      <c r="H3" s="473" t="s">
        <v>2774</v>
      </c>
      <c r="I3" s="220"/>
    </row>
    <row r="4" spans="1:9" x14ac:dyDescent="0.15">
      <c r="A4" s="194" t="s">
        <v>501</v>
      </c>
      <c r="B4" s="195" t="s">
        <v>502</v>
      </c>
      <c r="C4" s="195" t="s">
        <v>2576</v>
      </c>
      <c r="D4" s="196"/>
      <c r="F4" s="219" t="s">
        <v>2770</v>
      </c>
      <c r="G4" s="214" t="s">
        <v>2779</v>
      </c>
      <c r="H4" s="473" t="s">
        <v>2775</v>
      </c>
      <c r="I4" s="220"/>
    </row>
    <row r="5" spans="1:9" x14ac:dyDescent="0.15">
      <c r="A5" s="192" t="s">
        <v>503</v>
      </c>
      <c r="B5" s="197" t="s">
        <v>502</v>
      </c>
      <c r="C5" s="197" t="s">
        <v>2577</v>
      </c>
      <c r="D5" s="193"/>
      <c r="F5" s="219" t="s">
        <v>2771</v>
      </c>
      <c r="G5" s="214" t="s">
        <v>2779</v>
      </c>
      <c r="H5" s="473" t="s">
        <v>2776</v>
      </c>
      <c r="I5" s="220"/>
    </row>
    <row r="6" spans="1:9" x14ac:dyDescent="0.15">
      <c r="A6" s="194" t="s">
        <v>537</v>
      </c>
      <c r="B6" s="195" t="s">
        <v>538</v>
      </c>
      <c r="C6" s="195" t="s">
        <v>2559</v>
      </c>
      <c r="D6" s="196" t="s">
        <v>2554</v>
      </c>
      <c r="F6" s="219" t="s">
        <v>2772</v>
      </c>
      <c r="G6" s="214" t="s">
        <v>2779</v>
      </c>
      <c r="H6" s="473" t="s">
        <v>2777</v>
      </c>
      <c r="I6" s="220"/>
    </row>
    <row r="7" spans="1:9" x14ac:dyDescent="0.15">
      <c r="A7" s="192" t="s">
        <v>504</v>
      </c>
      <c r="B7" s="197" t="s">
        <v>502</v>
      </c>
      <c r="C7" s="197" t="s">
        <v>2677</v>
      </c>
      <c r="D7" s="193"/>
      <c r="F7" s="219" t="s">
        <v>2773</v>
      </c>
      <c r="G7" s="214" t="s">
        <v>2780</v>
      </c>
      <c r="H7" s="473" t="s">
        <v>2778</v>
      </c>
      <c r="I7" s="220"/>
    </row>
    <row r="8" spans="1:9" x14ac:dyDescent="0.15">
      <c r="A8" s="194" t="s">
        <v>505</v>
      </c>
      <c r="B8" s="195" t="s">
        <v>502</v>
      </c>
      <c r="C8" s="195" t="s">
        <v>2555</v>
      </c>
      <c r="D8" s="196"/>
      <c r="F8" s="219"/>
      <c r="G8" s="214"/>
      <c r="H8" s="473"/>
      <c r="I8" s="220"/>
    </row>
    <row r="9" spans="1:9" x14ac:dyDescent="0.15">
      <c r="A9" s="192" t="s">
        <v>506</v>
      </c>
      <c r="B9" s="197" t="s">
        <v>507</v>
      </c>
      <c r="C9" s="197" t="s">
        <v>2556</v>
      </c>
      <c r="D9" s="193"/>
      <c r="F9" s="219"/>
      <c r="G9" s="214"/>
      <c r="H9" s="473"/>
      <c r="I9" s="220"/>
    </row>
    <row r="10" spans="1:9" x14ac:dyDescent="0.15">
      <c r="A10" s="194" t="s">
        <v>508</v>
      </c>
      <c r="B10" s="195" t="s">
        <v>507</v>
      </c>
      <c r="C10" s="195" t="s">
        <v>2557</v>
      </c>
      <c r="D10" s="196"/>
      <c r="F10" s="219"/>
      <c r="G10" s="214"/>
      <c r="H10" s="473"/>
      <c r="I10" s="220"/>
    </row>
    <row r="11" spans="1:9" x14ac:dyDescent="0.15">
      <c r="A11" s="192" t="s">
        <v>509</v>
      </c>
      <c r="B11" s="197" t="s">
        <v>507</v>
      </c>
      <c r="C11" s="197" t="s">
        <v>2558</v>
      </c>
      <c r="D11" s="193"/>
      <c r="F11" s="219"/>
      <c r="G11" s="214"/>
      <c r="H11" s="473"/>
      <c r="I11" s="220"/>
    </row>
    <row r="12" spans="1:9" x14ac:dyDescent="0.15">
      <c r="A12" s="194" t="s">
        <v>510</v>
      </c>
      <c r="B12" s="195" t="s">
        <v>507</v>
      </c>
      <c r="C12" s="195" t="s">
        <v>2559</v>
      </c>
      <c r="D12" s="196"/>
      <c r="F12" s="219"/>
      <c r="G12" s="214"/>
      <c r="H12" s="473"/>
      <c r="I12" s="220"/>
    </row>
    <row r="13" spans="1:9" x14ac:dyDescent="0.15">
      <c r="A13" s="192" t="s">
        <v>511</v>
      </c>
      <c r="B13" s="198" t="s">
        <v>507</v>
      </c>
      <c r="C13" s="197" t="s">
        <v>2560</v>
      </c>
      <c r="D13" s="193"/>
      <c r="F13" s="219"/>
      <c r="G13" s="214"/>
      <c r="H13" s="473"/>
      <c r="I13" s="220"/>
    </row>
    <row r="14" spans="1:9" x14ac:dyDescent="0.15">
      <c r="A14" s="194" t="s">
        <v>512</v>
      </c>
      <c r="B14" s="195" t="s">
        <v>507</v>
      </c>
      <c r="C14" s="195" t="s">
        <v>2561</v>
      </c>
      <c r="D14" s="196"/>
      <c r="F14" s="219"/>
      <c r="G14" s="214"/>
      <c r="H14" s="473"/>
      <c r="I14" s="220"/>
    </row>
    <row r="15" spans="1:9" x14ac:dyDescent="0.15">
      <c r="A15" s="192" t="s">
        <v>513</v>
      </c>
      <c r="B15" s="197" t="s">
        <v>502</v>
      </c>
      <c r="C15" s="197" t="s">
        <v>2745</v>
      </c>
      <c r="D15" s="193"/>
      <c r="F15" s="219"/>
      <c r="G15" s="214"/>
      <c r="H15" s="473"/>
      <c r="I15" s="220"/>
    </row>
    <row r="16" spans="1:9" x14ac:dyDescent="0.15">
      <c r="A16" s="194" t="s">
        <v>515</v>
      </c>
      <c r="B16" s="195" t="s">
        <v>516</v>
      </c>
      <c r="C16" s="195" t="s">
        <v>2562</v>
      </c>
      <c r="D16" s="196"/>
      <c r="F16" s="219"/>
      <c r="G16" s="214"/>
      <c r="H16" s="473"/>
      <c r="I16" s="220"/>
    </row>
    <row r="17" spans="1:9" x14ac:dyDescent="0.15">
      <c r="A17" s="192" t="s">
        <v>517</v>
      </c>
      <c r="B17" s="197" t="s">
        <v>502</v>
      </c>
      <c r="C17" s="197" t="s">
        <v>2563</v>
      </c>
      <c r="D17" s="193"/>
      <c r="F17" s="219"/>
      <c r="G17" s="214"/>
      <c r="H17" s="473"/>
      <c r="I17" s="220"/>
    </row>
    <row r="18" spans="1:9" x14ac:dyDescent="0.15">
      <c r="A18" s="194" t="s">
        <v>518</v>
      </c>
      <c r="B18" s="195" t="s">
        <v>519</v>
      </c>
      <c r="C18" s="195" t="s">
        <v>2564</v>
      </c>
      <c r="D18" s="196"/>
      <c r="F18" s="219"/>
      <c r="G18" s="214"/>
      <c r="H18" s="473"/>
      <c r="I18" s="220"/>
    </row>
    <row r="19" spans="1:9" x14ac:dyDescent="0.15">
      <c r="A19" s="192" t="s">
        <v>520</v>
      </c>
      <c r="B19" s="197" t="s">
        <v>507</v>
      </c>
      <c r="C19" s="197" t="s">
        <v>2565</v>
      </c>
      <c r="D19" s="193" t="s">
        <v>522</v>
      </c>
      <c r="F19" s="219"/>
      <c r="G19" s="214"/>
      <c r="H19" s="473"/>
      <c r="I19" s="220"/>
    </row>
    <row r="20" spans="1:9" x14ac:dyDescent="0.4">
      <c r="A20" s="199" t="s">
        <v>523</v>
      </c>
      <c r="B20" s="200" t="s">
        <v>502</v>
      </c>
      <c r="C20" s="200" t="s">
        <v>2566</v>
      </c>
      <c r="D20" s="201"/>
      <c r="F20" s="219"/>
      <c r="G20" s="214"/>
      <c r="H20" s="473"/>
      <c r="I20" s="220"/>
    </row>
    <row r="21" spans="1:9" x14ac:dyDescent="0.4">
      <c r="A21" s="202" t="s">
        <v>524</v>
      </c>
      <c r="B21" s="203" t="s">
        <v>502</v>
      </c>
      <c r="C21" s="203" t="s">
        <v>2567</v>
      </c>
      <c r="D21" s="204"/>
      <c r="F21" s="219"/>
      <c r="G21" s="214"/>
      <c r="H21" s="473"/>
      <c r="I21" s="220"/>
    </row>
    <row r="22" spans="1:9" x14ac:dyDescent="0.4">
      <c r="A22" s="199" t="s">
        <v>525</v>
      </c>
      <c r="B22" s="200" t="s">
        <v>502</v>
      </c>
      <c r="C22" s="200" t="s">
        <v>2568</v>
      </c>
      <c r="D22" s="201"/>
      <c r="F22" s="219"/>
      <c r="G22" s="214"/>
      <c r="H22" s="473"/>
      <c r="I22" s="220"/>
    </row>
    <row r="23" spans="1:9" x14ac:dyDescent="0.4">
      <c r="A23" s="202" t="s">
        <v>526</v>
      </c>
      <c r="B23" s="203" t="s">
        <v>502</v>
      </c>
      <c r="C23" s="203" t="s">
        <v>2569</v>
      </c>
      <c r="D23" s="204"/>
      <c r="F23" s="219"/>
      <c r="G23" s="214"/>
      <c r="H23" s="473"/>
      <c r="I23" s="220"/>
    </row>
    <row r="24" spans="1:9" x14ac:dyDescent="0.4">
      <c r="A24" s="199" t="s">
        <v>527</v>
      </c>
      <c r="B24" s="200" t="s">
        <v>502</v>
      </c>
      <c r="C24" s="200" t="s">
        <v>2570</v>
      </c>
      <c r="D24" s="201"/>
      <c r="F24" s="219"/>
      <c r="G24" s="214"/>
      <c r="H24" s="473"/>
      <c r="I24" s="220"/>
    </row>
    <row r="25" spans="1:9" x14ac:dyDescent="0.4">
      <c r="A25" s="202" t="s">
        <v>528</v>
      </c>
      <c r="B25" s="203" t="s">
        <v>529</v>
      </c>
      <c r="C25" s="203" t="s">
        <v>2571</v>
      </c>
      <c r="D25" s="204"/>
      <c r="F25" s="219"/>
      <c r="G25" s="214"/>
      <c r="H25" s="473"/>
      <c r="I25" s="220"/>
    </row>
    <row r="26" spans="1:9" x14ac:dyDescent="0.4">
      <c r="A26" s="203" t="s">
        <v>2572</v>
      </c>
      <c r="B26" s="203" t="s">
        <v>2573</v>
      </c>
      <c r="C26" s="203" t="s">
        <v>2578</v>
      </c>
      <c r="D26" s="203"/>
      <c r="F26" s="219"/>
      <c r="G26" s="214"/>
      <c r="H26" s="473"/>
      <c r="I26" s="220"/>
    </row>
    <row r="27" spans="1:9" x14ac:dyDescent="0.4">
      <c r="A27" s="203" t="s">
        <v>2574</v>
      </c>
      <c r="B27" s="203" t="s">
        <v>2573</v>
      </c>
      <c r="C27" s="203" t="s">
        <v>2579</v>
      </c>
      <c r="D27" s="203"/>
      <c r="F27" s="219"/>
      <c r="G27" s="214"/>
      <c r="H27" s="473"/>
      <c r="I27" s="220"/>
    </row>
    <row r="28" spans="1:9" x14ac:dyDescent="0.4">
      <c r="A28" s="203" t="s">
        <v>2575</v>
      </c>
      <c r="B28" s="203" t="s">
        <v>2573</v>
      </c>
      <c r="C28" s="203" t="s">
        <v>2583</v>
      </c>
      <c r="D28" s="203" t="s">
        <v>2580</v>
      </c>
      <c r="F28" s="219"/>
      <c r="G28" s="214"/>
      <c r="H28" s="473"/>
      <c r="I28" s="220"/>
    </row>
    <row r="29" spans="1:9" x14ac:dyDescent="0.4">
      <c r="A29" s="203" t="s">
        <v>2581</v>
      </c>
      <c r="B29" s="203" t="s">
        <v>2573</v>
      </c>
      <c r="C29" s="203" t="s">
        <v>2582</v>
      </c>
      <c r="D29" s="203"/>
      <c r="F29" s="219"/>
      <c r="G29" s="214"/>
      <c r="H29" s="473"/>
      <c r="I29" s="220"/>
    </row>
    <row r="30" spans="1:9" x14ac:dyDescent="0.4">
      <c r="A30" s="203" t="s">
        <v>2584</v>
      </c>
      <c r="B30" s="203" t="s">
        <v>2573</v>
      </c>
      <c r="C30" s="203" t="s">
        <v>2585</v>
      </c>
      <c r="D30" s="203"/>
      <c r="F30" s="219"/>
      <c r="G30" s="214"/>
      <c r="H30" s="473"/>
      <c r="I30" s="220"/>
    </row>
    <row r="31" spans="1:9" x14ac:dyDescent="0.4">
      <c r="A31" s="199" t="s">
        <v>530</v>
      </c>
      <c r="B31" s="200" t="s">
        <v>519</v>
      </c>
      <c r="C31" s="200" t="s">
        <v>531</v>
      </c>
      <c r="D31" s="201"/>
      <c r="F31" s="219"/>
      <c r="G31" s="214"/>
      <c r="H31" s="473"/>
      <c r="I31" s="220"/>
    </row>
    <row r="32" spans="1:9" x14ac:dyDescent="0.4">
      <c r="A32" s="202" t="s">
        <v>532</v>
      </c>
      <c r="B32" s="203" t="s">
        <v>519</v>
      </c>
      <c r="C32" s="203" t="s">
        <v>533</v>
      </c>
      <c r="D32" s="204"/>
      <c r="F32" s="219"/>
      <c r="G32" s="214"/>
      <c r="H32" s="473"/>
      <c r="I32" s="220"/>
    </row>
    <row r="33" spans="1:9" x14ac:dyDescent="0.4">
      <c r="A33" s="199" t="s">
        <v>534</v>
      </c>
      <c r="B33" s="200" t="s">
        <v>535</v>
      </c>
      <c r="C33" s="200" t="s">
        <v>536</v>
      </c>
      <c r="D33" s="201"/>
      <c r="F33" s="219"/>
      <c r="G33" s="214"/>
      <c r="H33" s="473"/>
      <c r="I33" s="220"/>
    </row>
    <row r="34" spans="1:9" x14ac:dyDescent="0.4">
      <c r="A34" s="200" t="s">
        <v>2240</v>
      </c>
      <c r="B34" s="200" t="s">
        <v>2234</v>
      </c>
      <c r="C34" s="200" t="s">
        <v>2781</v>
      </c>
      <c r="D34" s="200" t="s">
        <v>2457</v>
      </c>
      <c r="F34" s="219"/>
      <c r="G34" s="214"/>
      <c r="H34" s="473"/>
      <c r="I34" s="220"/>
    </row>
    <row r="35" spans="1:9" x14ac:dyDescent="0.4">
      <c r="A35" s="202" t="s">
        <v>2240</v>
      </c>
      <c r="B35" s="203" t="s">
        <v>2234</v>
      </c>
      <c r="C35" s="203" t="s">
        <v>2456</v>
      </c>
      <c r="D35" s="204" t="s">
        <v>2243</v>
      </c>
      <c r="F35" s="219"/>
      <c r="G35" s="214"/>
      <c r="H35" s="473"/>
      <c r="I35" s="220"/>
    </row>
    <row r="36" spans="1:9" x14ac:dyDescent="0.4">
      <c r="A36" s="199" t="s">
        <v>2241</v>
      </c>
      <c r="B36" s="200" t="s">
        <v>538</v>
      </c>
      <c r="C36" s="200" t="s">
        <v>2242</v>
      </c>
      <c r="D36" s="201"/>
      <c r="F36" s="219"/>
      <c r="G36" s="214"/>
      <c r="H36" s="473"/>
      <c r="I36" s="220"/>
    </row>
    <row r="37" spans="1:9" x14ac:dyDescent="0.4">
      <c r="A37" s="202" t="s">
        <v>2586</v>
      </c>
      <c r="B37" s="203" t="s">
        <v>538</v>
      </c>
      <c r="C37" s="464">
        <v>0.54</v>
      </c>
      <c r="D37" s="204"/>
      <c r="F37" s="219"/>
      <c r="G37" s="214"/>
      <c r="H37" s="473"/>
      <c r="I37" s="220"/>
    </row>
    <row r="38" spans="1:9" x14ac:dyDescent="0.4">
      <c r="A38" s="199" t="s">
        <v>2696</v>
      </c>
      <c r="B38" s="200" t="s">
        <v>538</v>
      </c>
      <c r="C38" s="200" t="s">
        <v>2697</v>
      </c>
      <c r="D38" s="201"/>
      <c r="F38" s="219"/>
      <c r="G38" s="214"/>
      <c r="H38" s="473"/>
      <c r="I38" s="220"/>
    </row>
    <row r="39" spans="1:9" x14ac:dyDescent="0.4">
      <c r="A39" s="202" t="s">
        <v>2782</v>
      </c>
      <c r="B39" s="203" t="s">
        <v>2783</v>
      </c>
      <c r="C39" s="203" t="s">
        <v>2784</v>
      </c>
      <c r="D39" s="204"/>
      <c r="F39" s="219"/>
      <c r="G39" s="214"/>
      <c r="H39" s="473"/>
      <c r="I39" s="220"/>
    </row>
    <row r="40" spans="1:9" x14ac:dyDescent="0.4">
      <c r="A40" s="199" t="s">
        <v>2785</v>
      </c>
      <c r="B40" s="200" t="s">
        <v>2783</v>
      </c>
      <c r="C40" s="200" t="s">
        <v>2784</v>
      </c>
      <c r="D40" s="201"/>
      <c r="F40" s="219"/>
      <c r="G40" s="214"/>
      <c r="H40" s="473"/>
      <c r="I40" s="220"/>
    </row>
    <row r="41" spans="1:9" ht="14.25" thickBot="1" x14ac:dyDescent="0.45">
      <c r="A41" s="202"/>
      <c r="B41" s="203"/>
      <c r="C41" s="203"/>
      <c r="D41" s="204"/>
      <c r="F41" s="221"/>
      <c r="G41" s="222"/>
      <c r="H41" s="474"/>
      <c r="I41" s="223"/>
    </row>
    <row r="42" spans="1:9" ht="19.5" thickBot="1" x14ac:dyDescent="0.45">
      <c r="A42" s="205"/>
      <c r="B42" s="206"/>
      <c r="C42" s="206"/>
      <c r="D42" s="207"/>
      <c r="F42" s="230" t="s">
        <v>2601</v>
      </c>
      <c r="G42" s="239"/>
      <c r="H42" s="475"/>
      <c r="I42" s="240"/>
    </row>
    <row r="43" spans="1:9" ht="18.75" x14ac:dyDescent="0.4">
      <c r="A43" s="230" t="s">
        <v>607</v>
      </c>
      <c r="B43" s="237"/>
      <c r="C43" s="237"/>
      <c r="D43" s="238"/>
      <c r="F43" s="219" t="s">
        <v>2602</v>
      </c>
      <c r="G43" s="214" t="s">
        <v>538</v>
      </c>
      <c r="H43" s="473" t="s">
        <v>2577</v>
      </c>
      <c r="I43" s="220"/>
    </row>
    <row r="44" spans="1:9" x14ac:dyDescent="0.4">
      <c r="A44" s="199" t="s">
        <v>497</v>
      </c>
      <c r="B44" s="200" t="s">
        <v>498</v>
      </c>
      <c r="C44" s="200" t="s">
        <v>499</v>
      </c>
      <c r="D44" s="201" t="s">
        <v>500</v>
      </c>
      <c r="F44" s="219" t="s">
        <v>2603</v>
      </c>
      <c r="G44" s="214" t="s">
        <v>538</v>
      </c>
      <c r="H44" s="473" t="s">
        <v>2642</v>
      </c>
      <c r="I44" s="220"/>
    </row>
    <row r="45" spans="1:9" x14ac:dyDescent="0.4">
      <c r="A45" s="202" t="s">
        <v>539</v>
      </c>
      <c r="B45" s="203" t="s">
        <v>502</v>
      </c>
      <c r="C45" s="203" t="s">
        <v>540</v>
      </c>
      <c r="D45" s="204"/>
      <c r="F45" s="219" t="s">
        <v>2604</v>
      </c>
      <c r="G45" s="214" t="s">
        <v>538</v>
      </c>
      <c r="H45" s="473" t="s">
        <v>2643</v>
      </c>
      <c r="I45" s="220"/>
    </row>
    <row r="46" spans="1:9" x14ac:dyDescent="0.4">
      <c r="A46" s="199" t="s">
        <v>541</v>
      </c>
      <c r="B46" s="200" t="s">
        <v>502</v>
      </c>
      <c r="C46" s="200" t="s">
        <v>514</v>
      </c>
      <c r="D46" s="201"/>
      <c r="F46" s="219" t="s">
        <v>2611</v>
      </c>
      <c r="G46" s="214" t="s">
        <v>538</v>
      </c>
      <c r="H46" s="473" t="s">
        <v>2644</v>
      </c>
      <c r="I46" s="220"/>
    </row>
    <row r="47" spans="1:9" x14ac:dyDescent="0.4">
      <c r="A47" s="202" t="s">
        <v>542</v>
      </c>
      <c r="B47" s="203" t="s">
        <v>502</v>
      </c>
      <c r="C47" s="203" t="s">
        <v>543</v>
      </c>
      <c r="D47" s="204"/>
      <c r="F47" s="219" t="s">
        <v>2605</v>
      </c>
      <c r="G47" s="214" t="s">
        <v>538</v>
      </c>
      <c r="H47" s="473" t="s">
        <v>2645</v>
      </c>
      <c r="I47" s="220"/>
    </row>
    <row r="48" spans="1:9" x14ac:dyDescent="0.4">
      <c r="A48" s="199" t="s">
        <v>544</v>
      </c>
      <c r="B48" s="200" t="s">
        <v>502</v>
      </c>
      <c r="C48" s="200" t="s">
        <v>545</v>
      </c>
      <c r="D48" s="201"/>
      <c r="F48" s="219" t="s">
        <v>2607</v>
      </c>
      <c r="G48" s="214" t="s">
        <v>2606</v>
      </c>
      <c r="H48" s="473" t="s">
        <v>2626</v>
      </c>
      <c r="I48" s="220"/>
    </row>
    <row r="49" spans="1:9" x14ac:dyDescent="0.4">
      <c r="A49" s="202" t="s">
        <v>546</v>
      </c>
      <c r="B49" s="203" t="s">
        <v>502</v>
      </c>
      <c r="C49" s="203" t="s">
        <v>547</v>
      </c>
      <c r="D49" s="204"/>
      <c r="F49" s="219" t="s">
        <v>2608</v>
      </c>
      <c r="G49" s="214" t="s">
        <v>2606</v>
      </c>
      <c r="H49" s="473" t="s">
        <v>2627</v>
      </c>
      <c r="I49" s="220"/>
    </row>
    <row r="50" spans="1:9" x14ac:dyDescent="0.4">
      <c r="A50" s="199" t="s">
        <v>548</v>
      </c>
      <c r="B50" s="200" t="s">
        <v>502</v>
      </c>
      <c r="C50" s="200" t="s">
        <v>549</v>
      </c>
      <c r="D50" s="201"/>
      <c r="F50" s="219" t="s">
        <v>2609</v>
      </c>
      <c r="G50" s="214" t="s">
        <v>2606</v>
      </c>
      <c r="H50" s="473" t="s">
        <v>2628</v>
      </c>
      <c r="I50" s="220"/>
    </row>
    <row r="51" spans="1:9" x14ac:dyDescent="0.4">
      <c r="A51" s="202" t="s">
        <v>550</v>
      </c>
      <c r="B51" s="203" t="s">
        <v>502</v>
      </c>
      <c r="C51" s="203" t="s">
        <v>551</v>
      </c>
      <c r="D51" s="204"/>
      <c r="F51" s="219" t="s">
        <v>2610</v>
      </c>
      <c r="G51" s="214" t="s">
        <v>2606</v>
      </c>
      <c r="H51" s="473" t="s">
        <v>2629</v>
      </c>
      <c r="I51" s="220"/>
    </row>
    <row r="52" spans="1:9" x14ac:dyDescent="0.4">
      <c r="A52" s="199" t="s">
        <v>552</v>
      </c>
      <c r="B52" s="200" t="s">
        <v>502</v>
      </c>
      <c r="C52" s="200" t="s">
        <v>553</v>
      </c>
      <c r="D52" s="201"/>
      <c r="F52" s="219" t="s">
        <v>2612</v>
      </c>
      <c r="G52" s="214" t="s">
        <v>2606</v>
      </c>
      <c r="H52" s="473" t="s">
        <v>2630</v>
      </c>
      <c r="I52" s="220"/>
    </row>
    <row r="53" spans="1:9" x14ac:dyDescent="0.4">
      <c r="A53" s="202" t="s">
        <v>554</v>
      </c>
      <c r="B53" s="203" t="s">
        <v>502</v>
      </c>
      <c r="C53" s="203" t="s">
        <v>555</v>
      </c>
      <c r="D53" s="204"/>
      <c r="F53" s="219" t="s">
        <v>2613</v>
      </c>
      <c r="G53" s="214" t="s">
        <v>2606</v>
      </c>
      <c r="H53" s="473" t="s">
        <v>2631</v>
      </c>
      <c r="I53" s="220"/>
    </row>
    <row r="54" spans="1:9" x14ac:dyDescent="0.4">
      <c r="A54" s="199" t="s">
        <v>556</v>
      </c>
      <c r="B54" s="200" t="s">
        <v>502</v>
      </c>
      <c r="C54" s="200" t="s">
        <v>557</v>
      </c>
      <c r="D54" s="201"/>
      <c r="F54" s="219" t="s">
        <v>2614</v>
      </c>
      <c r="G54" s="214" t="s">
        <v>2606</v>
      </c>
      <c r="H54" s="473" t="s">
        <v>2632</v>
      </c>
      <c r="I54" s="220"/>
    </row>
    <row r="55" spans="1:9" x14ac:dyDescent="0.4">
      <c r="A55" s="202" t="s">
        <v>558</v>
      </c>
      <c r="B55" s="203" t="s">
        <v>502</v>
      </c>
      <c r="C55" s="203" t="s">
        <v>559</v>
      </c>
      <c r="D55" s="204"/>
      <c r="F55" s="219" t="s">
        <v>2615</v>
      </c>
      <c r="G55" s="214" t="s">
        <v>2606</v>
      </c>
      <c r="H55" s="473" t="s">
        <v>2633</v>
      </c>
      <c r="I55" s="220"/>
    </row>
    <row r="56" spans="1:9" x14ac:dyDescent="0.4">
      <c r="A56" s="199" t="s">
        <v>560</v>
      </c>
      <c r="B56" s="200" t="s">
        <v>502</v>
      </c>
      <c r="C56" s="200" t="s">
        <v>561</v>
      </c>
      <c r="D56" s="201"/>
      <c r="F56" s="219" t="s">
        <v>2616</v>
      </c>
      <c r="G56" s="214" t="s">
        <v>2234</v>
      </c>
      <c r="H56" s="473" t="s">
        <v>2634</v>
      </c>
      <c r="I56" s="220"/>
    </row>
    <row r="57" spans="1:9" x14ac:dyDescent="0.4">
      <c r="A57" s="202" t="s">
        <v>562</v>
      </c>
      <c r="B57" s="203" t="s">
        <v>516</v>
      </c>
      <c r="C57" s="203" t="s">
        <v>563</v>
      </c>
      <c r="D57" s="204"/>
      <c r="F57" s="219" t="s">
        <v>2617</v>
      </c>
      <c r="G57" s="214" t="s">
        <v>2234</v>
      </c>
      <c r="H57" s="473" t="s">
        <v>2635</v>
      </c>
      <c r="I57" s="220"/>
    </row>
    <row r="58" spans="1:9" x14ac:dyDescent="0.4">
      <c r="A58" s="199" t="s">
        <v>564</v>
      </c>
      <c r="B58" s="200" t="s">
        <v>519</v>
      </c>
      <c r="C58" s="200" t="s">
        <v>563</v>
      </c>
      <c r="D58" s="201"/>
      <c r="F58" s="219" t="s">
        <v>2618</v>
      </c>
      <c r="G58" s="214" t="s">
        <v>2234</v>
      </c>
      <c r="H58" s="473" t="s">
        <v>2636</v>
      </c>
      <c r="I58" s="220"/>
    </row>
    <row r="59" spans="1:9" x14ac:dyDescent="0.4">
      <c r="A59" s="202" t="s">
        <v>565</v>
      </c>
      <c r="B59" s="203" t="s">
        <v>502</v>
      </c>
      <c r="C59" s="203" t="s">
        <v>566</v>
      </c>
      <c r="D59" s="204"/>
      <c r="F59" s="219" t="s">
        <v>2619</v>
      </c>
      <c r="G59" s="214" t="s">
        <v>2234</v>
      </c>
      <c r="H59" s="473" t="s">
        <v>2637</v>
      </c>
      <c r="I59" s="220"/>
    </row>
    <row r="60" spans="1:9" x14ac:dyDescent="0.4">
      <c r="A60" s="199" t="s">
        <v>567</v>
      </c>
      <c r="B60" s="200" t="s">
        <v>502</v>
      </c>
      <c r="C60" s="200" t="s">
        <v>568</v>
      </c>
      <c r="D60" s="201"/>
      <c r="F60" s="219" t="s">
        <v>2620</v>
      </c>
      <c r="G60" s="214" t="s">
        <v>2234</v>
      </c>
      <c r="H60" s="473" t="s">
        <v>2638</v>
      </c>
      <c r="I60" s="220"/>
    </row>
    <row r="61" spans="1:9" x14ac:dyDescent="0.4">
      <c r="A61" s="202" t="s">
        <v>569</v>
      </c>
      <c r="B61" s="203" t="s">
        <v>502</v>
      </c>
      <c r="C61" s="203" t="s">
        <v>570</v>
      </c>
      <c r="D61" s="204"/>
      <c r="F61" s="219" t="s">
        <v>2621</v>
      </c>
      <c r="G61" s="214" t="s">
        <v>2234</v>
      </c>
      <c r="H61" s="473" t="s">
        <v>2639</v>
      </c>
      <c r="I61" s="220"/>
    </row>
    <row r="62" spans="1:9" x14ac:dyDescent="0.4">
      <c r="A62" s="199" t="s">
        <v>571</v>
      </c>
      <c r="B62" s="200" t="s">
        <v>572</v>
      </c>
      <c r="C62" s="200" t="s">
        <v>557</v>
      </c>
      <c r="D62" s="201"/>
      <c r="F62" s="219" t="s">
        <v>2622</v>
      </c>
      <c r="G62" s="214" t="s">
        <v>2623</v>
      </c>
      <c r="H62" s="473" t="s">
        <v>2640</v>
      </c>
      <c r="I62" s="220"/>
    </row>
    <row r="63" spans="1:9" x14ac:dyDescent="0.4">
      <c r="A63" s="202" t="s">
        <v>573</v>
      </c>
      <c r="B63" s="203" t="s">
        <v>572</v>
      </c>
      <c r="C63" s="203" t="s">
        <v>574</v>
      </c>
      <c r="D63" s="204"/>
      <c r="F63" s="219" t="s">
        <v>2624</v>
      </c>
      <c r="G63" s="214" t="s">
        <v>2623</v>
      </c>
      <c r="H63" s="473" t="s">
        <v>2641</v>
      </c>
      <c r="I63" s="220"/>
    </row>
    <row r="64" spans="1:9" x14ac:dyDescent="0.4">
      <c r="A64" s="199" t="s">
        <v>575</v>
      </c>
      <c r="B64" s="200" t="s">
        <v>572</v>
      </c>
      <c r="C64" s="200" t="s">
        <v>576</v>
      </c>
      <c r="D64" s="201"/>
      <c r="F64" s="219"/>
      <c r="G64" s="214"/>
      <c r="H64" s="473"/>
      <c r="I64" s="220"/>
    </row>
    <row r="65" spans="1:9" x14ac:dyDescent="0.4">
      <c r="A65" s="202" t="s">
        <v>577</v>
      </c>
      <c r="B65" s="203" t="s">
        <v>572</v>
      </c>
      <c r="C65" s="203" t="s">
        <v>578</v>
      </c>
      <c r="D65" s="204"/>
      <c r="F65" s="219"/>
      <c r="G65" s="214"/>
      <c r="H65" s="473"/>
      <c r="I65" s="220"/>
    </row>
    <row r="66" spans="1:9" x14ac:dyDescent="0.4">
      <c r="A66" s="199" t="s">
        <v>579</v>
      </c>
      <c r="B66" s="200" t="s">
        <v>572</v>
      </c>
      <c r="C66" s="200" t="s">
        <v>580</v>
      </c>
      <c r="D66" s="201"/>
      <c r="F66" s="219"/>
      <c r="G66" s="214"/>
      <c r="H66" s="473"/>
      <c r="I66" s="220"/>
    </row>
    <row r="67" spans="1:9" x14ac:dyDescent="0.4">
      <c r="A67" s="202" t="s">
        <v>581</v>
      </c>
      <c r="B67" s="203" t="s">
        <v>572</v>
      </c>
      <c r="C67" s="203" t="s">
        <v>582</v>
      </c>
      <c r="D67" s="204"/>
      <c r="F67" s="219"/>
      <c r="G67" s="214"/>
      <c r="H67" s="473"/>
      <c r="I67" s="220"/>
    </row>
    <row r="68" spans="1:9" x14ac:dyDescent="0.4">
      <c r="A68" s="199" t="s">
        <v>583</v>
      </c>
      <c r="B68" s="200" t="s">
        <v>572</v>
      </c>
      <c r="C68" s="200" t="s">
        <v>584</v>
      </c>
      <c r="D68" s="201"/>
      <c r="F68" s="219"/>
      <c r="G68" s="214"/>
      <c r="H68" s="473"/>
      <c r="I68" s="220"/>
    </row>
    <row r="69" spans="1:9" x14ac:dyDescent="0.4">
      <c r="A69" s="202" t="s">
        <v>585</v>
      </c>
      <c r="B69" s="203" t="s">
        <v>572</v>
      </c>
      <c r="C69" s="203" t="s">
        <v>586</v>
      </c>
      <c r="D69" s="204"/>
      <c r="F69" s="219"/>
      <c r="G69" s="214"/>
      <c r="H69" s="473"/>
      <c r="I69" s="220"/>
    </row>
    <row r="70" spans="1:9" x14ac:dyDescent="0.4">
      <c r="A70" s="199" t="s">
        <v>587</v>
      </c>
      <c r="B70" s="200" t="s">
        <v>507</v>
      </c>
      <c r="C70" s="200" t="s">
        <v>588</v>
      </c>
      <c r="D70" s="201"/>
      <c r="F70" s="219"/>
      <c r="G70" s="214"/>
      <c r="H70" s="473"/>
      <c r="I70" s="220"/>
    </row>
    <row r="71" spans="1:9" x14ac:dyDescent="0.4">
      <c r="A71" s="202" t="s">
        <v>589</v>
      </c>
      <c r="B71" s="203" t="s">
        <v>507</v>
      </c>
      <c r="C71" s="203" t="s">
        <v>521</v>
      </c>
      <c r="D71" s="204"/>
      <c r="F71" s="219"/>
      <c r="G71" s="214"/>
      <c r="H71" s="473"/>
      <c r="I71" s="220"/>
    </row>
    <row r="72" spans="1:9" x14ac:dyDescent="0.4">
      <c r="A72" s="199" t="s">
        <v>590</v>
      </c>
      <c r="B72" s="200" t="s">
        <v>507</v>
      </c>
      <c r="C72" s="200" t="s">
        <v>591</v>
      </c>
      <c r="D72" s="201"/>
      <c r="F72" s="219"/>
      <c r="G72" s="214"/>
      <c r="H72" s="473"/>
      <c r="I72" s="220"/>
    </row>
    <row r="73" spans="1:9" x14ac:dyDescent="0.4">
      <c r="A73" s="202" t="s">
        <v>592</v>
      </c>
      <c r="B73" s="203" t="s">
        <v>507</v>
      </c>
      <c r="C73" s="203" t="s">
        <v>593</v>
      </c>
      <c r="D73" s="204"/>
      <c r="F73" s="219"/>
      <c r="G73" s="214"/>
      <c r="H73" s="473"/>
      <c r="I73" s="220"/>
    </row>
    <row r="74" spans="1:9" x14ac:dyDescent="0.4">
      <c r="A74" s="199" t="s">
        <v>594</v>
      </c>
      <c r="B74" s="200" t="s">
        <v>507</v>
      </c>
      <c r="C74" s="200" t="s">
        <v>595</v>
      </c>
      <c r="D74" s="201"/>
      <c r="F74" s="219"/>
      <c r="G74" s="214"/>
      <c r="H74" s="473"/>
      <c r="I74" s="220"/>
    </row>
    <row r="75" spans="1:9" x14ac:dyDescent="0.4">
      <c r="A75" s="202" t="s">
        <v>596</v>
      </c>
      <c r="B75" s="203" t="s">
        <v>507</v>
      </c>
      <c r="C75" s="203" t="s">
        <v>595</v>
      </c>
      <c r="D75" s="204"/>
      <c r="F75" s="219"/>
      <c r="G75" s="214"/>
      <c r="H75" s="473"/>
      <c r="I75" s="220"/>
    </row>
    <row r="76" spans="1:9" x14ac:dyDescent="0.4">
      <c r="A76" s="199" t="s">
        <v>597</v>
      </c>
      <c r="B76" s="200" t="s">
        <v>507</v>
      </c>
      <c r="C76" s="200" t="s">
        <v>598</v>
      </c>
      <c r="D76" s="201"/>
      <c r="F76" s="219"/>
      <c r="G76" s="214"/>
      <c r="H76" s="473"/>
      <c r="I76" s="220"/>
    </row>
    <row r="77" spans="1:9" x14ac:dyDescent="0.4">
      <c r="A77" s="202" t="s">
        <v>599</v>
      </c>
      <c r="B77" s="203" t="s">
        <v>519</v>
      </c>
      <c r="C77" s="203" t="s">
        <v>531</v>
      </c>
      <c r="D77" s="204" t="s">
        <v>600</v>
      </c>
      <c r="F77" s="219"/>
      <c r="G77" s="214"/>
      <c r="H77" s="473"/>
      <c r="I77" s="220"/>
    </row>
    <row r="78" spans="1:9" x14ac:dyDescent="0.4">
      <c r="A78" s="199" t="s">
        <v>601</v>
      </c>
      <c r="B78" s="200" t="s">
        <v>519</v>
      </c>
      <c r="C78" s="200" t="s">
        <v>602</v>
      </c>
      <c r="D78" s="201" t="s">
        <v>600</v>
      </c>
      <c r="F78" s="219"/>
      <c r="G78" s="214"/>
      <c r="H78" s="473"/>
      <c r="I78" s="220"/>
    </row>
    <row r="79" spans="1:9" ht="14.25" thickBot="1" x14ac:dyDescent="0.45">
      <c r="A79" s="202" t="s">
        <v>603</v>
      </c>
      <c r="B79" s="203" t="s">
        <v>519</v>
      </c>
      <c r="C79" s="203" t="s">
        <v>604</v>
      </c>
      <c r="D79" s="204" t="s">
        <v>600</v>
      </c>
      <c r="F79" s="221"/>
      <c r="G79" s="222"/>
      <c r="H79" s="474"/>
      <c r="I79" s="223"/>
    </row>
    <row r="80" spans="1:9" x14ac:dyDescent="0.4">
      <c r="A80" s="199" t="s">
        <v>605</v>
      </c>
      <c r="B80" s="200" t="s">
        <v>519</v>
      </c>
      <c r="C80" s="200" t="s">
        <v>606</v>
      </c>
      <c r="D80" s="201" t="s">
        <v>600</v>
      </c>
    </row>
    <row r="81" spans="1:10" x14ac:dyDescent="0.4">
      <c r="A81" s="202" t="s">
        <v>2233</v>
      </c>
      <c r="B81" s="203" t="s">
        <v>2234</v>
      </c>
      <c r="C81" s="203">
        <v>1800</v>
      </c>
      <c r="D81" s="204"/>
    </row>
    <row r="82" spans="1:10" x14ac:dyDescent="0.4">
      <c r="A82" s="199" t="s">
        <v>2235</v>
      </c>
      <c r="B82" s="200" t="s">
        <v>538</v>
      </c>
      <c r="C82" s="200">
        <v>5800</v>
      </c>
      <c r="D82" s="201"/>
    </row>
    <row r="83" spans="1:10" x14ac:dyDescent="0.4">
      <c r="A83" s="202"/>
      <c r="B83" s="203"/>
      <c r="C83" s="203"/>
      <c r="D83" s="204"/>
    </row>
    <row r="84" spans="1:10" ht="14.25" thickBot="1" x14ac:dyDescent="0.45">
      <c r="A84" s="208"/>
      <c r="B84" s="209"/>
      <c r="C84" s="209"/>
      <c r="D84" s="210"/>
      <c r="G84" s="189" t="s">
        <v>11</v>
      </c>
    </row>
    <row r="85" spans="1:10" ht="18.75" x14ac:dyDescent="0.4">
      <c r="A85" s="230" t="s">
        <v>621</v>
      </c>
      <c r="B85" s="237"/>
      <c r="C85" s="237"/>
      <c r="D85" s="238"/>
      <c r="G85" s="213" t="s">
        <v>11</v>
      </c>
      <c r="H85" s="476"/>
      <c r="I85" s="213"/>
      <c r="J85" s="213"/>
    </row>
    <row r="86" spans="1:10" x14ac:dyDescent="0.4">
      <c r="A86" s="199" t="s">
        <v>497</v>
      </c>
      <c r="B86" s="200" t="s">
        <v>498</v>
      </c>
      <c r="C86" s="200" t="s">
        <v>499</v>
      </c>
      <c r="D86" s="201" t="s">
        <v>500</v>
      </c>
      <c r="G86" s="213" t="s">
        <v>11</v>
      </c>
      <c r="H86" s="476"/>
      <c r="I86" s="213"/>
      <c r="J86" s="213"/>
    </row>
    <row r="87" spans="1:10" x14ac:dyDescent="0.4">
      <c r="A87" s="202" t="s">
        <v>622</v>
      </c>
      <c r="B87" s="203" t="s">
        <v>502</v>
      </c>
      <c r="C87" s="203" t="s">
        <v>2587</v>
      </c>
      <c r="D87" s="204"/>
      <c r="G87" s="213" t="s">
        <v>11</v>
      </c>
      <c r="H87" s="476"/>
      <c r="I87" s="213"/>
      <c r="J87" s="213"/>
    </row>
    <row r="88" spans="1:10" x14ac:dyDescent="0.4">
      <c r="A88" s="199" t="s">
        <v>608</v>
      </c>
      <c r="B88" s="200" t="s">
        <v>519</v>
      </c>
      <c r="C88" s="200" t="s">
        <v>2588</v>
      </c>
      <c r="D88" s="201"/>
      <c r="G88" s="213" t="s">
        <v>11</v>
      </c>
      <c r="H88" s="476"/>
      <c r="I88" s="213"/>
      <c r="J88" s="213"/>
    </row>
    <row r="89" spans="1:10" x14ac:dyDescent="0.4">
      <c r="A89" s="202" t="s">
        <v>609</v>
      </c>
      <c r="B89" s="203" t="s">
        <v>502</v>
      </c>
      <c r="C89" s="203" t="s">
        <v>2589</v>
      </c>
      <c r="D89" s="204"/>
      <c r="G89" s="213" t="s">
        <v>11</v>
      </c>
      <c r="H89" s="476"/>
      <c r="I89" s="213"/>
      <c r="J89" s="213"/>
    </row>
    <row r="90" spans="1:10" x14ac:dyDescent="0.4">
      <c r="A90" s="211" t="s">
        <v>611</v>
      </c>
      <c r="B90" s="200" t="s">
        <v>502</v>
      </c>
      <c r="C90" s="212" t="s">
        <v>2590</v>
      </c>
      <c r="D90" s="201"/>
      <c r="G90" s="213" t="s">
        <v>11</v>
      </c>
      <c r="H90" s="476"/>
      <c r="I90" s="213"/>
      <c r="J90" s="213"/>
    </row>
    <row r="91" spans="1:10" x14ac:dyDescent="0.4">
      <c r="A91" s="202" t="s">
        <v>623</v>
      </c>
      <c r="B91" s="203" t="s">
        <v>502</v>
      </c>
      <c r="C91" s="203" t="s">
        <v>2591</v>
      </c>
      <c r="D91" s="204"/>
      <c r="G91" s="213" t="s">
        <v>11</v>
      </c>
      <c r="H91" s="476"/>
      <c r="I91" s="213"/>
      <c r="J91" s="213"/>
    </row>
    <row r="92" spans="1:10" x14ac:dyDescent="0.4">
      <c r="A92" s="199" t="s">
        <v>612</v>
      </c>
      <c r="B92" s="200" t="s">
        <v>610</v>
      </c>
      <c r="C92" s="200" t="s">
        <v>2592</v>
      </c>
      <c r="D92" s="201"/>
      <c r="G92" s="213" t="s">
        <v>11</v>
      </c>
      <c r="H92" s="476"/>
      <c r="I92" s="213"/>
      <c r="J92" s="213"/>
    </row>
    <row r="93" spans="1:10" x14ac:dyDescent="0.4">
      <c r="A93" s="202" t="s">
        <v>613</v>
      </c>
      <c r="B93" s="203" t="s">
        <v>610</v>
      </c>
      <c r="C93" s="203" t="s">
        <v>2593</v>
      </c>
      <c r="D93" s="204"/>
      <c r="G93" s="213" t="s">
        <v>11</v>
      </c>
      <c r="H93" s="476"/>
      <c r="I93" s="213"/>
      <c r="J93" s="213"/>
    </row>
    <row r="94" spans="1:10" x14ac:dyDescent="0.4">
      <c r="A94" s="199" t="s">
        <v>614</v>
      </c>
      <c r="B94" s="200" t="s">
        <v>610</v>
      </c>
      <c r="C94" s="200" t="s">
        <v>2594</v>
      </c>
      <c r="D94" s="201"/>
      <c r="G94" s="189" t="s">
        <v>693</v>
      </c>
    </row>
    <row r="95" spans="1:10" x14ac:dyDescent="0.4">
      <c r="A95" s="202" t="s">
        <v>615</v>
      </c>
      <c r="B95" s="203" t="s">
        <v>610</v>
      </c>
      <c r="C95" s="203" t="s">
        <v>2595</v>
      </c>
      <c r="D95" s="204"/>
      <c r="G95" s="189" t="s">
        <v>696</v>
      </c>
    </row>
    <row r="96" spans="1:10" x14ac:dyDescent="0.4">
      <c r="A96" s="199" t="s">
        <v>616</v>
      </c>
      <c r="B96" s="200" t="s">
        <v>610</v>
      </c>
      <c r="C96" s="200" t="s">
        <v>2596</v>
      </c>
      <c r="D96" s="201"/>
      <c r="G96" s="189" t="s">
        <v>697</v>
      </c>
    </row>
    <row r="97" spans="1:7" x14ac:dyDescent="0.4">
      <c r="A97" s="202" t="s">
        <v>617</v>
      </c>
      <c r="B97" s="203" t="s">
        <v>529</v>
      </c>
      <c r="C97" s="203" t="s">
        <v>2597</v>
      </c>
      <c r="D97" s="204"/>
      <c r="G97" s="189" t="s">
        <v>698</v>
      </c>
    </row>
    <row r="98" spans="1:7" x14ac:dyDescent="0.4">
      <c r="A98" s="199" t="s">
        <v>618</v>
      </c>
      <c r="B98" s="200" t="s">
        <v>529</v>
      </c>
      <c r="C98" s="200" t="s">
        <v>2598</v>
      </c>
      <c r="D98" s="201"/>
      <c r="G98" s="189" t="s">
        <v>699</v>
      </c>
    </row>
    <row r="99" spans="1:7" x14ac:dyDescent="0.4">
      <c r="A99" s="202"/>
      <c r="B99" s="203"/>
      <c r="C99" s="203"/>
      <c r="D99" s="204"/>
      <c r="G99" s="189" t="s">
        <v>700</v>
      </c>
    </row>
    <row r="100" spans="1:7" x14ac:dyDescent="0.4">
      <c r="A100" s="199" t="s">
        <v>619</v>
      </c>
      <c r="B100" s="200" t="s">
        <v>610</v>
      </c>
      <c r="C100" s="200" t="s">
        <v>2599</v>
      </c>
      <c r="D100" s="201"/>
      <c r="G100" s="189" t="s">
        <v>701</v>
      </c>
    </row>
    <row r="101" spans="1:7" x14ac:dyDescent="0.4">
      <c r="A101" s="202" t="s">
        <v>620</v>
      </c>
      <c r="B101" s="203" t="s">
        <v>610</v>
      </c>
      <c r="C101" s="203" t="s">
        <v>2600</v>
      </c>
      <c r="D101" s="204"/>
      <c r="G101" s="189" t="s">
        <v>703</v>
      </c>
    </row>
    <row r="102" spans="1:7" x14ac:dyDescent="0.4">
      <c r="A102" s="199"/>
      <c r="B102" s="200"/>
      <c r="C102" s="200"/>
      <c r="D102" s="201"/>
      <c r="G102" s="189" t="s">
        <v>704</v>
      </c>
    </row>
    <row r="103" spans="1:7" x14ac:dyDescent="0.4">
      <c r="A103" s="202"/>
      <c r="B103" s="203"/>
      <c r="C103" s="203"/>
      <c r="D103" s="204"/>
      <c r="G103" s="189" t="s">
        <v>705</v>
      </c>
    </row>
    <row r="104" spans="1:7" ht="14.25" thickBot="1" x14ac:dyDescent="0.45">
      <c r="A104" s="208"/>
      <c r="B104" s="209"/>
      <c r="C104" s="209"/>
      <c r="D104" s="210"/>
    </row>
    <row r="105" spans="1:7" ht="18.75" x14ac:dyDescent="0.4">
      <c r="A105" s="230" t="s">
        <v>381</v>
      </c>
      <c r="B105" s="237"/>
      <c r="C105" s="237"/>
      <c r="D105" s="238"/>
    </row>
    <row r="106" spans="1:7" x14ac:dyDescent="0.4">
      <c r="A106" s="199" t="s">
        <v>708</v>
      </c>
      <c r="B106" s="200" t="s">
        <v>710</v>
      </c>
      <c r="C106" s="200" t="s">
        <v>711</v>
      </c>
      <c r="D106" s="201"/>
    </row>
    <row r="107" spans="1:7" x14ac:dyDescent="0.4">
      <c r="A107" s="202" t="s">
        <v>712</v>
      </c>
      <c r="B107" s="203" t="s">
        <v>710</v>
      </c>
      <c r="C107" s="203">
        <v>650</v>
      </c>
      <c r="D107" s="204"/>
    </row>
    <row r="108" spans="1:7" x14ac:dyDescent="0.4">
      <c r="A108" s="199" t="s">
        <v>713</v>
      </c>
      <c r="B108" s="200" t="s">
        <v>710</v>
      </c>
      <c r="C108" s="200" t="s">
        <v>714</v>
      </c>
      <c r="D108" s="201"/>
    </row>
    <row r="109" spans="1:7" x14ac:dyDescent="0.4">
      <c r="A109" s="202"/>
      <c r="B109" s="203"/>
      <c r="C109" s="203"/>
      <c r="D109" s="204"/>
    </row>
    <row r="110" spans="1:7" x14ac:dyDescent="0.4">
      <c r="A110" s="199"/>
      <c r="B110" s="200"/>
      <c r="C110" s="200"/>
      <c r="D110" s="201"/>
    </row>
    <row r="111" spans="1:7" x14ac:dyDescent="0.4">
      <c r="A111" s="202"/>
      <c r="B111" s="203"/>
      <c r="C111" s="203"/>
      <c r="D111" s="204"/>
    </row>
    <row r="112" spans="1:7" x14ac:dyDescent="0.4">
      <c r="A112" s="199"/>
      <c r="B112" s="200"/>
      <c r="C112" s="200"/>
      <c r="D112" s="201"/>
    </row>
    <row r="113" spans="1:4" x14ac:dyDescent="0.4">
      <c r="A113" s="202"/>
      <c r="B113" s="203"/>
      <c r="C113" s="203"/>
      <c r="D113" s="204"/>
    </row>
    <row r="114" spans="1:4" ht="18" customHeight="1" thickBot="1" x14ac:dyDescent="0.45">
      <c r="A114" s="208"/>
      <c r="B114" s="209"/>
      <c r="C114" s="209"/>
      <c r="D114" s="210"/>
    </row>
    <row r="115" spans="1:4" ht="13.7" customHeight="1" x14ac:dyDescent="0.4">
      <c r="A115" s="230" t="s">
        <v>387</v>
      </c>
      <c r="B115" s="237"/>
      <c r="C115" s="237"/>
      <c r="D115" s="238"/>
    </row>
    <row r="116" spans="1:4" ht="12.75" customHeight="1" x14ac:dyDescent="0.4">
      <c r="A116" s="199" t="s">
        <v>708</v>
      </c>
      <c r="B116" s="200" t="s">
        <v>709</v>
      </c>
      <c r="C116" s="200" t="s">
        <v>711</v>
      </c>
      <c r="D116" s="201"/>
    </row>
    <row r="117" spans="1:4" x14ac:dyDescent="0.4">
      <c r="A117" s="202" t="s">
        <v>712</v>
      </c>
      <c r="B117" s="203" t="s">
        <v>709</v>
      </c>
      <c r="C117" s="203" t="s">
        <v>2625</v>
      </c>
      <c r="D117" s="204"/>
    </row>
    <row r="118" spans="1:4" x14ac:dyDescent="0.4">
      <c r="A118" s="199" t="s">
        <v>713</v>
      </c>
      <c r="B118" s="200" t="s">
        <v>709</v>
      </c>
      <c r="C118" s="200" t="s">
        <v>714</v>
      </c>
      <c r="D118" s="201"/>
    </row>
    <row r="119" spans="1:4" x14ac:dyDescent="0.4">
      <c r="A119" s="199"/>
      <c r="B119" s="200"/>
      <c r="C119" s="200"/>
      <c r="D119" s="201"/>
    </row>
    <row r="120" spans="1:4" x14ac:dyDescent="0.4">
      <c r="A120" s="199" t="s">
        <v>2323</v>
      </c>
      <c r="B120" s="200"/>
      <c r="C120" s="200"/>
      <c r="D120" s="201"/>
    </row>
    <row r="121" spans="1:4" x14ac:dyDescent="0.4">
      <c r="A121" s="202" t="s">
        <v>2324</v>
      </c>
      <c r="B121" s="203"/>
      <c r="C121" s="203"/>
      <c r="D121" s="204"/>
    </row>
    <row r="122" spans="1:4" x14ac:dyDescent="0.4">
      <c r="A122" s="199"/>
      <c r="B122" s="200"/>
      <c r="C122" s="200"/>
      <c r="D122" s="201"/>
    </row>
    <row r="123" spans="1:4" x14ac:dyDescent="0.4">
      <c r="A123" s="202"/>
      <c r="B123" s="203"/>
      <c r="C123" s="203"/>
      <c r="D123" s="204"/>
    </row>
    <row r="124" spans="1:4" ht="14.25" thickBot="1" x14ac:dyDescent="0.45">
      <c r="A124" s="208"/>
      <c r="B124" s="209"/>
      <c r="C124" s="209"/>
      <c r="D124" s="210"/>
    </row>
    <row r="125" spans="1:4" ht="18.75" x14ac:dyDescent="0.4">
      <c r="A125" s="230" t="s">
        <v>386</v>
      </c>
      <c r="B125" s="239"/>
      <c r="C125" s="239"/>
      <c r="D125" s="240"/>
    </row>
    <row r="126" spans="1:4" x14ac:dyDescent="0.4">
      <c r="A126" s="199" t="s">
        <v>708</v>
      </c>
      <c r="B126" s="200" t="s">
        <v>709</v>
      </c>
      <c r="C126" s="200" t="s">
        <v>717</v>
      </c>
      <c r="D126" s="201"/>
    </row>
    <row r="127" spans="1:4" x14ac:dyDescent="0.4">
      <c r="A127" s="224" t="s">
        <v>712</v>
      </c>
      <c r="B127" s="225" t="s">
        <v>709</v>
      </c>
      <c r="C127" s="225" t="s">
        <v>2262</v>
      </c>
      <c r="D127" s="204"/>
    </row>
    <row r="128" spans="1:4" x14ac:dyDescent="0.4">
      <c r="A128" s="199" t="s">
        <v>713</v>
      </c>
      <c r="B128" s="200" t="s">
        <v>709</v>
      </c>
      <c r="C128" s="200" t="s">
        <v>714</v>
      </c>
      <c r="D128" s="201"/>
    </row>
    <row r="129" spans="1:4" x14ac:dyDescent="0.4">
      <c r="A129" s="202"/>
      <c r="B129" s="203"/>
      <c r="C129" s="203"/>
      <c r="D129" s="204"/>
    </row>
    <row r="130" spans="1:4" x14ac:dyDescent="0.4">
      <c r="A130" s="199"/>
      <c r="B130" s="200"/>
      <c r="C130" s="200"/>
      <c r="D130" s="201"/>
    </row>
    <row r="131" spans="1:4" x14ac:dyDescent="0.4">
      <c r="A131" s="202"/>
      <c r="B131" s="203"/>
      <c r="C131" s="203"/>
      <c r="D131" s="204"/>
    </row>
    <row r="132" spans="1:4" x14ac:dyDescent="0.4">
      <c r="A132" s="199"/>
      <c r="B132" s="200"/>
      <c r="C132" s="200"/>
      <c r="D132" s="201"/>
    </row>
    <row r="133" spans="1:4" x14ac:dyDescent="0.4">
      <c r="A133" s="202"/>
      <c r="B133" s="203"/>
      <c r="C133" s="203"/>
      <c r="D133" s="204"/>
    </row>
    <row r="134" spans="1:4" ht="14.25" thickBot="1" x14ac:dyDescent="0.45">
      <c r="A134" s="208"/>
      <c r="B134" s="209"/>
      <c r="C134" s="209"/>
      <c r="D134" s="210"/>
    </row>
    <row r="135" spans="1:4" ht="18.75" x14ac:dyDescent="0.4">
      <c r="A135" s="230" t="s">
        <v>2678</v>
      </c>
      <c r="B135" s="237"/>
      <c r="C135" s="237"/>
      <c r="D135" s="240"/>
    </row>
    <row r="136" spans="1:4" x14ac:dyDescent="0.4">
      <c r="A136" s="199" t="s">
        <v>708</v>
      </c>
      <c r="B136" s="200" t="s">
        <v>709</v>
      </c>
      <c r="C136" s="200" t="s">
        <v>717</v>
      </c>
      <c r="D136" s="201"/>
    </row>
    <row r="137" spans="1:4" x14ac:dyDescent="0.4">
      <c r="A137" s="202" t="s">
        <v>712</v>
      </c>
      <c r="B137" s="203" t="s">
        <v>709</v>
      </c>
      <c r="C137" s="203" t="s">
        <v>2262</v>
      </c>
      <c r="D137" s="204"/>
    </row>
    <row r="138" spans="1:4" x14ac:dyDescent="0.4">
      <c r="A138" s="199" t="s">
        <v>713</v>
      </c>
      <c r="B138" s="200" t="s">
        <v>709</v>
      </c>
      <c r="C138" s="200" t="s">
        <v>714</v>
      </c>
      <c r="D138" s="201"/>
    </row>
    <row r="139" spans="1:4" x14ac:dyDescent="0.4">
      <c r="A139" s="202"/>
      <c r="B139" s="203"/>
      <c r="C139" s="203"/>
      <c r="D139" s="204"/>
    </row>
    <row r="140" spans="1:4" x14ac:dyDescent="0.4">
      <c r="A140" s="202" t="s">
        <v>2676</v>
      </c>
      <c r="B140" s="200"/>
      <c r="C140" s="200"/>
      <c r="D140" s="201"/>
    </row>
    <row r="141" spans="1:4" x14ac:dyDescent="0.4">
      <c r="A141" s="202"/>
      <c r="B141" s="203"/>
      <c r="C141" s="203"/>
      <c r="D141" s="204"/>
    </row>
    <row r="142" spans="1:4" x14ac:dyDescent="0.4">
      <c r="A142" s="199"/>
      <c r="B142" s="200"/>
      <c r="C142" s="200"/>
      <c r="D142" s="201"/>
    </row>
    <row r="143" spans="1:4" x14ac:dyDescent="0.4">
      <c r="A143" s="202"/>
      <c r="B143" s="203"/>
      <c r="C143" s="203"/>
      <c r="D143" s="204"/>
    </row>
    <row r="144" spans="1:4" ht="14.25" thickBot="1" x14ac:dyDescent="0.45">
      <c r="A144" s="208"/>
      <c r="B144" s="209"/>
      <c r="C144" s="209"/>
      <c r="D144" s="210"/>
    </row>
    <row r="145" spans="1:4" ht="18.75" x14ac:dyDescent="0.4">
      <c r="A145" s="230" t="s">
        <v>707</v>
      </c>
      <c r="B145" s="237"/>
      <c r="C145" s="237"/>
      <c r="D145" s="240"/>
    </row>
    <row r="146" spans="1:4" x14ac:dyDescent="0.4">
      <c r="A146" s="199" t="s">
        <v>708</v>
      </c>
      <c r="B146" s="200" t="s">
        <v>709</v>
      </c>
      <c r="C146" s="200" t="s">
        <v>711</v>
      </c>
      <c r="D146" s="201"/>
    </row>
    <row r="147" spans="1:4" x14ac:dyDescent="0.4">
      <c r="A147" s="202" t="s">
        <v>712</v>
      </c>
      <c r="B147" s="203" t="s">
        <v>709</v>
      </c>
      <c r="C147" s="203" t="s">
        <v>2262</v>
      </c>
      <c r="D147" s="204"/>
    </row>
    <row r="148" spans="1:4" x14ac:dyDescent="0.4">
      <c r="A148" s="199" t="s">
        <v>713</v>
      </c>
      <c r="B148" s="200" t="s">
        <v>709</v>
      </c>
      <c r="C148" s="200" t="s">
        <v>714</v>
      </c>
      <c r="D148" s="201"/>
    </row>
    <row r="149" spans="1:4" x14ac:dyDescent="0.4">
      <c r="A149" s="202"/>
      <c r="B149" s="203"/>
      <c r="C149" s="203"/>
      <c r="D149" s="204"/>
    </row>
    <row r="150" spans="1:4" x14ac:dyDescent="0.4">
      <c r="A150" s="199"/>
      <c r="B150" s="200"/>
      <c r="C150" s="200"/>
      <c r="D150" s="201"/>
    </row>
    <row r="151" spans="1:4" x14ac:dyDescent="0.4">
      <c r="A151" s="202"/>
      <c r="B151" s="203"/>
      <c r="C151" s="203"/>
      <c r="D151" s="204"/>
    </row>
    <row r="152" spans="1:4" x14ac:dyDescent="0.4">
      <c r="A152" s="199"/>
      <c r="B152" s="200"/>
      <c r="C152" s="200"/>
      <c r="D152" s="201"/>
    </row>
    <row r="153" spans="1:4" x14ac:dyDescent="0.4">
      <c r="A153" s="202"/>
      <c r="B153" s="203"/>
      <c r="C153" s="203"/>
      <c r="D153" s="204"/>
    </row>
    <row r="154" spans="1:4" ht="14.25" thickBot="1" x14ac:dyDescent="0.45">
      <c r="A154" s="208"/>
      <c r="B154" s="209"/>
      <c r="C154" s="209"/>
      <c r="D154" s="210"/>
    </row>
    <row r="155" spans="1:4" ht="18.75" x14ac:dyDescent="0.4">
      <c r="A155" s="230" t="s">
        <v>731</v>
      </c>
      <c r="B155" s="239"/>
      <c r="C155" s="239"/>
      <c r="D155" s="240"/>
    </row>
    <row r="156" spans="1:4" x14ac:dyDescent="0.4">
      <c r="A156" s="199" t="s">
        <v>718</v>
      </c>
      <c r="B156" s="200" t="s">
        <v>719</v>
      </c>
      <c r="C156" s="200" t="s">
        <v>720</v>
      </c>
      <c r="D156" s="201" t="s">
        <v>721</v>
      </c>
    </row>
    <row r="157" spans="1:4" x14ac:dyDescent="0.4">
      <c r="A157" s="202" t="s">
        <v>722</v>
      </c>
      <c r="B157" s="203" t="s">
        <v>719</v>
      </c>
      <c r="C157" s="203" t="s">
        <v>723</v>
      </c>
      <c r="D157" s="204"/>
    </row>
    <row r="158" spans="1:4" x14ac:dyDescent="0.4">
      <c r="A158" s="199" t="s">
        <v>724</v>
      </c>
      <c r="B158" s="200" t="s">
        <v>719</v>
      </c>
      <c r="C158" s="200" t="s">
        <v>2464</v>
      </c>
      <c r="D158" s="201" t="s">
        <v>726</v>
      </c>
    </row>
    <row r="159" spans="1:4" x14ac:dyDescent="0.4">
      <c r="A159" s="202" t="s">
        <v>727</v>
      </c>
      <c r="B159" s="203" t="s">
        <v>719</v>
      </c>
      <c r="C159" s="203" t="s">
        <v>728</v>
      </c>
      <c r="D159" s="204"/>
    </row>
    <row r="160" spans="1:4" x14ac:dyDescent="0.4">
      <c r="A160" s="199" t="s">
        <v>729</v>
      </c>
      <c r="B160" s="200" t="s">
        <v>719</v>
      </c>
      <c r="C160" s="200" t="s">
        <v>2217</v>
      </c>
      <c r="D160" s="201" t="s">
        <v>730</v>
      </c>
    </row>
    <row r="161" spans="1:4" x14ac:dyDescent="0.4">
      <c r="A161" s="202" t="s">
        <v>750</v>
      </c>
      <c r="B161" s="203" t="s">
        <v>719</v>
      </c>
      <c r="C161" s="203"/>
      <c r="D161" s="204"/>
    </row>
    <row r="162" spans="1:4" x14ac:dyDescent="0.4">
      <c r="A162" s="199" t="s">
        <v>1564</v>
      </c>
      <c r="B162" s="200" t="s">
        <v>719</v>
      </c>
      <c r="C162" s="200" t="s">
        <v>1565</v>
      </c>
      <c r="D162" s="201" t="s">
        <v>1566</v>
      </c>
    </row>
    <row r="163" spans="1:4" x14ac:dyDescent="0.4">
      <c r="A163" s="202" t="s">
        <v>1567</v>
      </c>
      <c r="B163" s="203" t="s">
        <v>719</v>
      </c>
      <c r="C163" s="203" t="s">
        <v>1568</v>
      </c>
      <c r="D163" s="204"/>
    </row>
    <row r="164" spans="1:4" x14ac:dyDescent="0.4">
      <c r="A164" s="199" t="s">
        <v>1569</v>
      </c>
      <c r="B164" s="200" t="s">
        <v>719</v>
      </c>
      <c r="C164" s="200" t="s">
        <v>1570</v>
      </c>
      <c r="D164" s="201"/>
    </row>
    <row r="165" spans="1:4" x14ac:dyDescent="0.4">
      <c r="A165" s="202" t="s">
        <v>1571</v>
      </c>
      <c r="B165" s="203" t="s">
        <v>719</v>
      </c>
      <c r="C165" s="203" t="s">
        <v>1572</v>
      </c>
      <c r="D165" s="204" t="s">
        <v>1573</v>
      </c>
    </row>
    <row r="166" spans="1:4" x14ac:dyDescent="0.4">
      <c r="A166" s="199" t="s">
        <v>1574</v>
      </c>
      <c r="B166" s="200" t="s">
        <v>719</v>
      </c>
      <c r="C166" s="200" t="s">
        <v>725</v>
      </c>
      <c r="D166" s="201" t="s">
        <v>1575</v>
      </c>
    </row>
    <row r="167" spans="1:4" x14ac:dyDescent="0.4">
      <c r="A167" s="202" t="s">
        <v>1576</v>
      </c>
      <c r="B167" s="203" t="s">
        <v>719</v>
      </c>
      <c r="C167" s="203" t="s">
        <v>1577</v>
      </c>
      <c r="D167" s="204"/>
    </row>
    <row r="168" spans="1:4" x14ac:dyDescent="0.4">
      <c r="A168" s="199"/>
      <c r="B168" s="200"/>
      <c r="C168" s="200"/>
      <c r="D168" s="201"/>
    </row>
    <row r="169" spans="1:4" x14ac:dyDescent="0.4">
      <c r="A169" s="202"/>
      <c r="B169" s="203"/>
      <c r="C169" s="203"/>
      <c r="D169" s="204"/>
    </row>
    <row r="170" spans="1:4" x14ac:dyDescent="0.4">
      <c r="A170" s="199"/>
      <c r="B170" s="200"/>
      <c r="C170" s="200"/>
      <c r="D170" s="201"/>
    </row>
    <row r="171" spans="1:4" ht="14.25" thickBot="1" x14ac:dyDescent="0.45">
      <c r="A171" s="226"/>
      <c r="B171" s="227"/>
      <c r="C171" s="227"/>
      <c r="D171" s="228"/>
    </row>
    <row r="172" spans="1:4" ht="18.75" x14ac:dyDescent="0.4">
      <c r="A172" s="230" t="s">
        <v>703</v>
      </c>
      <c r="B172" s="237"/>
      <c r="C172" s="237"/>
      <c r="D172" s="240"/>
    </row>
    <row r="173" spans="1:4" x14ac:dyDescent="0.4">
      <c r="A173" s="202" t="s">
        <v>732</v>
      </c>
      <c r="B173" s="203" t="s">
        <v>733</v>
      </c>
      <c r="C173" s="203" t="s">
        <v>2758</v>
      </c>
      <c r="D173" s="204"/>
    </row>
    <row r="174" spans="1:4" x14ac:dyDescent="0.4">
      <c r="A174" s="199" t="s">
        <v>2257</v>
      </c>
      <c r="B174" s="200" t="s">
        <v>733</v>
      </c>
      <c r="C174" s="200" t="s">
        <v>2258</v>
      </c>
      <c r="D174" s="201"/>
    </row>
    <row r="175" spans="1:4" x14ac:dyDescent="0.4">
      <c r="A175" s="202" t="s">
        <v>2259</v>
      </c>
      <c r="B175" s="203" t="s">
        <v>733</v>
      </c>
      <c r="C175" s="203" t="s">
        <v>2260</v>
      </c>
      <c r="D175" s="204" t="s">
        <v>2757</v>
      </c>
    </row>
    <row r="176" spans="1:4" x14ac:dyDescent="0.4">
      <c r="A176" s="199" t="s">
        <v>2755</v>
      </c>
      <c r="B176" s="200" t="s">
        <v>733</v>
      </c>
      <c r="C176" s="200" t="s">
        <v>2756</v>
      </c>
      <c r="D176" s="201" t="s">
        <v>2263</v>
      </c>
    </row>
    <row r="177" spans="1:4" x14ac:dyDescent="0.4">
      <c r="A177" s="199" t="s">
        <v>2261</v>
      </c>
      <c r="B177" s="200" t="s">
        <v>733</v>
      </c>
      <c r="C177" s="200" t="s">
        <v>2262</v>
      </c>
      <c r="D177" s="201" t="s">
        <v>2263</v>
      </c>
    </row>
    <row r="178" spans="1:4" x14ac:dyDescent="0.4">
      <c r="A178" s="199"/>
      <c r="B178" s="200"/>
      <c r="C178" s="200"/>
      <c r="D178" s="201"/>
    </row>
    <row r="179" spans="1:4" x14ac:dyDescent="0.4">
      <c r="A179" s="202"/>
      <c r="B179" s="203"/>
      <c r="C179" s="203"/>
      <c r="D179" s="204"/>
    </row>
    <row r="180" spans="1:4" ht="14.25" thickBot="1" x14ac:dyDescent="0.45">
      <c r="A180" s="208"/>
      <c r="B180" s="209"/>
      <c r="C180" s="209"/>
      <c r="D180" s="210"/>
    </row>
    <row r="181" spans="1:4" ht="18.75" x14ac:dyDescent="0.4">
      <c r="A181" s="230" t="s">
        <v>2221</v>
      </c>
      <c r="B181" s="239"/>
      <c r="C181" s="239"/>
      <c r="D181" s="240"/>
    </row>
    <row r="182" spans="1:4" x14ac:dyDescent="0.4">
      <c r="A182" s="199" t="s">
        <v>751</v>
      </c>
      <c r="B182" s="200" t="s">
        <v>2218</v>
      </c>
      <c r="C182" s="200" t="s">
        <v>2741</v>
      </c>
      <c r="D182" s="201"/>
    </row>
    <row r="183" spans="1:4" x14ac:dyDescent="0.4">
      <c r="A183" s="202" t="s">
        <v>752</v>
      </c>
      <c r="B183" s="203" t="s">
        <v>2218</v>
      </c>
      <c r="C183" s="203" t="s">
        <v>2742</v>
      </c>
      <c r="D183" s="204"/>
    </row>
    <row r="184" spans="1:4" x14ac:dyDescent="0.4">
      <c r="A184" s="199" t="s">
        <v>753</v>
      </c>
      <c r="B184" s="200" t="s">
        <v>2218</v>
      </c>
      <c r="C184" s="200" t="s">
        <v>725</v>
      </c>
      <c r="D184" s="201"/>
    </row>
    <row r="185" spans="1:4" x14ac:dyDescent="0.4">
      <c r="A185" s="202" t="s">
        <v>754</v>
      </c>
      <c r="B185" s="200" t="s">
        <v>2218</v>
      </c>
      <c r="C185" s="203" t="s">
        <v>728</v>
      </c>
      <c r="D185" s="204"/>
    </row>
    <row r="186" spans="1:4" x14ac:dyDescent="0.4">
      <c r="A186" s="199" t="s">
        <v>755</v>
      </c>
      <c r="B186" s="200" t="s">
        <v>2218</v>
      </c>
      <c r="C186" s="200" t="s">
        <v>2743</v>
      </c>
      <c r="D186" s="201"/>
    </row>
    <row r="187" spans="1:4" x14ac:dyDescent="0.4">
      <c r="A187" s="202" t="s">
        <v>756</v>
      </c>
      <c r="B187" s="203" t="s">
        <v>2218</v>
      </c>
      <c r="C187" s="203" t="s">
        <v>2744</v>
      </c>
      <c r="D187" s="204"/>
    </row>
    <row r="188" spans="1:4" x14ac:dyDescent="0.4">
      <c r="A188" s="199"/>
      <c r="B188" s="200"/>
      <c r="C188" s="200"/>
      <c r="D188" s="201"/>
    </row>
    <row r="189" spans="1:4" x14ac:dyDescent="0.4">
      <c r="A189" s="202"/>
      <c r="B189" s="203"/>
      <c r="C189" s="203"/>
      <c r="D189" s="204"/>
    </row>
    <row r="190" spans="1:4" x14ac:dyDescent="0.4">
      <c r="A190" s="199"/>
      <c r="B190" s="200"/>
      <c r="C190" s="200"/>
      <c r="D190" s="201"/>
    </row>
    <row r="191" spans="1:4" x14ac:dyDescent="0.4">
      <c r="A191" s="202"/>
      <c r="B191" s="203"/>
      <c r="C191" s="203"/>
      <c r="D191" s="204"/>
    </row>
    <row r="192" spans="1:4" x14ac:dyDescent="0.4">
      <c r="A192" s="199"/>
      <c r="B192" s="200"/>
      <c r="C192" s="200"/>
      <c r="D192" s="201"/>
    </row>
    <row r="193" spans="1:4" x14ac:dyDescent="0.4">
      <c r="A193" s="202"/>
      <c r="B193" s="203"/>
      <c r="C193" s="203"/>
      <c r="D193" s="204"/>
    </row>
    <row r="194" spans="1:4" x14ac:dyDescent="0.4">
      <c r="A194" s="199"/>
      <c r="B194" s="200"/>
      <c r="C194" s="200"/>
      <c r="D194" s="201"/>
    </row>
    <row r="195" spans="1:4" x14ac:dyDescent="0.4">
      <c r="A195" s="202"/>
      <c r="B195" s="203"/>
      <c r="C195" s="203"/>
      <c r="D195" s="204"/>
    </row>
    <row r="196" spans="1:4" x14ac:dyDescent="0.4">
      <c r="A196" s="199"/>
      <c r="B196" s="200"/>
      <c r="C196" s="200"/>
      <c r="D196" s="201"/>
    </row>
    <row r="197" spans="1:4" x14ac:dyDescent="0.4">
      <c r="A197" s="202"/>
      <c r="B197" s="203"/>
      <c r="C197" s="203"/>
      <c r="D197" s="204"/>
    </row>
    <row r="198" spans="1:4" x14ac:dyDescent="0.4">
      <c r="A198" s="199"/>
      <c r="B198" s="200"/>
      <c r="C198" s="200"/>
      <c r="D198" s="201"/>
    </row>
    <row r="199" spans="1:4" x14ac:dyDescent="0.4">
      <c r="A199" s="202"/>
      <c r="B199" s="203"/>
      <c r="C199" s="203"/>
      <c r="D199" s="204"/>
    </row>
    <row r="200" spans="1:4" x14ac:dyDescent="0.4">
      <c r="A200" s="199"/>
      <c r="B200" s="200"/>
      <c r="C200" s="200"/>
      <c r="D200" s="201"/>
    </row>
    <row r="201" spans="1:4" x14ac:dyDescent="0.4">
      <c r="A201" s="202"/>
      <c r="B201" s="203"/>
      <c r="C201" s="203"/>
      <c r="D201" s="204"/>
    </row>
    <row r="202" spans="1:4" x14ac:dyDescent="0.4">
      <c r="A202" s="199"/>
      <c r="B202" s="200"/>
      <c r="C202" s="200"/>
      <c r="D202" s="201"/>
    </row>
    <row r="203" spans="1:4" x14ac:dyDescent="0.4">
      <c r="A203" s="202"/>
      <c r="B203" s="203"/>
      <c r="C203" s="203"/>
      <c r="D203" s="204"/>
    </row>
    <row r="204" spans="1:4" x14ac:dyDescent="0.4">
      <c r="A204" s="199"/>
      <c r="B204" s="200"/>
      <c r="C204" s="200"/>
      <c r="D204" s="201"/>
    </row>
    <row r="205" spans="1:4" x14ac:dyDescent="0.4">
      <c r="A205" s="202"/>
      <c r="B205" s="203"/>
      <c r="C205" s="203"/>
      <c r="D205" s="204"/>
    </row>
    <row r="206" spans="1:4" ht="14.25" thickBot="1" x14ac:dyDescent="0.45">
      <c r="A206" s="208"/>
      <c r="B206" s="209"/>
      <c r="C206" s="209"/>
      <c r="D206" s="210"/>
    </row>
    <row r="207" spans="1:4" ht="18.75" x14ac:dyDescent="0.4">
      <c r="A207" s="230" t="s">
        <v>2222</v>
      </c>
      <c r="B207" s="239"/>
      <c r="C207" s="239"/>
      <c r="D207" s="240"/>
    </row>
    <row r="208" spans="1:4" x14ac:dyDescent="0.4">
      <c r="A208" s="219" t="s">
        <v>2219</v>
      </c>
      <c r="B208" s="214" t="s">
        <v>733</v>
      </c>
      <c r="C208" s="214" t="s">
        <v>2220</v>
      </c>
      <c r="D208" s="220"/>
    </row>
    <row r="209" spans="1:4" x14ac:dyDescent="0.4">
      <c r="A209" s="219"/>
      <c r="B209" s="214"/>
      <c r="C209" s="214"/>
      <c r="D209" s="220"/>
    </row>
    <row r="210" spans="1:4" x14ac:dyDescent="0.4">
      <c r="A210" s="219"/>
      <c r="B210" s="214"/>
      <c r="C210" s="214"/>
      <c r="D210" s="220"/>
    </row>
    <row r="211" spans="1:4" x14ac:dyDescent="0.4">
      <c r="A211" s="219"/>
      <c r="B211" s="214"/>
      <c r="C211" s="214"/>
      <c r="D211" s="220"/>
    </row>
    <row r="212" spans="1:4" x14ac:dyDescent="0.4">
      <c r="A212" s="219"/>
      <c r="B212" s="214"/>
      <c r="C212" s="214"/>
      <c r="D212" s="220"/>
    </row>
    <row r="213" spans="1:4" x14ac:dyDescent="0.4">
      <c r="A213" s="219"/>
      <c r="B213" s="214"/>
      <c r="C213" s="214"/>
      <c r="D213" s="220"/>
    </row>
    <row r="214" spans="1:4" x14ac:dyDescent="0.4">
      <c r="A214" s="219"/>
      <c r="B214" s="214"/>
      <c r="C214" s="214"/>
      <c r="D214" s="220"/>
    </row>
    <row r="215" spans="1:4" x14ac:dyDescent="0.4">
      <c r="A215" s="219"/>
      <c r="B215" s="214"/>
      <c r="C215" s="214"/>
      <c r="D215" s="220"/>
    </row>
    <row r="216" spans="1:4" x14ac:dyDescent="0.4">
      <c r="A216" s="219"/>
      <c r="B216" s="214"/>
      <c r="C216" s="214"/>
      <c r="D216" s="220"/>
    </row>
    <row r="217" spans="1:4" x14ac:dyDescent="0.4">
      <c r="A217" s="219"/>
      <c r="B217" s="214"/>
      <c r="C217" s="214"/>
      <c r="D217" s="220"/>
    </row>
    <row r="218" spans="1:4" x14ac:dyDescent="0.4">
      <c r="A218" s="219"/>
      <c r="B218" s="214"/>
      <c r="C218" s="214"/>
      <c r="D218" s="220"/>
    </row>
    <row r="219" spans="1:4" x14ac:dyDescent="0.4">
      <c r="A219" s="219"/>
      <c r="B219" s="214"/>
      <c r="C219" s="214"/>
      <c r="D219" s="220"/>
    </row>
    <row r="220" spans="1:4" x14ac:dyDescent="0.4">
      <c r="A220" s="219"/>
      <c r="B220" s="214"/>
      <c r="C220" s="214"/>
      <c r="D220" s="220"/>
    </row>
    <row r="221" spans="1:4" x14ac:dyDescent="0.4">
      <c r="A221" s="219"/>
      <c r="B221" s="214"/>
      <c r="C221" s="214"/>
      <c r="D221" s="220"/>
    </row>
    <row r="222" spans="1:4" x14ac:dyDescent="0.4">
      <c r="A222" s="219"/>
      <c r="B222" s="214"/>
      <c r="C222" s="214"/>
      <c r="D222" s="220"/>
    </row>
    <row r="223" spans="1:4" x14ac:dyDescent="0.4">
      <c r="A223" s="219"/>
      <c r="B223" s="214"/>
      <c r="C223" s="214"/>
      <c r="D223" s="220"/>
    </row>
    <row r="224" spans="1:4" x14ac:dyDescent="0.4">
      <c r="A224" s="219"/>
      <c r="B224" s="214"/>
      <c r="C224" s="214"/>
      <c r="D224" s="220"/>
    </row>
    <row r="225" spans="1:4" x14ac:dyDescent="0.4">
      <c r="A225" s="219"/>
      <c r="B225" s="214"/>
      <c r="C225" s="214"/>
      <c r="D225" s="220"/>
    </row>
    <row r="226" spans="1:4" x14ac:dyDescent="0.4">
      <c r="A226" s="219"/>
      <c r="B226" s="214"/>
      <c r="C226" s="214"/>
      <c r="D226" s="220"/>
    </row>
    <row r="227" spans="1:4" x14ac:dyDescent="0.4">
      <c r="A227" s="219"/>
      <c r="B227" s="214"/>
      <c r="C227" s="214"/>
      <c r="D227" s="220"/>
    </row>
    <row r="228" spans="1:4" x14ac:dyDescent="0.4">
      <c r="A228" s="219"/>
      <c r="B228" s="214"/>
      <c r="C228" s="214"/>
      <c r="D228" s="220"/>
    </row>
    <row r="229" spans="1:4" x14ac:dyDescent="0.4">
      <c r="A229" s="219"/>
      <c r="B229" s="214"/>
      <c r="C229" s="214"/>
      <c r="D229" s="220"/>
    </row>
    <row r="230" spans="1:4" x14ac:dyDescent="0.4">
      <c r="A230" s="219"/>
      <c r="B230" s="214"/>
      <c r="C230" s="214"/>
      <c r="D230" s="220"/>
    </row>
    <row r="231" spans="1:4" x14ac:dyDescent="0.4">
      <c r="A231" s="219"/>
      <c r="B231" s="214"/>
      <c r="C231" s="214"/>
      <c r="D231" s="220"/>
    </row>
    <row r="232" spans="1:4" x14ac:dyDescent="0.4">
      <c r="A232" s="219"/>
      <c r="B232" s="214"/>
      <c r="C232" s="214"/>
      <c r="D232" s="220"/>
    </row>
    <row r="233" spans="1:4" x14ac:dyDescent="0.4">
      <c r="A233" s="219"/>
      <c r="B233" s="214"/>
      <c r="C233" s="214"/>
      <c r="D233" s="220"/>
    </row>
    <row r="234" spans="1:4" x14ac:dyDescent="0.4">
      <c r="A234" s="219"/>
      <c r="B234" s="214"/>
      <c r="C234" s="214"/>
      <c r="D234" s="220"/>
    </row>
    <row r="235" spans="1:4" x14ac:dyDescent="0.4">
      <c r="A235" s="219"/>
      <c r="B235" s="214"/>
      <c r="C235" s="214"/>
      <c r="D235" s="220"/>
    </row>
    <row r="236" spans="1:4" x14ac:dyDescent="0.4">
      <c r="A236" s="219"/>
      <c r="B236" s="214"/>
      <c r="C236" s="214"/>
      <c r="D236" s="220"/>
    </row>
    <row r="237" spans="1:4" x14ac:dyDescent="0.4">
      <c r="A237" s="219"/>
      <c r="B237" s="214"/>
      <c r="C237" s="214"/>
      <c r="D237" s="220"/>
    </row>
    <row r="238" spans="1:4" x14ac:dyDescent="0.4">
      <c r="A238" s="219"/>
      <c r="B238" s="214"/>
      <c r="C238" s="214"/>
      <c r="D238" s="220"/>
    </row>
    <row r="239" spans="1:4" x14ac:dyDescent="0.4">
      <c r="A239" s="219"/>
      <c r="B239" s="214"/>
      <c r="C239" s="214"/>
      <c r="D239" s="220"/>
    </row>
    <row r="240" spans="1:4" x14ac:dyDescent="0.4">
      <c r="A240" s="219"/>
      <c r="B240" s="214"/>
      <c r="C240" s="214"/>
      <c r="D240" s="220"/>
    </row>
    <row r="241" spans="1:4" x14ac:dyDescent="0.4">
      <c r="A241" s="219"/>
      <c r="B241" s="214"/>
      <c r="C241" s="214"/>
      <c r="D241" s="220"/>
    </row>
    <row r="242" spans="1:4" x14ac:dyDescent="0.4">
      <c r="A242" s="219"/>
      <c r="B242" s="214"/>
      <c r="C242" s="214"/>
      <c r="D242" s="220"/>
    </row>
    <row r="243" spans="1:4" x14ac:dyDescent="0.4">
      <c r="A243" s="219"/>
      <c r="B243" s="214"/>
      <c r="C243" s="214"/>
      <c r="D243" s="220"/>
    </row>
    <row r="244" spans="1:4" ht="14.25" thickBot="1" x14ac:dyDescent="0.45">
      <c r="A244" s="221"/>
      <c r="B244" s="222"/>
      <c r="C244" s="222"/>
      <c r="D244" s="223"/>
    </row>
    <row r="384" spans="5:5" x14ac:dyDescent="0.4">
      <c r="E384" s="189" t="s">
        <v>2325</v>
      </c>
    </row>
    <row r="388" spans="1:4" x14ac:dyDescent="0.4">
      <c r="A388" s="189" t="s">
        <v>2328</v>
      </c>
      <c r="B388" s="189" t="s">
        <v>2313</v>
      </c>
      <c r="C388" s="189" t="s">
        <v>2329</v>
      </c>
      <c r="D388" s="189" t="s">
        <v>2330</v>
      </c>
    </row>
  </sheetData>
  <phoneticPr fontId="3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E45F4-6EC3-4935-BFA7-7B3688A8FC24}">
  <sheetPr codeName="Sheet31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12336-9CD5-4132-9ECD-B83A14C1EA93}">
  <sheetPr codeName="Sheet4"/>
  <dimension ref="A1:J444"/>
  <sheetViews>
    <sheetView zoomScale="80" zoomScaleNormal="80" workbookViewId="0">
      <pane ySplit="1" topLeftCell="A110" activePane="bottomLeft" state="frozen"/>
      <selection activeCell="A2" sqref="A2"/>
      <selection pane="bottomLeft" activeCell="D163" sqref="D163"/>
    </sheetView>
  </sheetViews>
  <sheetFormatPr defaultColWidth="9" defaultRowHeight="13.5" x14ac:dyDescent="0.4"/>
  <cols>
    <col min="1" max="1" width="46.75" style="345" bestFit="1" customWidth="1"/>
    <col min="2" max="2" width="11.75" style="345" customWidth="1"/>
    <col min="3" max="3" width="38.375" style="345" bestFit="1" customWidth="1"/>
    <col min="4" max="4" width="10.75" style="345" customWidth="1"/>
    <col min="5" max="7" width="21" style="345" customWidth="1"/>
    <col min="8" max="16384" width="9" style="345"/>
  </cols>
  <sheetData>
    <row r="1" spans="1:10" ht="38.25" customHeight="1" x14ac:dyDescent="0.4">
      <c r="A1" s="348" t="s">
        <v>3</v>
      </c>
      <c r="B1" s="348" t="s">
        <v>2</v>
      </c>
      <c r="C1" s="348" t="s">
        <v>5</v>
      </c>
      <c r="D1" s="348" t="s">
        <v>338</v>
      </c>
      <c r="E1" s="348" t="s">
        <v>339</v>
      </c>
      <c r="F1" s="348" t="s">
        <v>8</v>
      </c>
      <c r="G1" s="348" t="s">
        <v>9</v>
      </c>
      <c r="H1" s="345" t="s">
        <v>2</v>
      </c>
    </row>
    <row r="2" spans="1:10" x14ac:dyDescent="0.4">
      <c r="A2" s="344"/>
      <c r="B2" s="344" t="s">
        <v>53</v>
      </c>
      <c r="C2" s="344"/>
      <c r="D2" s="344"/>
      <c r="E2" s="344"/>
      <c r="F2" s="344"/>
      <c r="G2" s="344"/>
    </row>
    <row r="3" spans="1:10" x14ac:dyDescent="0.4">
      <c r="A3" s="346" t="s">
        <v>54</v>
      </c>
      <c r="B3" s="346" t="s">
        <v>53</v>
      </c>
      <c r="C3" s="346" t="s">
        <v>55</v>
      </c>
      <c r="D3" s="346" t="s">
        <v>56</v>
      </c>
      <c r="E3" s="346"/>
      <c r="F3" s="346"/>
      <c r="G3" s="346"/>
      <c r="H3" s="345" t="s">
        <v>53</v>
      </c>
    </row>
    <row r="4" spans="1:10" x14ac:dyDescent="0.4">
      <c r="A4" s="346" t="s">
        <v>57</v>
      </c>
      <c r="B4" s="346" t="s">
        <v>53</v>
      </c>
      <c r="C4" s="346" t="s">
        <v>58</v>
      </c>
      <c r="D4" s="346" t="s">
        <v>59</v>
      </c>
      <c r="E4" s="346"/>
      <c r="F4" s="346"/>
      <c r="G4" s="346"/>
      <c r="H4" s="345" t="s">
        <v>60</v>
      </c>
    </row>
    <row r="5" spans="1:10" x14ac:dyDescent="0.4">
      <c r="A5" s="346" t="s">
        <v>61</v>
      </c>
      <c r="B5" s="346" t="s">
        <v>53</v>
      </c>
      <c r="C5" s="346" t="s">
        <v>62</v>
      </c>
      <c r="D5" s="346" t="s">
        <v>63</v>
      </c>
      <c r="E5" s="346"/>
      <c r="F5" s="346"/>
      <c r="G5" s="346"/>
      <c r="H5" s="345" t="s">
        <v>64</v>
      </c>
    </row>
    <row r="6" spans="1:10" x14ac:dyDescent="0.4">
      <c r="A6" s="346" t="s">
        <v>65</v>
      </c>
      <c r="B6" s="346" t="s">
        <v>53</v>
      </c>
      <c r="C6" s="346" t="s">
        <v>66</v>
      </c>
      <c r="D6" s="346"/>
      <c r="E6" s="346"/>
      <c r="F6" s="346"/>
      <c r="G6" s="346"/>
      <c r="H6" s="345" t="s">
        <v>67</v>
      </c>
    </row>
    <row r="7" spans="1:10" x14ac:dyDescent="0.4">
      <c r="A7" s="346" t="s">
        <v>68</v>
      </c>
      <c r="B7" s="346" t="s">
        <v>53</v>
      </c>
      <c r="C7" s="346" t="s">
        <v>69</v>
      </c>
      <c r="D7" s="346"/>
      <c r="E7" s="346"/>
      <c r="F7" s="346"/>
      <c r="G7" s="346"/>
      <c r="H7" s="345" t="s">
        <v>70</v>
      </c>
    </row>
    <row r="8" spans="1:10" x14ac:dyDescent="0.4">
      <c r="A8" s="346" t="s">
        <v>71</v>
      </c>
      <c r="B8" s="346" t="s">
        <v>53</v>
      </c>
      <c r="C8" s="346" t="s">
        <v>72</v>
      </c>
      <c r="D8" s="346"/>
      <c r="E8" s="346"/>
      <c r="F8" s="346"/>
      <c r="G8" s="346"/>
      <c r="H8" s="345" t="s">
        <v>73</v>
      </c>
    </row>
    <row r="9" spans="1:10" x14ac:dyDescent="0.4">
      <c r="A9" s="346" t="s">
        <v>74</v>
      </c>
      <c r="B9" s="346" t="s">
        <v>53</v>
      </c>
      <c r="C9" s="346" t="s">
        <v>75</v>
      </c>
      <c r="D9" s="346" t="s">
        <v>76</v>
      </c>
      <c r="E9" s="346"/>
      <c r="F9" s="346"/>
      <c r="G9" s="346"/>
      <c r="H9" s="345" t="s">
        <v>77</v>
      </c>
    </row>
    <row r="10" spans="1:10" x14ac:dyDescent="0.4">
      <c r="A10" s="346" t="s">
        <v>78</v>
      </c>
      <c r="B10" s="346" t="s">
        <v>53</v>
      </c>
      <c r="C10" s="346" t="s">
        <v>79</v>
      </c>
      <c r="D10" s="346"/>
      <c r="E10" s="346"/>
      <c r="F10" s="346"/>
      <c r="G10" s="346"/>
      <c r="H10" s="345" t="s">
        <v>80</v>
      </c>
    </row>
    <row r="11" spans="1:10" x14ac:dyDescent="0.4">
      <c r="A11" s="346" t="s">
        <v>81</v>
      </c>
      <c r="B11" s="346" t="s">
        <v>53</v>
      </c>
      <c r="C11" s="346" t="s">
        <v>82</v>
      </c>
      <c r="D11" s="346"/>
      <c r="E11" s="346"/>
      <c r="F11" s="346"/>
      <c r="G11" s="346"/>
      <c r="H11" s="345" t="s">
        <v>83</v>
      </c>
      <c r="J11" s="345" t="s">
        <v>11</v>
      </c>
    </row>
    <row r="12" spans="1:10" x14ac:dyDescent="0.4">
      <c r="A12" s="346" t="s">
        <v>84</v>
      </c>
      <c r="B12" s="346" t="s">
        <v>53</v>
      </c>
      <c r="C12" s="346" t="s">
        <v>85</v>
      </c>
      <c r="D12" s="346" t="s">
        <v>86</v>
      </c>
      <c r="E12" s="346"/>
      <c r="F12" s="346"/>
      <c r="G12" s="346"/>
      <c r="H12" s="345" t="s">
        <v>87</v>
      </c>
    </row>
    <row r="13" spans="1:10" x14ac:dyDescent="0.4">
      <c r="A13" s="346" t="s">
        <v>88</v>
      </c>
      <c r="B13" s="346" t="s">
        <v>53</v>
      </c>
      <c r="C13" s="346" t="s">
        <v>89</v>
      </c>
      <c r="D13" s="346"/>
      <c r="E13" s="346"/>
      <c r="F13" s="346"/>
      <c r="G13" s="346"/>
      <c r="H13" s="345" t="s">
        <v>90</v>
      </c>
    </row>
    <row r="14" spans="1:10" x14ac:dyDescent="0.4">
      <c r="A14" s="346" t="s">
        <v>91</v>
      </c>
      <c r="B14" s="346" t="s">
        <v>53</v>
      </c>
      <c r="C14" s="346" t="s">
        <v>92</v>
      </c>
      <c r="D14" s="346" t="s">
        <v>56</v>
      </c>
      <c r="E14" s="346"/>
      <c r="F14" s="346"/>
      <c r="G14" s="346"/>
    </row>
    <row r="15" spans="1:10" x14ac:dyDescent="0.4">
      <c r="A15" s="346" t="s">
        <v>93</v>
      </c>
      <c r="B15" s="346" t="s">
        <v>53</v>
      </c>
      <c r="C15" s="346" t="s">
        <v>94</v>
      </c>
      <c r="D15" s="346"/>
      <c r="E15" s="346"/>
      <c r="F15" s="346"/>
      <c r="G15" s="346"/>
    </row>
    <row r="16" spans="1:10" x14ac:dyDescent="0.4">
      <c r="A16" s="346" t="s">
        <v>95</v>
      </c>
      <c r="B16" s="346" t="s">
        <v>53</v>
      </c>
      <c r="C16" s="346" t="s">
        <v>96</v>
      </c>
      <c r="D16" s="346" t="s">
        <v>97</v>
      </c>
      <c r="E16" s="346"/>
      <c r="F16" s="346"/>
      <c r="G16" s="346"/>
    </row>
    <row r="17" spans="1:7" x14ac:dyDescent="0.4">
      <c r="A17" s="346" t="s">
        <v>98</v>
      </c>
      <c r="B17" s="346" t="s">
        <v>53</v>
      </c>
      <c r="C17" s="346" t="s">
        <v>99</v>
      </c>
      <c r="D17" s="346"/>
      <c r="E17" s="346"/>
      <c r="F17" s="346" t="s">
        <v>100</v>
      </c>
      <c r="G17" s="346"/>
    </row>
    <row r="18" spans="1:7" x14ac:dyDescent="0.4">
      <c r="A18" s="346" t="s">
        <v>101</v>
      </c>
      <c r="B18" s="346" t="s">
        <v>53</v>
      </c>
      <c r="C18" s="346" t="s">
        <v>102</v>
      </c>
      <c r="D18" s="346"/>
      <c r="E18" s="346"/>
      <c r="F18" s="346" t="s">
        <v>100</v>
      </c>
      <c r="G18" s="346"/>
    </row>
    <row r="19" spans="1:7" x14ac:dyDescent="0.4">
      <c r="A19" s="346" t="s">
        <v>103</v>
      </c>
      <c r="B19" s="346" t="s">
        <v>53</v>
      </c>
      <c r="C19" s="346" t="s">
        <v>104</v>
      </c>
      <c r="D19" s="346" t="s">
        <v>105</v>
      </c>
      <c r="E19" s="346"/>
      <c r="F19" s="346"/>
      <c r="G19" s="346"/>
    </row>
    <row r="20" spans="1:7" x14ac:dyDescent="0.4">
      <c r="A20" s="346" t="s">
        <v>106</v>
      </c>
      <c r="B20" s="346" t="s">
        <v>53</v>
      </c>
      <c r="C20" s="346" t="s">
        <v>107</v>
      </c>
      <c r="D20" s="346"/>
      <c r="E20" s="346"/>
      <c r="F20" s="346"/>
      <c r="G20" s="346"/>
    </row>
    <row r="21" spans="1:7" x14ac:dyDescent="0.4">
      <c r="A21" s="346" t="s">
        <v>108</v>
      </c>
      <c r="B21" s="346" t="s">
        <v>53</v>
      </c>
      <c r="C21" s="346" t="s">
        <v>109</v>
      </c>
      <c r="D21" s="346"/>
      <c r="E21" s="346"/>
      <c r="F21" s="346"/>
      <c r="G21" s="346"/>
    </row>
    <row r="22" spans="1:7" x14ac:dyDescent="0.4">
      <c r="A22" s="346" t="s">
        <v>110</v>
      </c>
      <c r="B22" s="346" t="s">
        <v>53</v>
      </c>
      <c r="C22" s="346" t="s">
        <v>111</v>
      </c>
      <c r="D22" s="346"/>
      <c r="E22" s="346"/>
      <c r="F22" s="346"/>
      <c r="G22" s="346"/>
    </row>
    <row r="23" spans="1:7" x14ac:dyDescent="0.4">
      <c r="A23" s="346" t="s">
        <v>112</v>
      </c>
      <c r="B23" s="346" t="s">
        <v>53</v>
      </c>
      <c r="C23" s="346" t="s">
        <v>113</v>
      </c>
      <c r="D23" s="346"/>
      <c r="E23" s="346"/>
      <c r="F23" s="346"/>
      <c r="G23" s="346"/>
    </row>
    <row r="24" spans="1:7" x14ac:dyDescent="0.4">
      <c r="A24" s="346" t="s">
        <v>11</v>
      </c>
      <c r="B24" s="346" t="s">
        <v>2326</v>
      </c>
      <c r="C24" s="346" t="s">
        <v>11</v>
      </c>
      <c r="D24" s="346" t="s">
        <v>11</v>
      </c>
      <c r="E24" s="346"/>
      <c r="F24" s="346"/>
      <c r="G24" s="346"/>
    </row>
    <row r="25" spans="1:7" x14ac:dyDescent="0.4">
      <c r="A25" s="346"/>
      <c r="B25" s="346" t="s">
        <v>53</v>
      </c>
      <c r="C25" s="346"/>
      <c r="D25" s="346"/>
      <c r="E25" s="346"/>
      <c r="F25" s="346"/>
      <c r="G25" s="346"/>
    </row>
    <row r="26" spans="1:7" x14ac:dyDescent="0.4">
      <c r="A26" s="346"/>
      <c r="B26" s="346" t="s">
        <v>53</v>
      </c>
      <c r="C26" s="346"/>
      <c r="D26" s="346"/>
      <c r="E26" s="346"/>
      <c r="F26" s="346"/>
      <c r="G26" s="346"/>
    </row>
    <row r="27" spans="1:7" x14ac:dyDescent="0.4">
      <c r="A27" s="346"/>
      <c r="B27" s="346" t="s">
        <v>53</v>
      </c>
      <c r="C27" s="346"/>
      <c r="D27" s="346"/>
      <c r="E27" s="346"/>
      <c r="F27" s="346"/>
      <c r="G27" s="346"/>
    </row>
    <row r="28" spans="1:7" x14ac:dyDescent="0.4">
      <c r="A28" s="346"/>
      <c r="B28" s="346" t="s">
        <v>53</v>
      </c>
      <c r="C28" s="346"/>
      <c r="D28" s="346"/>
      <c r="E28" s="346"/>
      <c r="F28" s="346"/>
      <c r="G28" s="346"/>
    </row>
    <row r="29" spans="1:7" x14ac:dyDescent="0.4">
      <c r="A29" s="346"/>
      <c r="B29" s="346" t="s">
        <v>53</v>
      </c>
      <c r="C29" s="346"/>
      <c r="D29" s="346"/>
      <c r="E29" s="346"/>
      <c r="F29" s="346"/>
      <c r="G29" s="346"/>
    </row>
    <row r="30" spans="1:7" x14ac:dyDescent="0.4">
      <c r="A30" s="346"/>
      <c r="B30" s="346" t="s">
        <v>53</v>
      </c>
      <c r="C30" s="346"/>
      <c r="D30" s="346"/>
      <c r="E30" s="346"/>
      <c r="F30" s="346"/>
      <c r="G30" s="346"/>
    </row>
    <row r="31" spans="1:7" x14ac:dyDescent="0.4">
      <c r="A31" s="346"/>
      <c r="B31" s="346" t="s">
        <v>53</v>
      </c>
      <c r="C31" s="346"/>
      <c r="D31" s="346"/>
      <c r="E31" s="346"/>
      <c r="F31" s="346"/>
      <c r="G31" s="346"/>
    </row>
    <row r="32" spans="1:7" x14ac:dyDescent="0.4">
      <c r="A32" s="346"/>
      <c r="B32" s="346" t="s">
        <v>53</v>
      </c>
      <c r="C32" s="346"/>
      <c r="D32" s="346"/>
      <c r="E32" s="346"/>
      <c r="F32" s="346"/>
      <c r="G32" s="346"/>
    </row>
    <row r="33" spans="1:7" x14ac:dyDescent="0.4">
      <c r="A33" s="346"/>
      <c r="B33" s="346" t="s">
        <v>53</v>
      </c>
      <c r="C33" s="346"/>
      <c r="D33" s="346"/>
      <c r="E33" s="346"/>
      <c r="F33" s="346"/>
      <c r="G33" s="346"/>
    </row>
    <row r="34" spans="1:7" x14ac:dyDescent="0.4">
      <c r="A34" s="346"/>
      <c r="B34" s="346" t="s">
        <v>53</v>
      </c>
      <c r="C34" s="346"/>
      <c r="D34" s="346"/>
      <c r="E34" s="346"/>
      <c r="F34" s="346"/>
      <c r="G34" s="346"/>
    </row>
    <row r="35" spans="1:7" x14ac:dyDescent="0.4">
      <c r="A35" s="346"/>
      <c r="B35" s="346" t="s">
        <v>53</v>
      </c>
      <c r="C35" s="346"/>
      <c r="D35" s="346"/>
      <c r="E35" s="346"/>
      <c r="F35" s="346"/>
      <c r="G35" s="346"/>
    </row>
    <row r="36" spans="1:7" x14ac:dyDescent="0.4">
      <c r="A36" s="346"/>
      <c r="B36" s="346" t="s">
        <v>53</v>
      </c>
      <c r="C36" s="346"/>
      <c r="D36" s="346"/>
      <c r="E36" s="346"/>
      <c r="F36" s="346"/>
      <c r="G36" s="346"/>
    </row>
    <row r="37" spans="1:7" x14ac:dyDescent="0.4">
      <c r="A37" s="346"/>
      <c r="B37" s="346" t="s">
        <v>53</v>
      </c>
      <c r="C37" s="346"/>
      <c r="D37" s="346"/>
      <c r="E37" s="346"/>
      <c r="F37" s="346"/>
      <c r="G37" s="346"/>
    </row>
    <row r="38" spans="1:7" x14ac:dyDescent="0.4">
      <c r="A38" s="346"/>
      <c r="B38" s="346" t="s">
        <v>53</v>
      </c>
      <c r="C38" s="346"/>
      <c r="D38" s="346"/>
      <c r="E38" s="346"/>
      <c r="F38" s="346"/>
      <c r="G38" s="346"/>
    </row>
    <row r="39" spans="1:7" x14ac:dyDescent="0.4">
      <c r="A39" s="346"/>
      <c r="B39" s="346" t="s">
        <v>53</v>
      </c>
      <c r="C39" s="346"/>
      <c r="D39" s="346"/>
      <c r="E39" s="346"/>
      <c r="F39" s="346"/>
      <c r="G39" s="346"/>
    </row>
    <row r="40" spans="1:7" x14ac:dyDescent="0.4">
      <c r="A40" s="346"/>
      <c r="B40" s="346" t="s">
        <v>53</v>
      </c>
      <c r="C40" s="346"/>
      <c r="D40" s="346"/>
      <c r="E40" s="346"/>
      <c r="F40" s="346"/>
      <c r="G40" s="346"/>
    </row>
    <row r="41" spans="1:7" x14ac:dyDescent="0.4">
      <c r="A41" s="346"/>
      <c r="B41" s="346" t="s">
        <v>53</v>
      </c>
      <c r="C41" s="346"/>
      <c r="D41" s="346"/>
      <c r="E41" s="346"/>
      <c r="F41" s="346"/>
      <c r="G41" s="346"/>
    </row>
    <row r="42" spans="1:7" x14ac:dyDescent="0.4">
      <c r="A42" s="346"/>
      <c r="B42" s="346" t="s">
        <v>53</v>
      </c>
      <c r="C42" s="346"/>
      <c r="D42" s="346"/>
      <c r="E42" s="346"/>
      <c r="F42" s="346"/>
      <c r="G42" s="346"/>
    </row>
    <row r="43" spans="1:7" x14ac:dyDescent="0.4">
      <c r="A43" s="346"/>
      <c r="B43" s="346" t="s">
        <v>53</v>
      </c>
      <c r="C43" s="346"/>
      <c r="D43" s="346"/>
      <c r="E43" s="346"/>
      <c r="F43" s="346"/>
      <c r="G43" s="346"/>
    </row>
    <row r="44" spans="1:7" x14ac:dyDescent="0.4">
      <c r="A44" s="346"/>
      <c r="B44" s="346" t="s">
        <v>53</v>
      </c>
      <c r="C44" s="346"/>
      <c r="D44" s="346"/>
      <c r="E44" s="346"/>
      <c r="F44" s="346"/>
      <c r="G44" s="346"/>
    </row>
    <row r="45" spans="1:7" x14ac:dyDescent="0.4">
      <c r="A45" s="346"/>
      <c r="B45" s="346" t="s">
        <v>53</v>
      </c>
      <c r="C45" s="346"/>
      <c r="D45" s="346"/>
      <c r="E45" s="346"/>
      <c r="F45" s="346"/>
      <c r="G45" s="346"/>
    </row>
    <row r="46" spans="1:7" x14ac:dyDescent="0.4">
      <c r="A46" s="346"/>
      <c r="B46" s="346" t="s">
        <v>53</v>
      </c>
      <c r="C46" s="346"/>
      <c r="D46" s="346"/>
      <c r="E46" s="346"/>
      <c r="F46" s="346"/>
      <c r="G46" s="346"/>
    </row>
    <row r="47" spans="1:7" x14ac:dyDescent="0.4">
      <c r="A47" s="346"/>
      <c r="B47" s="346" t="s">
        <v>53</v>
      </c>
      <c r="C47" s="346"/>
      <c r="D47" s="346"/>
      <c r="E47" s="346"/>
      <c r="F47" s="346"/>
      <c r="G47" s="346"/>
    </row>
    <row r="48" spans="1:7" x14ac:dyDescent="0.4">
      <c r="A48" s="346"/>
      <c r="B48" s="346" t="s">
        <v>53</v>
      </c>
      <c r="C48" s="346"/>
      <c r="D48" s="346"/>
      <c r="E48" s="346"/>
      <c r="F48" s="346"/>
      <c r="G48" s="346"/>
    </row>
    <row r="49" spans="1:7" x14ac:dyDescent="0.4">
      <c r="A49" s="346"/>
      <c r="B49" s="346" t="s">
        <v>53</v>
      </c>
      <c r="C49" s="346"/>
      <c r="D49" s="346"/>
      <c r="E49" s="346"/>
      <c r="F49" s="346"/>
      <c r="G49" s="346"/>
    </row>
    <row r="50" spans="1:7" x14ac:dyDescent="0.4">
      <c r="A50" s="346"/>
      <c r="B50" s="346" t="s">
        <v>53</v>
      </c>
      <c r="C50" s="346"/>
      <c r="D50" s="346"/>
      <c r="E50" s="346"/>
      <c r="F50" s="346"/>
      <c r="G50" s="346"/>
    </row>
    <row r="51" spans="1:7" x14ac:dyDescent="0.4">
      <c r="A51" s="346"/>
      <c r="B51" s="346" t="s">
        <v>53</v>
      </c>
      <c r="C51" s="346"/>
      <c r="D51" s="346"/>
      <c r="E51" s="346"/>
      <c r="F51" s="346"/>
      <c r="G51" s="346"/>
    </row>
    <row r="52" spans="1:7" x14ac:dyDescent="0.4">
      <c r="A52" s="346"/>
      <c r="B52" s="346" t="s">
        <v>53</v>
      </c>
      <c r="C52" s="346"/>
      <c r="D52" s="346"/>
      <c r="E52" s="346"/>
      <c r="F52" s="346"/>
      <c r="G52" s="346"/>
    </row>
    <row r="53" spans="1:7" x14ac:dyDescent="0.4">
      <c r="A53" s="346"/>
      <c r="B53" s="346" t="s">
        <v>53</v>
      </c>
      <c r="C53" s="346"/>
      <c r="D53" s="346"/>
      <c r="E53" s="346"/>
      <c r="F53" s="346"/>
      <c r="G53" s="346"/>
    </row>
    <row r="54" spans="1:7" x14ac:dyDescent="0.4">
      <c r="A54" s="346"/>
      <c r="B54" s="346" t="s">
        <v>53</v>
      </c>
      <c r="C54" s="346"/>
      <c r="D54" s="346"/>
      <c r="E54" s="346"/>
      <c r="F54" s="346"/>
      <c r="G54" s="346"/>
    </row>
    <row r="55" spans="1:7" x14ac:dyDescent="0.4">
      <c r="A55" s="346"/>
      <c r="B55" s="346" t="s">
        <v>53</v>
      </c>
      <c r="C55" s="346"/>
      <c r="D55" s="346"/>
      <c r="E55" s="346"/>
      <c r="F55" s="346"/>
      <c r="G55" s="346"/>
    </row>
    <row r="56" spans="1:7" x14ac:dyDescent="0.4">
      <c r="A56" s="346"/>
      <c r="B56" s="346" t="s">
        <v>53</v>
      </c>
      <c r="C56" s="346"/>
      <c r="D56" s="346"/>
      <c r="E56" s="346"/>
      <c r="F56" s="346"/>
      <c r="G56" s="346"/>
    </row>
    <row r="57" spans="1:7" x14ac:dyDescent="0.4">
      <c r="A57" s="346"/>
      <c r="B57" s="346" t="s">
        <v>53</v>
      </c>
      <c r="C57" s="346"/>
      <c r="D57" s="346"/>
      <c r="E57" s="346"/>
      <c r="F57" s="346"/>
      <c r="G57" s="346"/>
    </row>
    <row r="58" spans="1:7" x14ac:dyDescent="0.4">
      <c r="A58" s="346"/>
      <c r="B58" s="346" t="s">
        <v>53</v>
      </c>
      <c r="C58" s="346"/>
      <c r="D58" s="346"/>
      <c r="E58" s="346"/>
      <c r="F58" s="346"/>
      <c r="G58" s="346"/>
    </row>
    <row r="59" spans="1:7" x14ac:dyDescent="0.4">
      <c r="A59" s="346"/>
      <c r="B59" s="346" t="s">
        <v>53</v>
      </c>
      <c r="C59" s="346"/>
      <c r="D59" s="346"/>
      <c r="E59" s="346"/>
      <c r="F59" s="346"/>
      <c r="G59" s="346"/>
    </row>
    <row r="60" spans="1:7" x14ac:dyDescent="0.4">
      <c r="A60" s="346"/>
      <c r="B60" s="346" t="s">
        <v>53</v>
      </c>
      <c r="C60" s="346"/>
      <c r="D60" s="346"/>
      <c r="E60" s="346"/>
      <c r="F60" s="346"/>
      <c r="G60" s="346"/>
    </row>
    <row r="61" spans="1:7" x14ac:dyDescent="0.4">
      <c r="A61" s="346"/>
      <c r="B61" s="346" t="s">
        <v>53</v>
      </c>
      <c r="C61" s="346"/>
      <c r="D61" s="346"/>
      <c r="E61" s="346"/>
      <c r="F61" s="346"/>
      <c r="G61" s="346"/>
    </row>
    <row r="62" spans="1:7" x14ac:dyDescent="0.4">
      <c r="A62" s="346"/>
      <c r="B62" s="346" t="s">
        <v>53</v>
      </c>
      <c r="C62" s="346"/>
      <c r="D62" s="346"/>
      <c r="E62" s="346"/>
      <c r="F62" s="346"/>
      <c r="G62" s="346"/>
    </row>
    <row r="63" spans="1:7" x14ac:dyDescent="0.4">
      <c r="A63" s="346"/>
      <c r="B63" s="346" t="s">
        <v>53</v>
      </c>
      <c r="C63" s="346"/>
      <c r="D63" s="346"/>
      <c r="E63" s="346"/>
      <c r="F63" s="346"/>
      <c r="G63" s="346"/>
    </row>
    <row r="64" spans="1:7" x14ac:dyDescent="0.4">
      <c r="A64" s="346"/>
      <c r="B64" s="346" t="s">
        <v>53</v>
      </c>
      <c r="C64" s="346"/>
      <c r="D64" s="346"/>
      <c r="E64" s="346"/>
      <c r="F64" s="346"/>
      <c r="G64" s="346"/>
    </row>
    <row r="65" spans="1:7" x14ac:dyDescent="0.4">
      <c r="A65" s="344"/>
      <c r="B65" s="344" t="s">
        <v>60</v>
      </c>
      <c r="C65" s="344"/>
      <c r="D65" s="344"/>
      <c r="E65" s="344"/>
      <c r="F65" s="344"/>
      <c r="G65" s="344"/>
    </row>
    <row r="66" spans="1:7" x14ac:dyDescent="0.4">
      <c r="A66" s="346" t="s">
        <v>114</v>
      </c>
      <c r="B66" s="346" t="s">
        <v>11</v>
      </c>
      <c r="C66" s="346" t="s">
        <v>115</v>
      </c>
      <c r="D66" s="346"/>
      <c r="E66" s="346"/>
      <c r="F66" s="346"/>
      <c r="G66" s="346"/>
    </row>
    <row r="67" spans="1:7" x14ac:dyDescent="0.4">
      <c r="A67" s="346" t="s">
        <v>116</v>
      </c>
      <c r="B67" s="346"/>
      <c r="C67" s="346" t="s">
        <v>117</v>
      </c>
      <c r="D67" s="346"/>
      <c r="E67" s="346"/>
      <c r="F67" s="346"/>
      <c r="G67" s="346"/>
    </row>
    <row r="68" spans="1:7" x14ac:dyDescent="0.4">
      <c r="A68" s="346" t="s">
        <v>118</v>
      </c>
      <c r="B68" s="346"/>
      <c r="C68" s="346" t="s">
        <v>119</v>
      </c>
      <c r="D68" s="346" t="s">
        <v>120</v>
      </c>
      <c r="E68" s="346"/>
      <c r="F68" s="346"/>
      <c r="G68" s="346"/>
    </row>
    <row r="69" spans="1:7" x14ac:dyDescent="0.4">
      <c r="A69" s="346" t="s">
        <v>121</v>
      </c>
      <c r="B69" s="346"/>
      <c r="C69" s="346" t="s">
        <v>122</v>
      </c>
      <c r="D69" s="346"/>
      <c r="E69" s="346"/>
      <c r="F69" s="346"/>
      <c r="G69" s="346"/>
    </row>
    <row r="70" spans="1:7" x14ac:dyDescent="0.4">
      <c r="A70" s="346" t="s">
        <v>123</v>
      </c>
      <c r="B70" s="346"/>
      <c r="C70" s="346" t="s">
        <v>124</v>
      </c>
      <c r="D70" s="346"/>
      <c r="E70" s="346"/>
      <c r="F70" s="346"/>
      <c r="G70" s="346"/>
    </row>
    <row r="71" spans="1:7" x14ac:dyDescent="0.4">
      <c r="A71" s="346" t="s">
        <v>125</v>
      </c>
      <c r="B71" s="346"/>
      <c r="C71" s="346" t="s">
        <v>126</v>
      </c>
      <c r="D71" s="346"/>
      <c r="E71" s="346"/>
      <c r="F71" s="346">
        <v>634</v>
      </c>
      <c r="G71" s="346"/>
    </row>
    <row r="72" spans="1:7" x14ac:dyDescent="0.4">
      <c r="A72" s="346" t="s">
        <v>127</v>
      </c>
      <c r="B72" s="346"/>
      <c r="C72" s="346" t="s">
        <v>128</v>
      </c>
      <c r="D72" s="346"/>
      <c r="E72" s="346"/>
      <c r="F72" s="346"/>
      <c r="G72" s="346"/>
    </row>
    <row r="73" spans="1:7" x14ac:dyDescent="0.4">
      <c r="A73" s="346" t="s">
        <v>114</v>
      </c>
      <c r="B73" s="346"/>
      <c r="C73" s="346" t="s">
        <v>129</v>
      </c>
      <c r="D73" s="346"/>
      <c r="E73" s="346"/>
      <c r="F73" s="346"/>
      <c r="G73" s="346"/>
    </row>
    <row r="74" spans="1:7" x14ac:dyDescent="0.4">
      <c r="A74" s="346" t="s">
        <v>130</v>
      </c>
      <c r="B74" s="346"/>
      <c r="C74" s="346" t="s">
        <v>131</v>
      </c>
      <c r="D74" s="346"/>
      <c r="E74" s="346"/>
      <c r="F74" s="346"/>
      <c r="G74" s="346" t="s">
        <v>105</v>
      </c>
    </row>
    <row r="75" spans="1:7" x14ac:dyDescent="0.4">
      <c r="A75" s="346" t="s">
        <v>132</v>
      </c>
      <c r="B75" s="346"/>
      <c r="C75" s="346" t="s">
        <v>133</v>
      </c>
      <c r="D75" s="346"/>
      <c r="E75" s="346"/>
      <c r="F75" s="346"/>
      <c r="G75" s="346"/>
    </row>
    <row r="76" spans="1:7" x14ac:dyDescent="0.4">
      <c r="A76" s="346" t="s">
        <v>134</v>
      </c>
      <c r="B76" s="346"/>
      <c r="C76" s="346" t="s">
        <v>135</v>
      </c>
      <c r="D76" s="346"/>
      <c r="E76" s="346"/>
      <c r="F76" s="346"/>
      <c r="G76" s="346" t="s">
        <v>105</v>
      </c>
    </row>
    <row r="77" spans="1:7" x14ac:dyDescent="0.4">
      <c r="A77" s="346" t="s">
        <v>136</v>
      </c>
      <c r="B77" s="346"/>
      <c r="C77" s="346" t="s">
        <v>137</v>
      </c>
      <c r="D77" s="346"/>
      <c r="E77" s="346"/>
      <c r="F77" s="346"/>
      <c r="G77" s="346"/>
    </row>
    <row r="78" spans="1:7" x14ac:dyDescent="0.4">
      <c r="A78" s="346" t="s">
        <v>138</v>
      </c>
      <c r="B78" s="346"/>
      <c r="C78" s="346" t="s">
        <v>139</v>
      </c>
      <c r="D78" s="346"/>
      <c r="E78" s="346"/>
      <c r="F78" s="346"/>
      <c r="G78" s="346" t="s">
        <v>105</v>
      </c>
    </row>
    <row r="79" spans="1:7" x14ac:dyDescent="0.4">
      <c r="A79" s="346" t="s">
        <v>140</v>
      </c>
      <c r="B79" s="346"/>
      <c r="C79" s="346" t="s">
        <v>141</v>
      </c>
      <c r="D79" s="346"/>
      <c r="E79" s="346"/>
      <c r="F79" s="346"/>
      <c r="G79" s="346"/>
    </row>
    <row r="80" spans="1:7" x14ac:dyDescent="0.4">
      <c r="A80" s="346" t="s">
        <v>142</v>
      </c>
      <c r="B80" s="346"/>
      <c r="C80" s="346" t="s">
        <v>143</v>
      </c>
      <c r="D80" s="346"/>
      <c r="E80" s="346"/>
      <c r="F80" s="346"/>
      <c r="G80" s="346"/>
    </row>
    <row r="81" spans="1:7" x14ac:dyDescent="0.4">
      <c r="A81" s="346" t="s">
        <v>132</v>
      </c>
      <c r="B81" s="346"/>
      <c r="C81" s="346" t="s">
        <v>144</v>
      </c>
      <c r="D81" s="346"/>
      <c r="E81" s="346"/>
      <c r="F81" s="346"/>
      <c r="G81" s="346"/>
    </row>
    <row r="82" spans="1:7" x14ac:dyDescent="0.4">
      <c r="A82" s="346" t="s">
        <v>145</v>
      </c>
      <c r="B82" s="346"/>
      <c r="C82" s="346" t="s">
        <v>146</v>
      </c>
      <c r="D82" s="346"/>
      <c r="E82" s="346"/>
      <c r="F82" s="346"/>
      <c r="G82" s="346"/>
    </row>
    <row r="83" spans="1:7" x14ac:dyDescent="0.4">
      <c r="A83" s="346" t="s">
        <v>147</v>
      </c>
      <c r="B83" s="346"/>
      <c r="C83" s="346" t="s">
        <v>148</v>
      </c>
      <c r="D83" s="346"/>
      <c r="E83" s="346"/>
      <c r="F83" s="346"/>
      <c r="G83" s="346"/>
    </row>
    <row r="84" spans="1:7" x14ac:dyDescent="0.4">
      <c r="A84" s="346" t="s">
        <v>2236</v>
      </c>
      <c r="B84" s="346"/>
      <c r="C84" s="346" t="s">
        <v>2237</v>
      </c>
      <c r="D84" s="346"/>
      <c r="E84" s="346"/>
      <c r="F84" s="346"/>
      <c r="G84" s="346"/>
    </row>
    <row r="85" spans="1:7" x14ac:dyDescent="0.4">
      <c r="A85" s="346"/>
      <c r="B85" s="346"/>
      <c r="C85" s="346"/>
      <c r="D85" s="346"/>
      <c r="E85" s="346"/>
      <c r="F85" s="346"/>
      <c r="G85" s="346"/>
    </row>
    <row r="86" spans="1:7" x14ac:dyDescent="0.4">
      <c r="A86" s="346"/>
      <c r="B86" s="346"/>
      <c r="C86" s="346"/>
      <c r="D86" s="346"/>
      <c r="E86" s="346"/>
      <c r="F86" s="346"/>
      <c r="G86" s="346"/>
    </row>
    <row r="87" spans="1:7" x14ac:dyDescent="0.4">
      <c r="A87" s="346"/>
      <c r="B87" s="346"/>
      <c r="C87" s="346"/>
      <c r="D87" s="346"/>
      <c r="E87" s="346"/>
      <c r="F87" s="346"/>
      <c r="G87" s="346"/>
    </row>
    <row r="88" spans="1:7" x14ac:dyDescent="0.4">
      <c r="A88" s="346"/>
      <c r="B88" s="346"/>
      <c r="C88" s="346"/>
      <c r="D88" s="346"/>
      <c r="E88" s="346"/>
      <c r="F88" s="346"/>
      <c r="G88" s="346"/>
    </row>
    <row r="89" spans="1:7" x14ac:dyDescent="0.4">
      <c r="A89" s="346"/>
      <c r="B89" s="346"/>
      <c r="C89" s="346"/>
      <c r="D89" s="346"/>
      <c r="E89" s="346"/>
      <c r="F89" s="346"/>
      <c r="G89" s="346"/>
    </row>
    <row r="90" spans="1:7" x14ac:dyDescent="0.4">
      <c r="A90" s="346"/>
      <c r="B90" s="346"/>
      <c r="C90" s="346"/>
      <c r="D90" s="346"/>
      <c r="E90" s="346"/>
      <c r="F90" s="346"/>
      <c r="G90" s="346"/>
    </row>
    <row r="91" spans="1:7" x14ac:dyDescent="0.4">
      <c r="A91" s="346"/>
      <c r="B91" s="346"/>
      <c r="C91" s="346"/>
      <c r="D91" s="346"/>
      <c r="E91" s="346"/>
      <c r="F91" s="346"/>
      <c r="G91" s="346"/>
    </row>
    <row r="92" spans="1:7" x14ac:dyDescent="0.4">
      <c r="A92" s="346"/>
      <c r="B92" s="346"/>
      <c r="C92" s="346"/>
      <c r="D92" s="346"/>
      <c r="E92" s="346"/>
      <c r="F92" s="346"/>
      <c r="G92" s="346"/>
    </row>
    <row r="93" spans="1:7" x14ac:dyDescent="0.4">
      <c r="A93" s="346"/>
      <c r="B93" s="346"/>
      <c r="C93" s="346"/>
      <c r="D93" s="346"/>
      <c r="E93" s="346"/>
      <c r="F93" s="346"/>
      <c r="G93" s="346"/>
    </row>
    <row r="94" spans="1:7" x14ac:dyDescent="0.4">
      <c r="A94" s="346"/>
      <c r="B94" s="346"/>
      <c r="C94" s="346"/>
      <c r="D94" s="346"/>
      <c r="E94" s="346"/>
      <c r="F94" s="346"/>
      <c r="G94" s="346"/>
    </row>
    <row r="95" spans="1:7" x14ac:dyDescent="0.4">
      <c r="A95" s="346"/>
      <c r="B95" s="346"/>
      <c r="C95" s="346"/>
      <c r="D95" s="346"/>
      <c r="E95" s="346"/>
      <c r="F95" s="346"/>
      <c r="G95" s="346"/>
    </row>
    <row r="96" spans="1:7" x14ac:dyDescent="0.4">
      <c r="A96" s="346"/>
      <c r="B96" s="346"/>
      <c r="C96" s="346"/>
      <c r="D96" s="346"/>
      <c r="E96" s="346"/>
      <c r="F96" s="346"/>
      <c r="G96" s="346"/>
    </row>
    <row r="97" spans="1:7" x14ac:dyDescent="0.4">
      <c r="A97" s="346"/>
      <c r="B97" s="346"/>
      <c r="C97" s="346"/>
      <c r="D97" s="346"/>
      <c r="E97" s="346"/>
      <c r="F97" s="346"/>
      <c r="G97" s="346"/>
    </row>
    <row r="98" spans="1:7" x14ac:dyDescent="0.4">
      <c r="A98" s="346"/>
      <c r="B98" s="346"/>
      <c r="C98" s="346"/>
      <c r="D98" s="346"/>
      <c r="E98" s="346"/>
      <c r="F98" s="346"/>
      <c r="G98" s="346"/>
    </row>
    <row r="99" spans="1:7" x14ac:dyDescent="0.4">
      <c r="A99" s="346"/>
      <c r="B99" s="346"/>
      <c r="C99" s="346"/>
      <c r="D99" s="346"/>
      <c r="E99" s="346"/>
      <c r="F99" s="346"/>
      <c r="G99" s="346"/>
    </row>
    <row r="100" spans="1:7" x14ac:dyDescent="0.4">
      <c r="A100" s="346"/>
      <c r="B100" s="346"/>
      <c r="C100" s="346"/>
      <c r="D100" s="346"/>
      <c r="E100" s="346"/>
      <c r="F100" s="346"/>
      <c r="G100" s="346"/>
    </row>
    <row r="101" spans="1:7" x14ac:dyDescent="0.4">
      <c r="A101" s="344"/>
      <c r="B101" s="344" t="s">
        <v>64</v>
      </c>
      <c r="C101" s="344"/>
      <c r="D101" s="344"/>
      <c r="E101" s="344"/>
      <c r="F101" s="344"/>
      <c r="G101" s="344"/>
    </row>
    <row r="102" spans="1:7" x14ac:dyDescent="0.4">
      <c r="A102" s="346" t="s">
        <v>149</v>
      </c>
      <c r="B102" s="346"/>
      <c r="C102" s="346" t="s">
        <v>150</v>
      </c>
      <c r="D102" s="346"/>
      <c r="E102" s="346"/>
      <c r="F102" s="346"/>
      <c r="G102" s="346"/>
    </row>
    <row r="103" spans="1:7" x14ac:dyDescent="0.4">
      <c r="A103" s="346" t="s">
        <v>151</v>
      </c>
      <c r="B103" s="346"/>
      <c r="C103" s="346" t="s">
        <v>152</v>
      </c>
      <c r="D103" s="346"/>
      <c r="E103" s="346"/>
      <c r="F103" s="346"/>
      <c r="G103" s="346"/>
    </row>
    <row r="104" spans="1:7" x14ac:dyDescent="0.4">
      <c r="A104" s="346" t="s">
        <v>153</v>
      </c>
      <c r="B104" s="346"/>
      <c r="C104" s="346" t="s">
        <v>154</v>
      </c>
      <c r="D104" s="346"/>
      <c r="E104" s="346"/>
      <c r="F104" s="346"/>
      <c r="G104" s="346"/>
    </row>
    <row r="105" spans="1:7" x14ac:dyDescent="0.4">
      <c r="A105" s="346" t="s">
        <v>155</v>
      </c>
      <c r="B105" s="346"/>
      <c r="C105" s="346" t="s">
        <v>156</v>
      </c>
      <c r="D105" s="346"/>
      <c r="E105" s="346"/>
      <c r="F105" s="346"/>
      <c r="G105" s="346"/>
    </row>
    <row r="106" spans="1:7" x14ac:dyDescent="0.4">
      <c r="A106" s="346" t="s">
        <v>157</v>
      </c>
      <c r="B106" s="346"/>
      <c r="C106" s="346" t="s">
        <v>158</v>
      </c>
      <c r="D106" s="346"/>
      <c r="E106" s="346"/>
      <c r="F106" s="346"/>
      <c r="G106" s="346"/>
    </row>
    <row r="107" spans="1:7" x14ac:dyDescent="0.4">
      <c r="A107" s="346" t="s">
        <v>159</v>
      </c>
      <c r="B107" s="346"/>
      <c r="C107" s="346" t="s">
        <v>160</v>
      </c>
      <c r="D107" s="346"/>
      <c r="E107" s="346"/>
      <c r="F107" s="346"/>
      <c r="G107" s="346"/>
    </row>
    <row r="108" spans="1:7" x14ac:dyDescent="0.4">
      <c r="A108" s="346" t="s">
        <v>161</v>
      </c>
      <c r="B108" s="346"/>
      <c r="C108" s="346" t="s">
        <v>162</v>
      </c>
      <c r="D108" s="346"/>
      <c r="E108" s="346"/>
      <c r="F108" s="346"/>
      <c r="G108" s="346"/>
    </row>
    <row r="109" spans="1:7" x14ac:dyDescent="0.4">
      <c r="A109" s="346" t="s">
        <v>163</v>
      </c>
      <c r="B109" s="346"/>
      <c r="C109" s="346" t="s">
        <v>164</v>
      </c>
      <c r="D109" s="346"/>
      <c r="E109" s="346"/>
      <c r="F109" s="346"/>
      <c r="G109" s="346"/>
    </row>
    <row r="110" spans="1:7" x14ac:dyDescent="0.4">
      <c r="A110" s="346" t="s">
        <v>165</v>
      </c>
      <c r="B110" s="346"/>
      <c r="C110" s="346" t="s">
        <v>166</v>
      </c>
      <c r="D110" s="346"/>
      <c r="E110" s="346"/>
      <c r="F110" s="346"/>
      <c r="G110" s="346"/>
    </row>
    <row r="111" spans="1:7" x14ac:dyDescent="0.4">
      <c r="A111" s="346" t="s">
        <v>167</v>
      </c>
      <c r="B111" s="346"/>
      <c r="C111" s="346" t="s">
        <v>168</v>
      </c>
      <c r="D111" s="346"/>
      <c r="E111" s="346"/>
      <c r="F111" s="346"/>
      <c r="G111" s="346"/>
    </row>
    <row r="112" spans="1:7" x14ac:dyDescent="0.4">
      <c r="A112" s="346" t="s">
        <v>169</v>
      </c>
      <c r="B112" s="346"/>
      <c r="C112" s="346" t="s">
        <v>170</v>
      </c>
      <c r="D112" s="346" t="s">
        <v>171</v>
      </c>
      <c r="E112" s="346"/>
      <c r="F112" s="346"/>
      <c r="G112" s="346"/>
    </row>
    <row r="113" spans="1:7" x14ac:dyDescent="0.4">
      <c r="A113" s="346" t="s">
        <v>157</v>
      </c>
      <c r="B113" s="346"/>
      <c r="C113" s="346" t="s">
        <v>158</v>
      </c>
      <c r="D113" s="346"/>
      <c r="E113" s="346"/>
      <c r="F113" s="346"/>
      <c r="G113" s="346"/>
    </row>
    <row r="114" spans="1:7" x14ac:dyDescent="0.4">
      <c r="A114" s="346" t="s">
        <v>172</v>
      </c>
      <c r="B114" s="346"/>
      <c r="C114" s="346" t="s">
        <v>164</v>
      </c>
      <c r="D114" s="346"/>
      <c r="E114" s="346"/>
      <c r="F114" s="346"/>
      <c r="G114" s="346"/>
    </row>
    <row r="115" spans="1:7" x14ac:dyDescent="0.4">
      <c r="A115" s="346" t="s">
        <v>173</v>
      </c>
      <c r="B115" s="346"/>
      <c r="C115" s="346" t="s">
        <v>174</v>
      </c>
      <c r="D115" s="346"/>
      <c r="E115" s="346"/>
      <c r="F115" s="346"/>
      <c r="G115" s="346"/>
    </row>
    <row r="116" spans="1:7" x14ac:dyDescent="0.4">
      <c r="A116" s="346" t="s">
        <v>175</v>
      </c>
      <c r="B116" s="346"/>
      <c r="C116" s="346" t="s">
        <v>176</v>
      </c>
      <c r="D116" s="346"/>
      <c r="E116" s="346"/>
      <c r="F116" s="346"/>
      <c r="G116" s="346"/>
    </row>
    <row r="117" spans="1:7" x14ac:dyDescent="0.4">
      <c r="A117" s="346" t="s">
        <v>177</v>
      </c>
      <c r="B117" s="346"/>
      <c r="C117" s="346" t="s">
        <v>178</v>
      </c>
      <c r="D117" s="346"/>
      <c r="E117" s="346"/>
      <c r="F117" s="346"/>
      <c r="G117" s="346"/>
    </row>
    <row r="118" spans="1:7" x14ac:dyDescent="0.4">
      <c r="A118" s="346" t="s">
        <v>2227</v>
      </c>
      <c r="B118" s="346"/>
      <c r="C118" s="346" t="s">
        <v>2228</v>
      </c>
      <c r="D118" s="346" t="s">
        <v>2382</v>
      </c>
      <c r="E118" s="346"/>
      <c r="F118" s="346"/>
      <c r="G118" s="346"/>
    </row>
    <row r="119" spans="1:7" x14ac:dyDescent="0.4">
      <c r="A119" s="346"/>
      <c r="B119" s="346"/>
      <c r="C119" s="346"/>
      <c r="D119" s="346"/>
      <c r="E119" s="346"/>
      <c r="F119" s="346"/>
      <c r="G119" s="346"/>
    </row>
    <row r="120" spans="1:7" x14ac:dyDescent="0.4">
      <c r="A120" s="346"/>
      <c r="B120" s="346"/>
      <c r="C120" s="346"/>
      <c r="D120" s="346"/>
      <c r="E120" s="346"/>
      <c r="F120" s="346"/>
      <c r="G120" s="346"/>
    </row>
    <row r="121" spans="1:7" x14ac:dyDescent="0.4">
      <c r="A121" s="346"/>
      <c r="B121" s="346"/>
      <c r="C121" s="346"/>
      <c r="D121" s="346"/>
      <c r="E121" s="346"/>
      <c r="F121" s="346"/>
      <c r="G121" s="346"/>
    </row>
    <row r="122" spans="1:7" x14ac:dyDescent="0.4">
      <c r="A122" s="346"/>
      <c r="B122" s="346"/>
      <c r="C122" s="346"/>
      <c r="D122" s="346"/>
      <c r="E122" s="346"/>
      <c r="F122" s="346"/>
      <c r="G122" s="346"/>
    </row>
    <row r="123" spans="1:7" x14ac:dyDescent="0.4">
      <c r="A123" s="346"/>
      <c r="B123" s="346"/>
      <c r="C123" s="346"/>
      <c r="D123" s="346"/>
      <c r="E123" s="346"/>
      <c r="F123" s="346"/>
      <c r="G123" s="346"/>
    </row>
    <row r="124" spans="1:7" x14ac:dyDescent="0.4">
      <c r="A124" s="346"/>
      <c r="B124" s="346"/>
      <c r="C124" s="346"/>
      <c r="D124" s="346"/>
      <c r="E124" s="346"/>
      <c r="F124" s="346"/>
      <c r="G124" s="346"/>
    </row>
    <row r="125" spans="1:7" x14ac:dyDescent="0.4">
      <c r="A125" s="346"/>
      <c r="B125" s="346"/>
      <c r="C125" s="346"/>
      <c r="D125" s="346"/>
      <c r="E125" s="346"/>
      <c r="F125" s="346"/>
      <c r="G125" s="346"/>
    </row>
    <row r="126" spans="1:7" x14ac:dyDescent="0.4">
      <c r="A126" s="346"/>
      <c r="B126" s="346"/>
      <c r="C126" s="346"/>
      <c r="D126" s="346"/>
      <c r="E126" s="346"/>
      <c r="F126" s="346"/>
      <c r="G126" s="346"/>
    </row>
    <row r="127" spans="1:7" x14ac:dyDescent="0.4">
      <c r="A127" s="346"/>
      <c r="B127" s="346"/>
      <c r="C127" s="346"/>
      <c r="D127" s="346"/>
      <c r="E127" s="346"/>
      <c r="F127" s="346"/>
      <c r="G127" s="346"/>
    </row>
    <row r="128" spans="1:7" x14ac:dyDescent="0.4">
      <c r="A128" s="346"/>
      <c r="B128" s="346"/>
      <c r="C128" s="346"/>
      <c r="D128" s="346"/>
      <c r="E128" s="346"/>
      <c r="F128" s="346"/>
      <c r="G128" s="346"/>
    </row>
    <row r="129" spans="1:7" x14ac:dyDescent="0.4">
      <c r="A129" s="346"/>
      <c r="B129" s="346"/>
      <c r="C129" s="346"/>
      <c r="D129" s="346"/>
      <c r="E129" s="346"/>
      <c r="F129" s="346"/>
      <c r="G129" s="346"/>
    </row>
    <row r="130" spans="1:7" x14ac:dyDescent="0.4">
      <c r="A130" s="346"/>
      <c r="B130" s="346"/>
      <c r="C130" s="346"/>
      <c r="D130" s="346"/>
      <c r="E130" s="346"/>
      <c r="F130" s="346"/>
      <c r="G130" s="346"/>
    </row>
    <row r="131" spans="1:7" x14ac:dyDescent="0.4">
      <c r="A131" s="346"/>
      <c r="B131" s="346"/>
      <c r="C131" s="346"/>
      <c r="D131" s="346"/>
      <c r="E131" s="346"/>
      <c r="F131" s="346"/>
      <c r="G131" s="346"/>
    </row>
    <row r="132" spans="1:7" x14ac:dyDescent="0.4">
      <c r="A132" s="346"/>
      <c r="B132" s="346"/>
      <c r="C132" s="346"/>
      <c r="D132" s="346"/>
      <c r="E132" s="346"/>
      <c r="F132" s="346"/>
      <c r="G132" s="346"/>
    </row>
    <row r="133" spans="1:7" x14ac:dyDescent="0.4">
      <c r="A133" s="346"/>
      <c r="B133" s="346"/>
      <c r="C133" s="346"/>
      <c r="D133" s="346"/>
      <c r="E133" s="346"/>
      <c r="F133" s="346"/>
      <c r="G133" s="346"/>
    </row>
    <row r="134" spans="1:7" x14ac:dyDescent="0.4">
      <c r="A134" s="346"/>
      <c r="B134" s="346"/>
      <c r="C134" s="346"/>
      <c r="D134" s="346"/>
      <c r="E134" s="346"/>
      <c r="F134" s="346"/>
      <c r="G134" s="346"/>
    </row>
    <row r="135" spans="1:7" x14ac:dyDescent="0.4">
      <c r="A135" s="346"/>
      <c r="B135" s="346"/>
      <c r="C135" s="346"/>
      <c r="D135" s="346"/>
      <c r="E135" s="346"/>
      <c r="F135" s="346"/>
      <c r="G135" s="346"/>
    </row>
    <row r="136" spans="1:7" x14ac:dyDescent="0.4">
      <c r="A136" s="346"/>
      <c r="B136" s="346"/>
      <c r="C136" s="346"/>
      <c r="D136" s="346"/>
      <c r="E136" s="346"/>
      <c r="F136" s="346"/>
      <c r="G136" s="346"/>
    </row>
    <row r="137" spans="1:7" x14ac:dyDescent="0.4">
      <c r="A137" s="346"/>
      <c r="B137" s="346"/>
      <c r="C137" s="346"/>
      <c r="D137" s="346"/>
      <c r="E137" s="346"/>
      <c r="F137" s="346"/>
      <c r="G137" s="346"/>
    </row>
    <row r="138" spans="1:7" x14ac:dyDescent="0.4">
      <c r="A138" s="346"/>
      <c r="B138" s="346"/>
      <c r="C138" s="346"/>
      <c r="D138" s="346"/>
      <c r="E138" s="346"/>
      <c r="F138" s="346"/>
      <c r="G138" s="346"/>
    </row>
    <row r="139" spans="1:7" x14ac:dyDescent="0.4">
      <c r="A139" s="346"/>
      <c r="B139" s="346"/>
      <c r="C139" s="346"/>
      <c r="D139" s="346"/>
      <c r="E139" s="346"/>
      <c r="F139" s="346"/>
      <c r="G139" s="346"/>
    </row>
    <row r="140" spans="1:7" x14ac:dyDescent="0.4">
      <c r="A140" s="346"/>
      <c r="B140" s="346"/>
      <c r="C140" s="346"/>
      <c r="D140" s="346"/>
      <c r="E140" s="346"/>
      <c r="F140" s="346"/>
      <c r="G140" s="346"/>
    </row>
    <row r="141" spans="1:7" x14ac:dyDescent="0.4">
      <c r="A141" s="344"/>
      <c r="B141" s="344" t="s">
        <v>67</v>
      </c>
      <c r="C141" s="344"/>
      <c r="D141" s="344"/>
      <c r="E141" s="344"/>
      <c r="F141" s="344"/>
      <c r="G141" s="344"/>
    </row>
    <row r="142" spans="1:7" x14ac:dyDescent="0.4">
      <c r="A142" s="346" t="s">
        <v>179</v>
      </c>
      <c r="B142" s="346"/>
      <c r="C142" s="346" t="s">
        <v>180</v>
      </c>
      <c r="D142" s="346" t="s">
        <v>181</v>
      </c>
      <c r="E142" s="346"/>
      <c r="F142" s="346"/>
      <c r="G142" s="346"/>
    </row>
    <row r="143" spans="1:7" x14ac:dyDescent="0.4">
      <c r="A143" s="346" t="s">
        <v>182</v>
      </c>
      <c r="B143" s="346"/>
      <c r="C143" s="346" t="s">
        <v>183</v>
      </c>
      <c r="D143" s="346"/>
      <c r="E143" s="346"/>
      <c r="F143" s="346"/>
      <c r="G143" s="346"/>
    </row>
    <row r="144" spans="1:7" x14ac:dyDescent="0.4">
      <c r="A144" s="346" t="s">
        <v>184</v>
      </c>
      <c r="B144" s="346"/>
      <c r="C144" s="346" t="s">
        <v>185</v>
      </c>
      <c r="D144" s="346"/>
      <c r="E144" s="346"/>
      <c r="F144" s="346"/>
      <c r="G144" s="346"/>
    </row>
    <row r="145" spans="1:7" x14ac:dyDescent="0.4">
      <c r="A145" s="346" t="s">
        <v>186</v>
      </c>
      <c r="B145" s="346"/>
      <c r="C145" s="346" t="s">
        <v>187</v>
      </c>
      <c r="D145" s="346"/>
      <c r="E145" s="346"/>
      <c r="F145" s="346"/>
      <c r="G145" s="346"/>
    </row>
    <row r="146" spans="1:7" x14ac:dyDescent="0.4">
      <c r="A146" s="346" t="s">
        <v>188</v>
      </c>
      <c r="B146" s="346"/>
      <c r="C146" s="346" t="s">
        <v>189</v>
      </c>
      <c r="D146" s="346"/>
      <c r="E146" s="346"/>
      <c r="F146" s="346"/>
      <c r="G146" s="346"/>
    </row>
    <row r="147" spans="1:7" x14ac:dyDescent="0.4">
      <c r="A147" s="346" t="s">
        <v>190</v>
      </c>
      <c r="B147" s="346"/>
      <c r="C147" s="346" t="s">
        <v>191</v>
      </c>
      <c r="D147" s="346"/>
      <c r="E147" s="346"/>
      <c r="F147" s="346"/>
      <c r="G147" s="346"/>
    </row>
    <row r="148" spans="1:7" x14ac:dyDescent="0.4">
      <c r="A148" s="346" t="s">
        <v>192</v>
      </c>
      <c r="B148" s="346"/>
      <c r="C148" s="346" t="s">
        <v>193</v>
      </c>
      <c r="D148" s="346"/>
      <c r="E148" s="346"/>
      <c r="F148" s="346"/>
      <c r="G148" s="346"/>
    </row>
    <row r="149" spans="1:7" x14ac:dyDescent="0.4">
      <c r="A149" s="346" t="s">
        <v>194</v>
      </c>
      <c r="B149" s="346"/>
      <c r="C149" s="346" t="s">
        <v>195</v>
      </c>
      <c r="D149" s="346"/>
      <c r="E149" s="346"/>
      <c r="F149" s="346"/>
      <c r="G149" s="346"/>
    </row>
    <row r="150" spans="1:7" x14ac:dyDescent="0.4">
      <c r="A150" s="346" t="s">
        <v>196</v>
      </c>
      <c r="B150" s="346"/>
      <c r="C150" s="346" t="s">
        <v>197</v>
      </c>
      <c r="D150" s="346"/>
      <c r="E150" s="346"/>
      <c r="F150" s="346"/>
      <c r="G150" s="346"/>
    </row>
    <row r="151" spans="1:7" x14ac:dyDescent="0.4">
      <c r="A151" s="346" t="s">
        <v>198</v>
      </c>
      <c r="B151" s="346"/>
      <c r="C151" s="346" t="s">
        <v>199</v>
      </c>
      <c r="D151" s="346"/>
      <c r="E151" s="346"/>
      <c r="F151" s="346"/>
      <c r="G151" s="346"/>
    </row>
    <row r="152" spans="1:7" x14ac:dyDescent="0.4">
      <c r="A152" s="346" t="s">
        <v>200</v>
      </c>
      <c r="B152" s="346"/>
      <c r="C152" s="346" t="s">
        <v>201</v>
      </c>
      <c r="D152" s="346" t="s">
        <v>202</v>
      </c>
      <c r="E152" s="346"/>
      <c r="F152" s="346"/>
      <c r="G152" s="346"/>
    </row>
    <row r="153" spans="1:7" x14ac:dyDescent="0.4">
      <c r="A153" s="346" t="s">
        <v>203</v>
      </c>
      <c r="B153" s="346"/>
      <c r="C153" s="346" t="s">
        <v>204</v>
      </c>
      <c r="D153" s="346" t="s">
        <v>205</v>
      </c>
      <c r="E153" s="346"/>
      <c r="F153" s="346"/>
      <c r="G153" s="346"/>
    </row>
    <row r="154" spans="1:7" x14ac:dyDescent="0.4">
      <c r="A154" s="346" t="s">
        <v>206</v>
      </c>
      <c r="B154" s="346"/>
      <c r="C154" s="346" t="s">
        <v>207</v>
      </c>
      <c r="D154" s="346"/>
      <c r="E154" s="346"/>
      <c r="F154" s="346"/>
      <c r="G154" s="346"/>
    </row>
    <row r="155" spans="1:7" x14ac:dyDescent="0.4">
      <c r="A155" s="346" t="s">
        <v>208</v>
      </c>
      <c r="B155" s="346"/>
      <c r="C155" s="346" t="s">
        <v>209</v>
      </c>
      <c r="D155" s="346" t="s">
        <v>210</v>
      </c>
      <c r="E155" s="346"/>
      <c r="F155" s="346"/>
      <c r="G155" s="346"/>
    </row>
    <row r="156" spans="1:7" x14ac:dyDescent="0.4">
      <c r="A156" s="346" t="s">
        <v>211</v>
      </c>
      <c r="B156" s="346"/>
      <c r="C156" s="346" t="s">
        <v>212</v>
      </c>
      <c r="D156" s="346"/>
      <c r="E156" s="346"/>
      <c r="F156" s="346"/>
      <c r="G156" s="346"/>
    </row>
    <row r="157" spans="1:7" x14ac:dyDescent="0.4">
      <c r="A157" s="346" t="s">
        <v>213</v>
      </c>
      <c r="B157" s="346"/>
      <c r="C157" s="346" t="s">
        <v>214</v>
      </c>
      <c r="D157" s="346"/>
      <c r="E157" s="346"/>
      <c r="F157" s="346"/>
      <c r="G157" s="346"/>
    </row>
    <row r="158" spans="1:7" x14ac:dyDescent="0.4">
      <c r="A158" s="346" t="s">
        <v>215</v>
      </c>
      <c r="B158" s="346"/>
      <c r="C158" s="346" t="s">
        <v>216</v>
      </c>
      <c r="D158" s="346"/>
      <c r="E158" s="346"/>
      <c r="F158" s="346"/>
      <c r="G158" s="346"/>
    </row>
    <row r="159" spans="1:7" x14ac:dyDescent="0.4">
      <c r="A159" s="346" t="s">
        <v>217</v>
      </c>
      <c r="B159" s="346"/>
      <c r="C159" s="346" t="s">
        <v>218</v>
      </c>
      <c r="D159" s="346"/>
      <c r="E159" s="346"/>
      <c r="F159" s="346"/>
      <c r="G159" s="346"/>
    </row>
    <row r="160" spans="1:7" x14ac:dyDescent="0.4">
      <c r="A160" s="346" t="s">
        <v>219</v>
      </c>
      <c r="B160" s="346"/>
      <c r="C160" s="346" t="s">
        <v>220</v>
      </c>
      <c r="D160" s="346"/>
      <c r="E160" s="346"/>
      <c r="F160" s="346"/>
      <c r="G160" s="346"/>
    </row>
    <row r="161" spans="1:7" x14ac:dyDescent="0.4">
      <c r="A161" s="346" t="s">
        <v>221</v>
      </c>
      <c r="B161" s="346"/>
      <c r="C161" s="346" t="s">
        <v>222</v>
      </c>
      <c r="D161" s="346"/>
      <c r="E161" s="346"/>
      <c r="F161" s="346"/>
      <c r="G161" s="346"/>
    </row>
    <row r="162" spans="1:7" x14ac:dyDescent="0.4">
      <c r="A162" s="346" t="s">
        <v>223</v>
      </c>
      <c r="B162" s="346"/>
      <c r="C162" s="346" t="s">
        <v>224</v>
      </c>
      <c r="D162" s="346" t="s">
        <v>2740</v>
      </c>
      <c r="E162" s="346"/>
      <c r="F162" s="346"/>
      <c r="G162" s="346"/>
    </row>
    <row r="163" spans="1:7" x14ac:dyDescent="0.4">
      <c r="A163" s="346"/>
      <c r="B163" s="346"/>
      <c r="C163" s="346"/>
      <c r="D163" s="346"/>
      <c r="E163" s="346"/>
      <c r="F163" s="346"/>
      <c r="G163" s="346"/>
    </row>
    <row r="164" spans="1:7" x14ac:dyDescent="0.4">
      <c r="A164" s="346"/>
      <c r="B164" s="346"/>
      <c r="C164" s="346"/>
      <c r="D164" s="346"/>
      <c r="E164" s="346"/>
      <c r="F164" s="346"/>
      <c r="G164" s="346"/>
    </row>
    <row r="165" spans="1:7" x14ac:dyDescent="0.4">
      <c r="A165" s="346"/>
      <c r="B165" s="346"/>
      <c r="C165" s="346"/>
      <c r="D165" s="346"/>
      <c r="E165" s="346"/>
      <c r="F165" s="346"/>
      <c r="G165" s="346"/>
    </row>
    <row r="166" spans="1:7" x14ac:dyDescent="0.4">
      <c r="A166" s="346"/>
      <c r="B166" s="346"/>
      <c r="C166" s="346"/>
      <c r="D166" s="346"/>
      <c r="E166" s="346"/>
      <c r="F166" s="346"/>
      <c r="G166" s="346"/>
    </row>
    <row r="167" spans="1:7" x14ac:dyDescent="0.4">
      <c r="A167" s="346"/>
      <c r="B167" s="346"/>
      <c r="C167" s="346"/>
      <c r="D167" s="346"/>
      <c r="E167" s="346"/>
      <c r="F167" s="346"/>
      <c r="G167" s="346"/>
    </row>
    <row r="168" spans="1:7" x14ac:dyDescent="0.4">
      <c r="A168" s="346"/>
      <c r="B168" s="346"/>
      <c r="C168" s="346"/>
      <c r="D168" s="346"/>
      <c r="E168" s="346"/>
      <c r="F168" s="346"/>
      <c r="G168" s="346"/>
    </row>
    <row r="169" spans="1:7" x14ac:dyDescent="0.4">
      <c r="A169" s="346"/>
      <c r="B169" s="346"/>
      <c r="C169" s="346"/>
      <c r="D169" s="346"/>
      <c r="E169" s="346"/>
      <c r="F169" s="346"/>
      <c r="G169" s="346"/>
    </row>
    <row r="170" spans="1:7" x14ac:dyDescent="0.4">
      <c r="A170" s="346"/>
      <c r="B170" s="346"/>
      <c r="C170" s="346"/>
      <c r="D170" s="346"/>
      <c r="E170" s="346"/>
      <c r="F170" s="346"/>
      <c r="G170" s="346"/>
    </row>
    <row r="171" spans="1:7" x14ac:dyDescent="0.4">
      <c r="A171" s="346"/>
      <c r="B171" s="346"/>
      <c r="C171" s="346"/>
      <c r="D171" s="346"/>
      <c r="E171" s="346"/>
      <c r="F171" s="346"/>
      <c r="G171" s="346"/>
    </row>
    <row r="172" spans="1:7" x14ac:dyDescent="0.4">
      <c r="A172" s="346"/>
      <c r="B172" s="346"/>
      <c r="C172" s="346"/>
      <c r="D172" s="346"/>
      <c r="E172" s="346"/>
      <c r="F172" s="346"/>
      <c r="G172" s="346"/>
    </row>
    <row r="173" spans="1:7" x14ac:dyDescent="0.4">
      <c r="A173" s="346"/>
      <c r="B173" s="346"/>
      <c r="C173" s="346"/>
      <c r="D173" s="346"/>
      <c r="E173" s="346"/>
      <c r="F173" s="346"/>
      <c r="G173" s="346"/>
    </row>
    <row r="174" spans="1:7" x14ac:dyDescent="0.4">
      <c r="A174" s="346"/>
      <c r="B174" s="346"/>
      <c r="C174" s="346"/>
      <c r="D174" s="346"/>
      <c r="E174" s="346"/>
      <c r="F174" s="346"/>
      <c r="G174" s="346"/>
    </row>
    <row r="175" spans="1:7" x14ac:dyDescent="0.4">
      <c r="A175" s="346"/>
      <c r="B175" s="346"/>
      <c r="C175" s="346"/>
      <c r="D175" s="346"/>
      <c r="E175" s="346"/>
      <c r="F175" s="346"/>
      <c r="G175" s="346"/>
    </row>
    <row r="176" spans="1:7" x14ac:dyDescent="0.4">
      <c r="A176" s="346"/>
      <c r="B176" s="346"/>
      <c r="C176" s="346"/>
      <c r="D176" s="346"/>
      <c r="E176" s="346"/>
      <c r="F176" s="346"/>
      <c r="G176" s="346"/>
    </row>
    <row r="177" spans="1:7" x14ac:dyDescent="0.4">
      <c r="A177" s="346"/>
      <c r="B177" s="346"/>
      <c r="C177" s="346"/>
      <c r="D177" s="346"/>
      <c r="E177" s="346"/>
      <c r="F177" s="346"/>
      <c r="G177" s="346"/>
    </row>
    <row r="178" spans="1:7" x14ac:dyDescent="0.4">
      <c r="A178" s="346"/>
      <c r="B178" s="346"/>
      <c r="C178" s="346"/>
      <c r="D178" s="346"/>
      <c r="E178" s="346"/>
      <c r="F178" s="346"/>
      <c r="G178" s="346"/>
    </row>
    <row r="179" spans="1:7" x14ac:dyDescent="0.4">
      <c r="A179" s="346"/>
      <c r="B179" s="346"/>
      <c r="C179" s="346"/>
      <c r="D179" s="346"/>
      <c r="E179" s="346"/>
      <c r="F179" s="346"/>
      <c r="G179" s="346"/>
    </row>
    <row r="180" spans="1:7" x14ac:dyDescent="0.4">
      <c r="A180" s="346"/>
      <c r="B180" s="346"/>
      <c r="C180" s="346"/>
      <c r="D180" s="346"/>
      <c r="E180" s="346"/>
      <c r="F180" s="346"/>
      <c r="G180" s="346"/>
    </row>
    <row r="181" spans="1:7" x14ac:dyDescent="0.4">
      <c r="A181" s="346"/>
      <c r="B181" s="346"/>
      <c r="C181" s="346"/>
      <c r="D181" s="346"/>
      <c r="E181" s="346"/>
      <c r="F181" s="346"/>
      <c r="G181" s="346"/>
    </row>
    <row r="182" spans="1:7" x14ac:dyDescent="0.4">
      <c r="A182" s="346"/>
      <c r="B182" s="346"/>
      <c r="C182" s="346"/>
      <c r="D182" s="346"/>
      <c r="E182" s="346"/>
      <c r="F182" s="346"/>
      <c r="G182" s="346"/>
    </row>
    <row r="183" spans="1:7" x14ac:dyDescent="0.4">
      <c r="A183" s="346"/>
      <c r="B183" s="346"/>
      <c r="C183" s="346"/>
      <c r="D183" s="346"/>
      <c r="E183" s="346"/>
      <c r="F183" s="346"/>
      <c r="G183" s="346"/>
    </row>
    <row r="184" spans="1:7" x14ac:dyDescent="0.4">
      <c r="A184" s="346"/>
      <c r="B184" s="346"/>
      <c r="C184" s="346"/>
      <c r="D184" s="346"/>
      <c r="E184" s="346"/>
      <c r="F184" s="346"/>
      <c r="G184" s="346"/>
    </row>
    <row r="185" spans="1:7" x14ac:dyDescent="0.4">
      <c r="A185" s="346"/>
      <c r="B185" s="346"/>
      <c r="C185" s="346"/>
      <c r="D185" s="346"/>
      <c r="E185" s="346"/>
      <c r="F185" s="346"/>
      <c r="G185" s="346"/>
    </row>
    <row r="186" spans="1:7" x14ac:dyDescent="0.4">
      <c r="A186" s="346"/>
      <c r="B186" s="346"/>
      <c r="C186" s="346"/>
      <c r="D186" s="346"/>
      <c r="E186" s="346"/>
      <c r="F186" s="346"/>
      <c r="G186" s="346"/>
    </row>
    <row r="187" spans="1:7" x14ac:dyDescent="0.4">
      <c r="A187" s="346"/>
      <c r="B187" s="346"/>
      <c r="C187" s="346"/>
      <c r="D187" s="346"/>
      <c r="E187" s="346"/>
      <c r="F187" s="346"/>
      <c r="G187" s="346"/>
    </row>
    <row r="188" spans="1:7" x14ac:dyDescent="0.4">
      <c r="A188" s="346"/>
      <c r="B188" s="346"/>
      <c r="C188" s="346"/>
      <c r="D188" s="346"/>
      <c r="E188" s="346"/>
      <c r="F188" s="346"/>
      <c r="G188" s="346"/>
    </row>
    <row r="189" spans="1:7" x14ac:dyDescent="0.4">
      <c r="A189" s="346"/>
      <c r="B189" s="346"/>
      <c r="C189" s="346"/>
      <c r="D189" s="346"/>
      <c r="E189" s="346"/>
      <c r="F189" s="346"/>
      <c r="G189" s="346"/>
    </row>
    <row r="190" spans="1:7" x14ac:dyDescent="0.4">
      <c r="A190" s="346"/>
      <c r="B190" s="346"/>
      <c r="C190" s="346"/>
      <c r="D190" s="346"/>
      <c r="E190" s="346"/>
      <c r="F190" s="346"/>
      <c r="G190" s="346"/>
    </row>
    <row r="191" spans="1:7" x14ac:dyDescent="0.4">
      <c r="A191" s="346"/>
      <c r="B191" s="346"/>
      <c r="C191" s="346"/>
      <c r="D191" s="346"/>
      <c r="E191" s="346"/>
      <c r="F191" s="346"/>
      <c r="G191" s="346"/>
    </row>
    <row r="192" spans="1:7" x14ac:dyDescent="0.4">
      <c r="A192" s="346"/>
      <c r="B192" s="346"/>
      <c r="C192" s="346"/>
      <c r="D192" s="346"/>
      <c r="E192" s="346"/>
      <c r="F192" s="346"/>
      <c r="G192" s="346"/>
    </row>
    <row r="193" spans="1:7" x14ac:dyDescent="0.4">
      <c r="A193" s="346"/>
      <c r="B193" s="346"/>
      <c r="C193" s="346"/>
      <c r="D193" s="346"/>
      <c r="E193" s="346"/>
      <c r="F193" s="346"/>
      <c r="G193" s="346"/>
    </row>
    <row r="194" spans="1:7" x14ac:dyDescent="0.4">
      <c r="A194" s="346"/>
      <c r="B194" s="346"/>
      <c r="C194" s="346"/>
      <c r="D194" s="346"/>
      <c r="E194" s="346"/>
      <c r="F194" s="346"/>
      <c r="G194" s="346"/>
    </row>
    <row r="195" spans="1:7" x14ac:dyDescent="0.4">
      <c r="A195" s="346"/>
      <c r="B195" s="346"/>
      <c r="C195" s="346"/>
      <c r="D195" s="346"/>
      <c r="E195" s="346"/>
      <c r="F195" s="346"/>
      <c r="G195" s="346"/>
    </row>
    <row r="196" spans="1:7" x14ac:dyDescent="0.4">
      <c r="A196" s="346"/>
      <c r="B196" s="346"/>
      <c r="C196" s="346"/>
      <c r="D196" s="346"/>
      <c r="E196" s="346"/>
      <c r="F196" s="346"/>
      <c r="G196" s="346"/>
    </row>
    <row r="197" spans="1:7" x14ac:dyDescent="0.4">
      <c r="A197" s="346"/>
      <c r="B197" s="346"/>
      <c r="C197" s="346"/>
      <c r="D197" s="346"/>
      <c r="E197" s="346"/>
      <c r="F197" s="346"/>
      <c r="G197" s="346"/>
    </row>
    <row r="198" spans="1:7" x14ac:dyDescent="0.4">
      <c r="A198" s="346"/>
      <c r="B198" s="346"/>
      <c r="C198" s="346"/>
      <c r="D198" s="346"/>
      <c r="E198" s="346"/>
      <c r="F198" s="346"/>
      <c r="G198" s="346"/>
    </row>
    <row r="199" spans="1:7" x14ac:dyDescent="0.4">
      <c r="A199" s="346"/>
      <c r="B199" s="346"/>
      <c r="C199" s="346"/>
      <c r="D199" s="346"/>
      <c r="E199" s="346"/>
      <c r="F199" s="346"/>
      <c r="G199" s="346"/>
    </row>
    <row r="200" spans="1:7" x14ac:dyDescent="0.4">
      <c r="A200" s="346"/>
      <c r="B200" s="346"/>
      <c r="C200" s="346"/>
      <c r="D200" s="346"/>
      <c r="E200" s="346"/>
      <c r="F200" s="346"/>
      <c r="G200" s="346"/>
    </row>
    <row r="201" spans="1:7" x14ac:dyDescent="0.4">
      <c r="A201" s="344"/>
      <c r="B201" s="344" t="s">
        <v>70</v>
      </c>
      <c r="C201" s="344"/>
      <c r="D201" s="344"/>
      <c r="E201" s="344"/>
      <c r="F201" s="344"/>
      <c r="G201" s="344"/>
    </row>
    <row r="202" spans="1:7" x14ac:dyDescent="0.4">
      <c r="A202" s="346" t="s">
        <v>225</v>
      </c>
      <c r="B202" s="346"/>
      <c r="C202" s="346" t="s">
        <v>226</v>
      </c>
      <c r="D202" s="346"/>
      <c r="E202" s="346"/>
      <c r="F202" s="346"/>
      <c r="G202" s="346"/>
    </row>
    <row r="203" spans="1:7" x14ac:dyDescent="0.4">
      <c r="A203" s="346" t="s">
        <v>227</v>
      </c>
      <c r="B203" s="346"/>
      <c r="C203" s="346" t="s">
        <v>228</v>
      </c>
      <c r="D203" s="346"/>
      <c r="E203" s="346"/>
      <c r="F203" s="346"/>
      <c r="G203" s="346"/>
    </row>
    <row r="204" spans="1:7" x14ac:dyDescent="0.4">
      <c r="A204" s="346" t="s">
        <v>229</v>
      </c>
      <c r="B204" s="346"/>
      <c r="C204" s="346" t="s">
        <v>230</v>
      </c>
      <c r="D204" s="346"/>
      <c r="E204" s="346"/>
      <c r="F204" s="346"/>
      <c r="G204" s="346"/>
    </row>
    <row r="205" spans="1:7" x14ac:dyDescent="0.4">
      <c r="A205" s="346" t="s">
        <v>231</v>
      </c>
      <c r="B205" s="346"/>
      <c r="C205" s="346" t="s">
        <v>232</v>
      </c>
      <c r="D205" s="346" t="s">
        <v>11</v>
      </c>
      <c r="E205" s="346"/>
      <c r="F205" s="346"/>
      <c r="G205" s="346" t="s">
        <v>105</v>
      </c>
    </row>
    <row r="206" spans="1:7" x14ac:dyDescent="0.4">
      <c r="A206" s="346"/>
      <c r="B206" s="346"/>
      <c r="C206" s="346"/>
      <c r="D206" s="346"/>
      <c r="E206" s="346"/>
      <c r="F206" s="346"/>
      <c r="G206" s="346"/>
    </row>
    <row r="207" spans="1:7" x14ac:dyDescent="0.4">
      <c r="A207" s="346"/>
      <c r="B207" s="346"/>
      <c r="C207" s="346"/>
      <c r="D207" s="346"/>
      <c r="E207" s="346"/>
      <c r="F207" s="346"/>
      <c r="G207" s="346"/>
    </row>
    <row r="208" spans="1:7" x14ac:dyDescent="0.4">
      <c r="A208" s="346"/>
      <c r="B208" s="346"/>
      <c r="C208" s="346"/>
      <c r="D208" s="346"/>
      <c r="E208" s="346"/>
      <c r="F208" s="346"/>
      <c r="G208" s="346"/>
    </row>
    <row r="209" spans="1:7" x14ac:dyDescent="0.4">
      <c r="A209" s="346"/>
      <c r="B209" s="346"/>
      <c r="C209" s="346"/>
      <c r="D209" s="346"/>
      <c r="E209" s="346"/>
      <c r="F209" s="346"/>
      <c r="G209" s="346"/>
    </row>
    <row r="210" spans="1:7" x14ac:dyDescent="0.4">
      <c r="A210" s="346"/>
      <c r="B210" s="346"/>
      <c r="C210" s="346"/>
      <c r="D210" s="346"/>
      <c r="E210" s="346"/>
      <c r="F210" s="346"/>
      <c r="G210" s="346"/>
    </row>
    <row r="211" spans="1:7" x14ac:dyDescent="0.4">
      <c r="A211" s="346"/>
      <c r="B211" s="346"/>
      <c r="C211" s="346"/>
      <c r="D211" s="346"/>
      <c r="E211" s="346"/>
      <c r="F211" s="346"/>
      <c r="G211" s="346"/>
    </row>
    <row r="212" spans="1:7" x14ac:dyDescent="0.4">
      <c r="A212" s="346"/>
      <c r="B212" s="346"/>
      <c r="C212" s="346"/>
      <c r="D212" s="346"/>
      <c r="E212" s="346"/>
      <c r="F212" s="346"/>
      <c r="G212" s="346"/>
    </row>
    <row r="213" spans="1:7" x14ac:dyDescent="0.4">
      <c r="A213" s="346"/>
      <c r="B213" s="346"/>
      <c r="C213" s="346"/>
      <c r="D213" s="346"/>
      <c r="E213" s="346"/>
      <c r="F213" s="346"/>
      <c r="G213" s="346"/>
    </row>
    <row r="214" spans="1:7" x14ac:dyDescent="0.4">
      <c r="A214" s="346"/>
      <c r="B214" s="346"/>
      <c r="C214" s="346"/>
      <c r="D214" s="346"/>
      <c r="E214" s="346"/>
      <c r="F214" s="346"/>
      <c r="G214" s="346"/>
    </row>
    <row r="215" spans="1:7" x14ac:dyDescent="0.4">
      <c r="A215" s="346"/>
      <c r="B215" s="346"/>
      <c r="C215" s="346"/>
      <c r="D215" s="346"/>
      <c r="E215" s="346"/>
      <c r="F215" s="346"/>
      <c r="G215" s="346"/>
    </row>
    <row r="216" spans="1:7" x14ac:dyDescent="0.4">
      <c r="A216" s="346"/>
      <c r="B216" s="346"/>
      <c r="C216" s="346"/>
      <c r="D216" s="346"/>
      <c r="E216" s="346"/>
      <c r="F216" s="346"/>
      <c r="G216" s="346"/>
    </row>
    <row r="217" spans="1:7" x14ac:dyDescent="0.4">
      <c r="A217" s="346"/>
      <c r="B217" s="346"/>
      <c r="C217" s="346"/>
      <c r="D217" s="346"/>
      <c r="E217" s="346"/>
      <c r="F217" s="346"/>
      <c r="G217" s="346"/>
    </row>
    <row r="218" spans="1:7" x14ac:dyDescent="0.4">
      <c r="A218" s="346"/>
      <c r="B218" s="346"/>
      <c r="C218" s="346"/>
      <c r="D218" s="346"/>
      <c r="E218" s="346"/>
      <c r="F218" s="346"/>
      <c r="G218" s="346"/>
    </row>
    <row r="219" spans="1:7" x14ac:dyDescent="0.4">
      <c r="A219" s="346"/>
      <c r="B219" s="346"/>
      <c r="C219" s="346"/>
      <c r="D219" s="346"/>
      <c r="E219" s="346"/>
      <c r="F219" s="346"/>
      <c r="G219" s="346"/>
    </row>
    <row r="220" spans="1:7" x14ac:dyDescent="0.4">
      <c r="A220" s="346"/>
      <c r="B220" s="346"/>
      <c r="C220" s="346"/>
      <c r="D220" s="346"/>
      <c r="E220" s="346"/>
      <c r="F220" s="346"/>
      <c r="G220" s="346"/>
    </row>
    <row r="221" spans="1:7" x14ac:dyDescent="0.4">
      <c r="A221" s="346"/>
      <c r="B221" s="346"/>
      <c r="C221" s="346"/>
      <c r="D221" s="346"/>
      <c r="E221" s="346"/>
      <c r="F221" s="346"/>
      <c r="G221" s="346"/>
    </row>
    <row r="222" spans="1:7" x14ac:dyDescent="0.4">
      <c r="A222" s="346"/>
      <c r="B222" s="346"/>
      <c r="C222" s="346"/>
      <c r="D222" s="346"/>
      <c r="E222" s="346"/>
      <c r="F222" s="346"/>
      <c r="G222" s="346"/>
    </row>
    <row r="223" spans="1:7" x14ac:dyDescent="0.4">
      <c r="A223" s="346"/>
      <c r="B223" s="346"/>
      <c r="C223" s="346"/>
      <c r="D223" s="346"/>
      <c r="E223" s="346"/>
      <c r="F223" s="346"/>
      <c r="G223" s="346"/>
    </row>
    <row r="224" spans="1:7" x14ac:dyDescent="0.4">
      <c r="A224" s="346"/>
      <c r="B224" s="346"/>
      <c r="C224" s="346"/>
      <c r="D224" s="346"/>
      <c r="E224" s="346"/>
      <c r="F224" s="346"/>
      <c r="G224" s="346"/>
    </row>
    <row r="225" spans="1:7" x14ac:dyDescent="0.4">
      <c r="A225" s="346"/>
      <c r="B225" s="346"/>
      <c r="C225" s="346"/>
      <c r="D225" s="346"/>
      <c r="E225" s="346"/>
      <c r="F225" s="346"/>
      <c r="G225" s="346"/>
    </row>
    <row r="226" spans="1:7" x14ac:dyDescent="0.4">
      <c r="A226" s="346"/>
      <c r="B226" s="346"/>
      <c r="C226" s="346"/>
      <c r="D226" s="346"/>
      <c r="E226" s="346"/>
      <c r="F226" s="346"/>
      <c r="G226" s="346"/>
    </row>
    <row r="227" spans="1:7" x14ac:dyDescent="0.4">
      <c r="A227" s="346"/>
      <c r="B227" s="346"/>
      <c r="C227" s="346"/>
      <c r="D227" s="346"/>
      <c r="E227" s="346"/>
      <c r="F227" s="346"/>
      <c r="G227" s="346"/>
    </row>
    <row r="228" spans="1:7" x14ac:dyDescent="0.4">
      <c r="A228" s="346"/>
      <c r="B228" s="346"/>
      <c r="C228" s="346"/>
      <c r="D228" s="346"/>
      <c r="E228" s="346"/>
      <c r="F228" s="346"/>
      <c r="G228" s="346"/>
    </row>
    <row r="229" spans="1:7" x14ac:dyDescent="0.4">
      <c r="A229" s="346"/>
      <c r="B229" s="346"/>
      <c r="C229" s="346"/>
      <c r="D229" s="346"/>
      <c r="E229" s="346"/>
      <c r="F229" s="346"/>
      <c r="G229" s="346"/>
    </row>
    <row r="230" spans="1:7" x14ac:dyDescent="0.4">
      <c r="A230" s="346"/>
      <c r="B230" s="346"/>
      <c r="C230" s="346"/>
      <c r="D230" s="346"/>
      <c r="E230" s="346"/>
      <c r="F230" s="346"/>
      <c r="G230" s="346"/>
    </row>
    <row r="231" spans="1:7" x14ac:dyDescent="0.4">
      <c r="A231" s="344"/>
      <c r="B231" s="344" t="s">
        <v>73</v>
      </c>
      <c r="C231" s="344"/>
      <c r="D231" s="344"/>
      <c r="E231" s="344"/>
      <c r="F231" s="344"/>
      <c r="G231" s="344"/>
    </row>
    <row r="232" spans="1:7" x14ac:dyDescent="0.4">
      <c r="A232" s="346" t="s">
        <v>233</v>
      </c>
      <c r="B232" s="346"/>
      <c r="C232" s="346" t="s">
        <v>734</v>
      </c>
      <c r="D232" s="346" t="s">
        <v>735</v>
      </c>
      <c r="E232" s="346"/>
      <c r="F232" s="346"/>
      <c r="G232" s="346"/>
    </row>
    <row r="233" spans="1:7" x14ac:dyDescent="0.4">
      <c r="A233" s="346" t="s">
        <v>234</v>
      </c>
      <c r="B233" s="346"/>
      <c r="C233" s="346" t="s">
        <v>736</v>
      </c>
      <c r="D233" s="346"/>
      <c r="E233" s="346"/>
      <c r="F233" s="346"/>
      <c r="G233" s="346"/>
    </row>
    <row r="234" spans="1:7" x14ac:dyDescent="0.4">
      <c r="A234" s="346" t="s">
        <v>235</v>
      </c>
      <c r="B234" s="346"/>
      <c r="C234" s="346" t="s">
        <v>737</v>
      </c>
      <c r="D234" s="346"/>
      <c r="E234" s="346"/>
      <c r="F234" s="346"/>
      <c r="G234" s="346"/>
    </row>
    <row r="235" spans="1:7" x14ac:dyDescent="0.4">
      <c r="A235" s="346" t="s">
        <v>236</v>
      </c>
      <c r="B235" s="346"/>
      <c r="C235" s="346" t="s">
        <v>738</v>
      </c>
      <c r="D235" s="346"/>
      <c r="E235" s="346"/>
      <c r="F235" s="346"/>
      <c r="G235" s="346"/>
    </row>
    <row r="236" spans="1:7" x14ac:dyDescent="0.4">
      <c r="A236" s="346" t="s">
        <v>237</v>
      </c>
      <c r="B236" s="346"/>
      <c r="C236" s="346" t="s">
        <v>739</v>
      </c>
      <c r="D236" s="346"/>
      <c r="E236" s="346"/>
      <c r="F236" s="346"/>
      <c r="G236" s="346"/>
    </row>
    <row r="237" spans="1:7" x14ac:dyDescent="0.4">
      <c r="A237" s="346" t="s">
        <v>238</v>
      </c>
      <c r="B237" s="346"/>
      <c r="C237" s="346" t="s">
        <v>740</v>
      </c>
      <c r="D237" s="346"/>
      <c r="E237" s="346"/>
      <c r="F237" s="346"/>
      <c r="G237" s="346"/>
    </row>
    <row r="238" spans="1:7" x14ac:dyDescent="0.4">
      <c r="A238" s="346" t="s">
        <v>239</v>
      </c>
      <c r="B238" s="346"/>
      <c r="C238" s="346" t="s">
        <v>741</v>
      </c>
      <c r="D238" s="346"/>
      <c r="E238" s="346"/>
      <c r="F238" s="346"/>
      <c r="G238" s="346"/>
    </row>
    <row r="239" spans="1:7" x14ac:dyDescent="0.4">
      <c r="A239" s="346" t="s">
        <v>240</v>
      </c>
      <c r="B239" s="346"/>
      <c r="C239" s="346" t="s">
        <v>742</v>
      </c>
      <c r="D239" s="346"/>
      <c r="E239" s="346"/>
      <c r="F239" s="346"/>
      <c r="G239" s="346" t="s">
        <v>105</v>
      </c>
    </row>
    <row r="240" spans="1:7" x14ac:dyDescent="0.4">
      <c r="A240" s="346" t="s">
        <v>241</v>
      </c>
      <c r="B240" s="346"/>
      <c r="C240" s="346" t="s">
        <v>743</v>
      </c>
      <c r="D240" s="346"/>
      <c r="E240" s="346"/>
      <c r="F240" s="346"/>
      <c r="G240" s="346"/>
    </row>
    <row r="241" spans="1:7" x14ac:dyDescent="0.4">
      <c r="A241" s="346" t="s">
        <v>242</v>
      </c>
      <c r="B241" s="346"/>
      <c r="C241" s="346" t="s">
        <v>744</v>
      </c>
      <c r="D241" s="346"/>
      <c r="E241" s="346"/>
      <c r="F241" s="346"/>
      <c r="G241" s="346"/>
    </row>
    <row r="242" spans="1:7" x14ac:dyDescent="0.4">
      <c r="A242" s="346" t="s">
        <v>243</v>
      </c>
      <c r="B242" s="346"/>
      <c r="C242" s="346" t="s">
        <v>745</v>
      </c>
      <c r="D242" s="346" t="s">
        <v>746</v>
      </c>
      <c r="E242" s="346"/>
      <c r="F242" s="346"/>
      <c r="G242" s="346"/>
    </row>
    <row r="243" spans="1:7" x14ac:dyDescent="0.4">
      <c r="A243" s="346" t="s">
        <v>244</v>
      </c>
      <c r="B243" s="346"/>
      <c r="C243" s="346" t="s">
        <v>747</v>
      </c>
      <c r="D243" s="346"/>
      <c r="E243" s="346"/>
      <c r="F243" s="346"/>
      <c r="G243" s="346"/>
    </row>
    <row r="244" spans="1:7" x14ac:dyDescent="0.4">
      <c r="A244" s="346" t="s">
        <v>245</v>
      </c>
      <c r="B244" s="346"/>
      <c r="C244" s="346" t="s">
        <v>748</v>
      </c>
      <c r="D244" s="346"/>
      <c r="E244" s="346"/>
      <c r="F244" s="346"/>
      <c r="G244" s="346"/>
    </row>
    <row r="245" spans="1:7" x14ac:dyDescent="0.4">
      <c r="A245" s="346" t="s">
        <v>246</v>
      </c>
      <c r="B245" s="346"/>
      <c r="C245" s="346" t="s">
        <v>749</v>
      </c>
      <c r="D245" s="346" t="s">
        <v>1055</v>
      </c>
      <c r="E245" s="346"/>
      <c r="F245" s="346"/>
      <c r="G245" s="346"/>
    </row>
    <row r="246" spans="1:7" x14ac:dyDescent="0.4">
      <c r="A246" s="346" t="s">
        <v>2352</v>
      </c>
      <c r="B246" s="346" t="s">
        <v>2320</v>
      </c>
      <c r="C246" s="346" t="s">
        <v>2353</v>
      </c>
      <c r="D246" s="346" t="s">
        <v>799</v>
      </c>
      <c r="E246" s="346"/>
      <c r="F246" s="346"/>
      <c r="G246" s="346"/>
    </row>
    <row r="247" spans="1:7" x14ac:dyDescent="0.4">
      <c r="A247" s="346" t="s">
        <v>2767</v>
      </c>
      <c r="B247" s="346" t="s">
        <v>2320</v>
      </c>
      <c r="C247" s="346" t="s">
        <v>2768</v>
      </c>
      <c r="D247" s="346"/>
      <c r="E247" s="346"/>
      <c r="F247" s="346"/>
      <c r="G247" s="346"/>
    </row>
    <row r="248" spans="1:7" x14ac:dyDescent="0.4">
      <c r="A248" s="346"/>
      <c r="B248" s="346"/>
      <c r="C248" s="346"/>
      <c r="D248" s="346"/>
      <c r="E248" s="346"/>
      <c r="F248" s="346"/>
      <c r="G248" s="346"/>
    </row>
    <row r="249" spans="1:7" x14ac:dyDescent="0.4">
      <c r="A249" s="346"/>
      <c r="B249" s="346"/>
      <c r="C249" s="346"/>
      <c r="D249" s="346"/>
      <c r="E249" s="346"/>
      <c r="F249" s="346"/>
      <c r="G249" s="346"/>
    </row>
    <row r="250" spans="1:7" x14ac:dyDescent="0.4">
      <c r="A250" s="346"/>
      <c r="B250" s="346"/>
      <c r="C250" s="346"/>
      <c r="D250" s="346"/>
      <c r="E250" s="346"/>
      <c r="F250" s="346"/>
      <c r="G250" s="346"/>
    </row>
    <row r="251" spans="1:7" ht="19.5" customHeight="1" x14ac:dyDescent="0.4">
      <c r="A251" s="346"/>
      <c r="B251" s="346"/>
      <c r="C251" s="346"/>
      <c r="D251" s="346"/>
      <c r="E251" s="346"/>
      <c r="F251" s="346"/>
      <c r="G251" s="346"/>
    </row>
    <row r="252" spans="1:7" x14ac:dyDescent="0.4">
      <c r="A252" s="346"/>
      <c r="B252" s="346"/>
      <c r="C252" s="346"/>
      <c r="D252" s="346"/>
      <c r="E252" s="346"/>
      <c r="F252" s="346"/>
      <c r="G252" s="346"/>
    </row>
    <row r="253" spans="1:7" x14ac:dyDescent="0.4">
      <c r="A253" s="346"/>
      <c r="B253" s="346"/>
      <c r="C253" s="346"/>
      <c r="D253" s="346"/>
      <c r="E253" s="346"/>
      <c r="F253" s="346"/>
      <c r="G253" s="346"/>
    </row>
    <row r="254" spans="1:7" x14ac:dyDescent="0.4">
      <c r="A254" s="346"/>
      <c r="B254" s="346"/>
      <c r="C254" s="346"/>
      <c r="D254" s="346"/>
      <c r="E254" s="346"/>
      <c r="F254" s="346"/>
      <c r="G254" s="346"/>
    </row>
    <row r="255" spans="1:7" x14ac:dyDescent="0.4">
      <c r="A255" s="346"/>
      <c r="B255" s="346"/>
      <c r="C255" s="346"/>
      <c r="D255" s="346"/>
      <c r="E255" s="346"/>
      <c r="F255" s="346"/>
      <c r="G255" s="346"/>
    </row>
    <row r="256" spans="1:7" x14ac:dyDescent="0.4">
      <c r="A256" s="346"/>
      <c r="B256" s="346"/>
      <c r="C256" s="346"/>
      <c r="D256" s="346"/>
      <c r="E256" s="346"/>
      <c r="F256" s="346"/>
      <c r="G256" s="346"/>
    </row>
    <row r="257" spans="1:7" x14ac:dyDescent="0.4">
      <c r="A257" s="346"/>
      <c r="B257" s="346"/>
      <c r="C257" s="346"/>
      <c r="D257" s="346"/>
      <c r="E257" s="346"/>
      <c r="F257" s="346"/>
      <c r="G257" s="346"/>
    </row>
    <row r="258" spans="1:7" x14ac:dyDescent="0.4">
      <c r="A258" s="346"/>
      <c r="B258" s="346"/>
      <c r="C258" s="346"/>
      <c r="D258" s="346"/>
      <c r="E258" s="346"/>
      <c r="F258" s="346"/>
      <c r="G258" s="346"/>
    </row>
    <row r="259" spans="1:7" x14ac:dyDescent="0.4">
      <c r="A259" s="346"/>
      <c r="B259" s="346"/>
      <c r="C259" s="346"/>
      <c r="D259" s="346"/>
      <c r="E259" s="346"/>
      <c r="F259" s="346"/>
      <c r="G259" s="346"/>
    </row>
    <row r="260" spans="1:7" x14ac:dyDescent="0.4">
      <c r="A260" s="346"/>
      <c r="B260" s="346"/>
      <c r="C260" s="346"/>
      <c r="D260" s="346"/>
      <c r="E260" s="346"/>
      <c r="F260" s="346"/>
      <c r="G260" s="346"/>
    </row>
    <row r="261" spans="1:7" x14ac:dyDescent="0.4">
      <c r="A261" s="346"/>
      <c r="B261" s="346"/>
      <c r="C261" s="346"/>
      <c r="D261" s="346"/>
      <c r="E261" s="346"/>
      <c r="F261" s="346"/>
      <c r="G261" s="346"/>
    </row>
    <row r="262" spans="1:7" x14ac:dyDescent="0.4">
      <c r="A262" s="346"/>
      <c r="B262" s="346"/>
      <c r="C262" s="346"/>
      <c r="D262" s="346"/>
      <c r="E262" s="346"/>
      <c r="F262" s="346"/>
      <c r="G262" s="346"/>
    </row>
    <row r="263" spans="1:7" x14ac:dyDescent="0.4">
      <c r="A263" s="346"/>
      <c r="B263" s="346"/>
      <c r="C263" s="346"/>
      <c r="D263" s="346"/>
      <c r="E263" s="346"/>
      <c r="F263" s="346"/>
      <c r="G263" s="346"/>
    </row>
    <row r="264" spans="1:7" x14ac:dyDescent="0.4">
      <c r="A264" s="346"/>
      <c r="B264" s="346"/>
      <c r="C264" s="346"/>
      <c r="D264" s="346"/>
      <c r="E264" s="346"/>
      <c r="F264" s="346"/>
      <c r="G264" s="346"/>
    </row>
    <row r="265" spans="1:7" x14ac:dyDescent="0.4">
      <c r="A265" s="346"/>
      <c r="B265" s="346"/>
      <c r="C265" s="346"/>
      <c r="D265" s="346"/>
      <c r="E265" s="346"/>
      <c r="F265" s="346"/>
      <c r="G265" s="346"/>
    </row>
    <row r="266" spans="1:7" x14ac:dyDescent="0.4">
      <c r="A266" s="346"/>
      <c r="B266" s="346"/>
      <c r="C266" s="346"/>
      <c r="D266" s="346"/>
      <c r="E266" s="346"/>
      <c r="F266" s="346"/>
      <c r="G266" s="346"/>
    </row>
    <row r="267" spans="1:7" x14ac:dyDescent="0.4">
      <c r="A267" s="346"/>
      <c r="B267" s="346"/>
      <c r="C267" s="346"/>
      <c r="D267" s="346"/>
      <c r="E267" s="346"/>
      <c r="F267" s="346"/>
      <c r="G267" s="346"/>
    </row>
    <row r="268" spans="1:7" x14ac:dyDescent="0.4">
      <c r="A268" s="346"/>
      <c r="B268" s="346"/>
      <c r="C268" s="346"/>
      <c r="D268" s="346"/>
      <c r="E268" s="346"/>
      <c r="F268" s="346"/>
      <c r="G268" s="346"/>
    </row>
    <row r="269" spans="1:7" x14ac:dyDescent="0.4">
      <c r="A269" s="346"/>
      <c r="B269" s="346"/>
      <c r="C269" s="346"/>
      <c r="D269" s="346"/>
      <c r="E269" s="346"/>
      <c r="F269" s="346"/>
      <c r="G269" s="346"/>
    </row>
    <row r="270" spans="1:7" x14ac:dyDescent="0.4">
      <c r="A270" s="346"/>
      <c r="B270" s="346"/>
      <c r="C270" s="346"/>
      <c r="D270" s="346"/>
      <c r="E270" s="346"/>
      <c r="F270" s="346"/>
      <c r="G270" s="346"/>
    </row>
    <row r="271" spans="1:7" x14ac:dyDescent="0.4">
      <c r="A271" s="346"/>
      <c r="B271" s="346"/>
      <c r="C271" s="346"/>
      <c r="D271" s="346"/>
      <c r="E271" s="346"/>
      <c r="F271" s="346"/>
      <c r="G271" s="346"/>
    </row>
    <row r="272" spans="1:7" x14ac:dyDescent="0.4">
      <c r="A272" s="346"/>
      <c r="B272" s="346"/>
      <c r="C272" s="346"/>
      <c r="D272" s="346"/>
      <c r="E272" s="346"/>
      <c r="F272" s="346"/>
      <c r="G272" s="346"/>
    </row>
    <row r="273" spans="1:7" x14ac:dyDescent="0.4">
      <c r="A273" s="346"/>
      <c r="B273" s="346"/>
      <c r="C273" s="346"/>
      <c r="D273" s="346"/>
      <c r="E273" s="346"/>
      <c r="F273" s="346"/>
      <c r="G273" s="346"/>
    </row>
    <row r="274" spans="1:7" x14ac:dyDescent="0.4">
      <c r="A274" s="346"/>
      <c r="B274" s="346"/>
      <c r="C274" s="346"/>
      <c r="D274" s="346"/>
      <c r="E274" s="346"/>
      <c r="F274" s="346"/>
      <c r="G274" s="346"/>
    </row>
    <row r="275" spans="1:7" x14ac:dyDescent="0.4">
      <c r="A275" s="346"/>
      <c r="B275" s="346"/>
      <c r="C275" s="346"/>
      <c r="D275" s="346"/>
      <c r="E275" s="346"/>
      <c r="F275" s="346"/>
      <c r="G275" s="346"/>
    </row>
    <row r="276" spans="1:7" x14ac:dyDescent="0.4">
      <c r="A276" s="346"/>
      <c r="B276" s="346"/>
      <c r="C276" s="346"/>
      <c r="D276" s="346"/>
      <c r="E276" s="346"/>
      <c r="F276" s="346"/>
      <c r="G276" s="346"/>
    </row>
    <row r="277" spans="1:7" x14ac:dyDescent="0.4">
      <c r="A277" s="346"/>
      <c r="B277" s="346"/>
      <c r="C277" s="346"/>
      <c r="D277" s="346"/>
      <c r="E277" s="346"/>
      <c r="F277" s="346"/>
      <c r="G277" s="346"/>
    </row>
    <row r="278" spans="1:7" x14ac:dyDescent="0.4">
      <c r="A278" s="346"/>
      <c r="B278" s="346"/>
      <c r="C278" s="346"/>
      <c r="D278" s="346"/>
      <c r="E278" s="346"/>
      <c r="F278" s="346"/>
      <c r="G278" s="346"/>
    </row>
    <row r="279" spans="1:7" x14ac:dyDescent="0.4">
      <c r="A279" s="346"/>
      <c r="B279" s="346"/>
      <c r="C279" s="346"/>
      <c r="D279" s="346"/>
      <c r="E279" s="346"/>
      <c r="F279" s="346"/>
      <c r="G279" s="346"/>
    </row>
    <row r="280" spans="1:7" x14ac:dyDescent="0.4">
      <c r="A280" s="346"/>
      <c r="B280" s="346"/>
      <c r="C280" s="346"/>
      <c r="D280" s="346"/>
      <c r="E280" s="346"/>
      <c r="F280" s="346"/>
      <c r="G280" s="346"/>
    </row>
    <row r="281" spans="1:7" x14ac:dyDescent="0.4">
      <c r="A281" s="346"/>
      <c r="B281" s="346"/>
      <c r="C281" s="346"/>
      <c r="D281" s="346"/>
      <c r="E281" s="346"/>
      <c r="F281" s="346"/>
      <c r="G281" s="346"/>
    </row>
    <row r="282" spans="1:7" x14ac:dyDescent="0.4">
      <c r="A282" s="346"/>
      <c r="B282" s="346"/>
      <c r="C282" s="346"/>
      <c r="D282" s="346"/>
      <c r="E282" s="346"/>
      <c r="F282" s="346"/>
      <c r="G282" s="346"/>
    </row>
    <row r="283" spans="1:7" x14ac:dyDescent="0.4">
      <c r="A283" s="346"/>
      <c r="B283" s="346"/>
      <c r="C283" s="346"/>
      <c r="D283" s="346"/>
      <c r="E283" s="346"/>
      <c r="F283" s="346"/>
      <c r="G283" s="346"/>
    </row>
    <row r="284" spans="1:7" x14ac:dyDescent="0.4">
      <c r="A284" s="346"/>
      <c r="B284" s="346"/>
      <c r="C284" s="346"/>
      <c r="D284" s="346"/>
      <c r="E284" s="346"/>
      <c r="F284" s="346"/>
      <c r="G284" s="346"/>
    </row>
    <row r="285" spans="1:7" x14ac:dyDescent="0.4">
      <c r="A285" s="346"/>
      <c r="B285" s="346"/>
      <c r="C285" s="346"/>
      <c r="D285" s="346"/>
      <c r="E285" s="346"/>
      <c r="F285" s="346"/>
      <c r="G285" s="346"/>
    </row>
    <row r="286" spans="1:7" x14ac:dyDescent="0.4">
      <c r="A286" s="346"/>
      <c r="B286" s="346"/>
      <c r="C286" s="346"/>
      <c r="D286" s="346"/>
      <c r="E286" s="346"/>
      <c r="F286" s="346"/>
      <c r="G286" s="346"/>
    </row>
    <row r="287" spans="1:7" x14ac:dyDescent="0.4">
      <c r="A287" s="346"/>
      <c r="B287" s="346"/>
      <c r="C287" s="346"/>
      <c r="D287" s="346"/>
      <c r="E287" s="346"/>
      <c r="F287" s="346"/>
      <c r="G287" s="346"/>
    </row>
    <row r="288" spans="1:7" x14ac:dyDescent="0.4">
      <c r="A288" s="346"/>
      <c r="B288" s="346"/>
      <c r="C288" s="346"/>
      <c r="D288" s="346"/>
      <c r="E288" s="346"/>
      <c r="F288" s="346"/>
      <c r="G288" s="346"/>
    </row>
    <row r="289" spans="1:7" x14ac:dyDescent="0.4">
      <c r="A289" s="344"/>
      <c r="B289" s="344" t="s">
        <v>77</v>
      </c>
      <c r="C289" s="344"/>
      <c r="D289" s="344"/>
      <c r="E289" s="344"/>
      <c r="F289" s="344"/>
      <c r="G289" s="344"/>
    </row>
    <row r="290" spans="1:7" x14ac:dyDescent="0.4">
      <c r="A290" s="346" t="s">
        <v>247</v>
      </c>
      <c r="B290" s="346"/>
      <c r="C290" s="346" t="s">
        <v>248</v>
      </c>
      <c r="D290" s="346" t="s">
        <v>11</v>
      </c>
      <c r="E290" s="346"/>
      <c r="F290" s="346" t="s">
        <v>249</v>
      </c>
      <c r="G290" s="346"/>
    </row>
    <row r="291" spans="1:7" x14ac:dyDescent="0.4">
      <c r="A291" s="346" t="s">
        <v>250</v>
      </c>
      <c r="B291" s="346"/>
      <c r="C291" s="346" t="s">
        <v>251</v>
      </c>
      <c r="D291" s="346" t="s">
        <v>377</v>
      </c>
      <c r="E291" s="346"/>
      <c r="F291" s="346"/>
      <c r="G291" s="346"/>
    </row>
    <row r="292" spans="1:7" x14ac:dyDescent="0.4">
      <c r="A292" s="346" t="s">
        <v>252</v>
      </c>
      <c r="B292" s="346"/>
      <c r="C292" s="346" t="s">
        <v>253</v>
      </c>
      <c r="D292" s="346" t="s">
        <v>254</v>
      </c>
      <c r="E292" s="346"/>
      <c r="F292" s="346"/>
      <c r="G292" s="346"/>
    </row>
    <row r="293" spans="1:7" x14ac:dyDescent="0.4">
      <c r="A293" s="346" t="s">
        <v>255</v>
      </c>
      <c r="B293" s="346"/>
      <c r="C293" s="346" t="s">
        <v>256</v>
      </c>
      <c r="D293" s="346" t="s">
        <v>257</v>
      </c>
      <c r="E293" s="346"/>
      <c r="F293" s="346"/>
      <c r="G293" s="346"/>
    </row>
    <row r="294" spans="1:7" x14ac:dyDescent="0.4">
      <c r="A294" s="346" t="s">
        <v>258</v>
      </c>
      <c r="B294" s="346"/>
      <c r="C294" s="346" t="s">
        <v>259</v>
      </c>
      <c r="D294" s="346"/>
      <c r="E294" s="346"/>
      <c r="F294" s="346"/>
      <c r="G294" s="346"/>
    </row>
    <row r="295" spans="1:7" x14ac:dyDescent="0.4">
      <c r="A295" s="346" t="s">
        <v>260</v>
      </c>
      <c r="B295" s="346"/>
      <c r="C295" s="346" t="s">
        <v>256</v>
      </c>
      <c r="D295" s="346" t="s">
        <v>257</v>
      </c>
      <c r="E295" s="346"/>
      <c r="F295" s="346"/>
      <c r="G295" s="346"/>
    </row>
    <row r="296" spans="1:7" x14ac:dyDescent="0.4">
      <c r="A296" s="346" t="s">
        <v>261</v>
      </c>
      <c r="B296" s="346"/>
      <c r="C296" s="346" t="s">
        <v>262</v>
      </c>
      <c r="D296" s="346"/>
      <c r="E296" s="346"/>
      <c r="F296" s="346"/>
      <c r="G296" s="346"/>
    </row>
    <row r="297" spans="1:7" x14ac:dyDescent="0.4">
      <c r="A297" s="346" t="s">
        <v>263</v>
      </c>
      <c r="B297" s="346"/>
      <c r="C297" s="346" t="s">
        <v>264</v>
      </c>
      <c r="D297" s="346"/>
      <c r="E297" s="346"/>
      <c r="F297" s="346"/>
      <c r="G297" s="346"/>
    </row>
    <row r="298" spans="1:7" x14ac:dyDescent="0.4">
      <c r="A298" s="346" t="s">
        <v>265</v>
      </c>
      <c r="B298" s="346"/>
      <c r="C298" s="346" t="s">
        <v>266</v>
      </c>
      <c r="D298" s="346"/>
      <c r="E298" s="346"/>
      <c r="F298" s="346"/>
      <c r="G298" s="346"/>
    </row>
    <row r="299" spans="1:7" x14ac:dyDescent="0.4">
      <c r="A299" s="346" t="s">
        <v>260</v>
      </c>
      <c r="B299" s="346"/>
      <c r="C299" s="346" t="s">
        <v>256</v>
      </c>
      <c r="D299" s="346" t="s">
        <v>257</v>
      </c>
      <c r="E299" s="346"/>
      <c r="F299" s="346"/>
      <c r="G299" s="346"/>
    </row>
    <row r="300" spans="1:7" x14ac:dyDescent="0.4">
      <c r="A300" s="346" t="s">
        <v>267</v>
      </c>
      <c r="B300" s="346"/>
      <c r="C300" s="346" t="s">
        <v>268</v>
      </c>
      <c r="D300" s="346"/>
      <c r="E300" s="346"/>
      <c r="F300" s="346"/>
      <c r="G300" s="346"/>
    </row>
    <row r="301" spans="1:7" x14ac:dyDescent="0.4">
      <c r="A301" s="346" t="s">
        <v>269</v>
      </c>
      <c r="B301" s="346"/>
      <c r="C301" s="346" t="s">
        <v>270</v>
      </c>
      <c r="D301" s="346" t="s">
        <v>271</v>
      </c>
      <c r="E301" s="346"/>
      <c r="F301" s="346"/>
      <c r="G301" s="346"/>
    </row>
    <row r="302" spans="1:7" x14ac:dyDescent="0.4">
      <c r="A302" s="346" t="s">
        <v>272</v>
      </c>
      <c r="B302" s="346"/>
      <c r="C302" s="346" t="s">
        <v>273</v>
      </c>
      <c r="D302" s="346"/>
      <c r="E302" s="346"/>
      <c r="F302" s="346"/>
      <c r="G302" s="346"/>
    </row>
    <row r="303" spans="1:7" x14ac:dyDescent="0.4">
      <c r="A303" s="346" t="s">
        <v>274</v>
      </c>
      <c r="B303" s="346"/>
      <c r="C303" s="346" t="s">
        <v>275</v>
      </c>
      <c r="D303" s="346"/>
      <c r="E303" s="346"/>
      <c r="F303" s="346"/>
      <c r="G303" s="346"/>
    </row>
    <row r="304" spans="1:7" x14ac:dyDescent="0.4">
      <c r="A304" s="346" t="s">
        <v>276</v>
      </c>
      <c r="B304" s="346"/>
      <c r="C304" s="346" t="s">
        <v>277</v>
      </c>
      <c r="D304" s="346"/>
      <c r="E304" s="346"/>
      <c r="F304" s="346"/>
      <c r="G304" s="346"/>
    </row>
    <row r="305" spans="1:7" x14ac:dyDescent="0.4">
      <c r="A305" s="346" t="s">
        <v>278</v>
      </c>
      <c r="B305" s="346"/>
      <c r="C305" s="346" t="s">
        <v>279</v>
      </c>
      <c r="D305" s="346" t="s">
        <v>2428</v>
      </c>
      <c r="E305" s="346"/>
      <c r="F305" s="346"/>
      <c r="G305" s="346"/>
    </row>
    <row r="306" spans="1:7" x14ac:dyDescent="0.4">
      <c r="A306" s="346" t="s">
        <v>2348</v>
      </c>
      <c r="B306" s="346" t="s">
        <v>2314</v>
      </c>
      <c r="C306" s="346" t="s">
        <v>2349</v>
      </c>
      <c r="D306" s="346" t="s">
        <v>1870</v>
      </c>
      <c r="E306" s="346"/>
      <c r="F306" s="346"/>
      <c r="G306" s="346"/>
    </row>
    <row r="307" spans="1:7" x14ac:dyDescent="0.4">
      <c r="A307" s="346"/>
      <c r="B307" s="346"/>
      <c r="C307" s="346"/>
      <c r="D307" s="346"/>
      <c r="E307" s="346"/>
      <c r="F307" s="346"/>
      <c r="G307" s="346"/>
    </row>
    <row r="308" spans="1:7" x14ac:dyDescent="0.4">
      <c r="A308" s="346"/>
      <c r="B308" s="346"/>
      <c r="C308" s="346"/>
      <c r="D308" s="346"/>
      <c r="E308" s="346"/>
      <c r="F308" s="346"/>
      <c r="G308" s="346"/>
    </row>
    <row r="309" spans="1:7" x14ac:dyDescent="0.4">
      <c r="A309" s="346"/>
      <c r="B309" s="346"/>
      <c r="C309" s="346"/>
      <c r="D309" s="346"/>
      <c r="E309" s="346"/>
      <c r="F309" s="346"/>
      <c r="G309" s="346"/>
    </row>
    <row r="310" spans="1:7" x14ac:dyDescent="0.4">
      <c r="A310" s="346"/>
      <c r="B310" s="346"/>
      <c r="C310" s="346"/>
      <c r="D310" s="346"/>
      <c r="E310" s="346"/>
      <c r="F310" s="346"/>
      <c r="G310" s="346"/>
    </row>
    <row r="311" spans="1:7" x14ac:dyDescent="0.4">
      <c r="A311" s="346"/>
      <c r="B311" s="346"/>
      <c r="C311" s="346"/>
      <c r="D311" s="346"/>
      <c r="E311" s="346"/>
      <c r="F311" s="346"/>
      <c r="G311" s="346"/>
    </row>
    <row r="312" spans="1:7" x14ac:dyDescent="0.4">
      <c r="A312" s="346"/>
      <c r="B312" s="346"/>
      <c r="C312" s="346"/>
      <c r="D312" s="346"/>
      <c r="E312" s="346"/>
      <c r="F312" s="346"/>
      <c r="G312" s="346"/>
    </row>
    <row r="313" spans="1:7" x14ac:dyDescent="0.4">
      <c r="A313" s="346"/>
      <c r="B313" s="346"/>
      <c r="C313" s="346"/>
      <c r="D313" s="346"/>
      <c r="E313" s="346"/>
      <c r="F313" s="346"/>
      <c r="G313" s="346"/>
    </row>
    <row r="314" spans="1:7" x14ac:dyDescent="0.4">
      <c r="A314" s="346"/>
      <c r="B314" s="346"/>
      <c r="C314" s="346"/>
      <c r="D314" s="346"/>
      <c r="E314" s="346"/>
      <c r="F314" s="346"/>
      <c r="G314" s="346"/>
    </row>
    <row r="315" spans="1:7" x14ac:dyDescent="0.4">
      <c r="A315" s="346"/>
      <c r="B315" s="346"/>
      <c r="C315" s="346"/>
      <c r="D315" s="346"/>
      <c r="E315" s="346"/>
      <c r="F315" s="346"/>
      <c r="G315" s="346"/>
    </row>
    <row r="316" spans="1:7" x14ac:dyDescent="0.4">
      <c r="A316" s="346"/>
      <c r="B316" s="346"/>
      <c r="C316" s="346"/>
      <c r="D316" s="346"/>
      <c r="E316" s="346"/>
      <c r="F316" s="346"/>
      <c r="G316" s="346"/>
    </row>
    <row r="317" spans="1:7" x14ac:dyDescent="0.4">
      <c r="A317" s="346"/>
      <c r="B317" s="346"/>
      <c r="C317" s="346"/>
      <c r="D317" s="346"/>
      <c r="E317" s="346"/>
      <c r="F317" s="346"/>
      <c r="G317" s="346"/>
    </row>
    <row r="318" spans="1:7" x14ac:dyDescent="0.4">
      <c r="A318" s="346"/>
      <c r="B318" s="346"/>
      <c r="C318" s="346"/>
      <c r="D318" s="346"/>
      <c r="E318" s="346"/>
      <c r="F318" s="346"/>
      <c r="G318" s="346"/>
    </row>
    <row r="319" spans="1:7" x14ac:dyDescent="0.4">
      <c r="A319" s="346"/>
      <c r="B319" s="346"/>
      <c r="C319" s="346"/>
      <c r="D319" s="346"/>
      <c r="E319" s="346"/>
      <c r="F319" s="346"/>
      <c r="G319" s="346"/>
    </row>
    <row r="320" spans="1:7" x14ac:dyDescent="0.4">
      <c r="A320" s="346"/>
      <c r="B320" s="346"/>
      <c r="C320" s="346"/>
      <c r="D320" s="346"/>
      <c r="E320" s="346"/>
      <c r="F320" s="346"/>
      <c r="G320" s="346"/>
    </row>
    <row r="321" spans="1:7" x14ac:dyDescent="0.4">
      <c r="A321" s="346"/>
      <c r="B321" s="346"/>
      <c r="C321" s="346"/>
      <c r="D321" s="346"/>
      <c r="E321" s="346"/>
      <c r="F321" s="346"/>
      <c r="G321" s="346"/>
    </row>
    <row r="322" spans="1:7" x14ac:dyDescent="0.4">
      <c r="A322" s="344"/>
      <c r="B322" s="344" t="s">
        <v>80</v>
      </c>
      <c r="C322" s="344"/>
      <c r="D322" s="344"/>
      <c r="E322" s="344"/>
      <c r="F322" s="344"/>
      <c r="G322" s="344"/>
    </row>
    <row r="323" spans="1:7" x14ac:dyDescent="0.4">
      <c r="A323" s="346" t="s">
        <v>280</v>
      </c>
      <c r="B323" s="346"/>
      <c r="C323" s="346" t="s">
        <v>281</v>
      </c>
      <c r="D323" s="346"/>
      <c r="E323" s="346"/>
      <c r="F323" s="346"/>
      <c r="G323" s="346"/>
    </row>
    <row r="324" spans="1:7" x14ac:dyDescent="0.4">
      <c r="A324" s="346" t="s">
        <v>282</v>
      </c>
      <c r="B324" s="346"/>
      <c r="C324" s="346" t="s">
        <v>283</v>
      </c>
      <c r="D324" s="346"/>
      <c r="E324" s="346"/>
      <c r="F324" s="346"/>
      <c r="G324" s="346"/>
    </row>
    <row r="325" spans="1:7" x14ac:dyDescent="0.4">
      <c r="A325" s="346" t="s">
        <v>284</v>
      </c>
      <c r="B325" s="346"/>
      <c r="C325" s="346" t="s">
        <v>285</v>
      </c>
      <c r="D325" s="346" t="s">
        <v>286</v>
      </c>
      <c r="E325" s="346"/>
      <c r="F325" s="346"/>
      <c r="G325" s="346"/>
    </row>
    <row r="326" spans="1:7" x14ac:dyDescent="0.4">
      <c r="A326" s="346"/>
      <c r="B326" s="346"/>
      <c r="C326" s="346"/>
      <c r="D326" s="346"/>
      <c r="E326" s="346"/>
      <c r="F326" s="346"/>
      <c r="G326" s="346"/>
    </row>
    <row r="327" spans="1:7" x14ac:dyDescent="0.4">
      <c r="A327" s="346"/>
      <c r="B327" s="346"/>
      <c r="C327" s="346"/>
      <c r="D327" s="346"/>
      <c r="E327" s="346"/>
      <c r="F327" s="346"/>
      <c r="G327" s="346"/>
    </row>
    <row r="328" spans="1:7" x14ac:dyDescent="0.4">
      <c r="A328" s="346"/>
      <c r="B328" s="346"/>
      <c r="C328" s="346"/>
      <c r="D328" s="346"/>
      <c r="E328" s="346"/>
      <c r="F328" s="346"/>
      <c r="G328" s="346"/>
    </row>
    <row r="329" spans="1:7" x14ac:dyDescent="0.4">
      <c r="A329" s="346"/>
      <c r="B329" s="346"/>
      <c r="C329" s="346"/>
      <c r="D329" s="346"/>
      <c r="E329" s="346"/>
      <c r="F329" s="346"/>
      <c r="G329" s="346"/>
    </row>
    <row r="330" spans="1:7" x14ac:dyDescent="0.4">
      <c r="A330" s="346"/>
      <c r="B330" s="346"/>
      <c r="C330" s="346"/>
      <c r="D330" s="346"/>
      <c r="E330" s="346"/>
      <c r="F330" s="346"/>
      <c r="G330" s="346"/>
    </row>
    <row r="331" spans="1:7" x14ac:dyDescent="0.4">
      <c r="A331" s="346"/>
      <c r="B331" s="346"/>
      <c r="C331" s="346"/>
      <c r="D331" s="346"/>
      <c r="E331" s="346"/>
      <c r="F331" s="346"/>
      <c r="G331" s="346"/>
    </row>
    <row r="332" spans="1:7" x14ac:dyDescent="0.4">
      <c r="A332" s="346"/>
      <c r="B332" s="346"/>
      <c r="C332" s="346"/>
      <c r="D332" s="346"/>
      <c r="E332" s="346"/>
      <c r="F332" s="346"/>
      <c r="G332" s="346"/>
    </row>
    <row r="333" spans="1:7" x14ac:dyDescent="0.4">
      <c r="A333" s="346"/>
      <c r="B333" s="346"/>
      <c r="C333" s="346"/>
      <c r="D333" s="346"/>
      <c r="E333" s="346"/>
      <c r="F333" s="346"/>
      <c r="G333" s="346"/>
    </row>
    <row r="334" spans="1:7" x14ac:dyDescent="0.4">
      <c r="A334" s="346"/>
      <c r="B334" s="346"/>
      <c r="C334" s="346"/>
      <c r="D334" s="346"/>
      <c r="E334" s="346"/>
      <c r="F334" s="346"/>
      <c r="G334" s="346"/>
    </row>
    <row r="335" spans="1:7" x14ac:dyDescent="0.4">
      <c r="A335" s="346"/>
      <c r="B335" s="346"/>
      <c r="C335" s="346"/>
      <c r="D335" s="346"/>
      <c r="E335" s="346"/>
      <c r="F335" s="346"/>
      <c r="G335" s="346"/>
    </row>
    <row r="336" spans="1:7" x14ac:dyDescent="0.4">
      <c r="A336" s="346"/>
      <c r="B336" s="346"/>
      <c r="C336" s="346"/>
      <c r="D336" s="346"/>
      <c r="E336" s="346"/>
      <c r="F336" s="346"/>
      <c r="G336" s="346"/>
    </row>
    <row r="337" spans="1:7" x14ac:dyDescent="0.4">
      <c r="A337" s="346"/>
      <c r="B337" s="346"/>
      <c r="C337" s="346"/>
      <c r="D337" s="346"/>
      <c r="E337" s="346"/>
      <c r="F337" s="346"/>
      <c r="G337" s="346"/>
    </row>
    <row r="338" spans="1:7" x14ac:dyDescent="0.4">
      <c r="A338" s="346"/>
      <c r="B338" s="346"/>
      <c r="C338" s="346"/>
      <c r="D338" s="346"/>
      <c r="E338" s="346"/>
      <c r="F338" s="346"/>
      <c r="G338" s="346"/>
    </row>
    <row r="339" spans="1:7" x14ac:dyDescent="0.4">
      <c r="A339" s="346"/>
      <c r="B339" s="346"/>
      <c r="C339" s="346"/>
      <c r="D339" s="346"/>
      <c r="E339" s="346"/>
      <c r="F339" s="346"/>
      <c r="G339" s="346"/>
    </row>
    <row r="340" spans="1:7" x14ac:dyDescent="0.4">
      <c r="A340" s="346" t="s">
        <v>11</v>
      </c>
      <c r="B340" s="346"/>
      <c r="C340" s="346"/>
      <c r="D340" s="346"/>
      <c r="E340" s="346"/>
      <c r="F340" s="346"/>
      <c r="G340" s="346"/>
    </row>
    <row r="341" spans="1:7" x14ac:dyDescent="0.4">
      <c r="A341" s="346"/>
      <c r="B341" s="346"/>
      <c r="C341" s="346"/>
      <c r="D341" s="346"/>
      <c r="E341" s="346"/>
      <c r="F341" s="346"/>
      <c r="G341" s="346"/>
    </row>
    <row r="342" spans="1:7" x14ac:dyDescent="0.4">
      <c r="A342" s="346"/>
      <c r="B342" s="346"/>
      <c r="C342" s="346"/>
      <c r="D342" s="346"/>
      <c r="E342" s="346"/>
      <c r="F342" s="346"/>
      <c r="G342" s="346"/>
    </row>
    <row r="343" spans="1:7" x14ac:dyDescent="0.4">
      <c r="A343" s="346"/>
      <c r="B343" s="346"/>
      <c r="C343" s="346"/>
      <c r="D343" s="346"/>
      <c r="E343" s="346"/>
      <c r="F343" s="346"/>
      <c r="G343" s="346"/>
    </row>
    <row r="344" spans="1:7" x14ac:dyDescent="0.4">
      <c r="A344" s="346"/>
      <c r="B344" s="346"/>
      <c r="C344" s="346"/>
      <c r="D344" s="346"/>
      <c r="E344" s="346"/>
      <c r="F344" s="346"/>
      <c r="G344" s="346"/>
    </row>
    <row r="345" spans="1:7" x14ac:dyDescent="0.4">
      <c r="A345" s="346"/>
      <c r="B345" s="346"/>
      <c r="C345" s="346"/>
      <c r="D345" s="346"/>
      <c r="E345" s="346"/>
      <c r="F345" s="346"/>
      <c r="G345" s="346"/>
    </row>
    <row r="346" spans="1:7" x14ac:dyDescent="0.4">
      <c r="A346" s="346"/>
      <c r="B346" s="346"/>
      <c r="C346" s="346"/>
      <c r="D346" s="346"/>
      <c r="E346" s="346"/>
      <c r="F346" s="346"/>
      <c r="G346" s="346"/>
    </row>
    <row r="347" spans="1:7" x14ac:dyDescent="0.4">
      <c r="A347" s="346"/>
      <c r="B347" s="346"/>
      <c r="C347" s="346"/>
      <c r="D347" s="346"/>
      <c r="E347" s="346"/>
      <c r="F347" s="346"/>
      <c r="G347" s="346"/>
    </row>
    <row r="348" spans="1:7" x14ac:dyDescent="0.4">
      <c r="A348" s="346"/>
      <c r="B348" s="346"/>
      <c r="C348" s="346"/>
      <c r="D348" s="346"/>
      <c r="E348" s="346"/>
      <c r="F348" s="346"/>
      <c r="G348" s="346"/>
    </row>
    <row r="349" spans="1:7" x14ac:dyDescent="0.4">
      <c r="A349" s="349"/>
      <c r="B349" s="344" t="s">
        <v>83</v>
      </c>
      <c r="C349" s="344"/>
      <c r="D349" s="344"/>
      <c r="E349" s="344"/>
      <c r="F349" s="344"/>
      <c r="G349" s="344"/>
    </row>
    <row r="350" spans="1:7" x14ac:dyDescent="0.4">
      <c r="A350" s="350" t="s">
        <v>287</v>
      </c>
      <c r="B350" s="346"/>
      <c r="C350" s="346" t="s">
        <v>288</v>
      </c>
      <c r="D350" s="346"/>
      <c r="E350" s="346"/>
      <c r="F350" s="346"/>
      <c r="G350" s="346" t="s">
        <v>105</v>
      </c>
    </row>
    <row r="351" spans="1:7" x14ac:dyDescent="0.4">
      <c r="A351" s="350" t="s">
        <v>289</v>
      </c>
      <c r="B351" s="346"/>
      <c r="C351" s="346" t="s">
        <v>290</v>
      </c>
      <c r="D351" s="346"/>
      <c r="E351" s="346"/>
      <c r="F351" s="346"/>
      <c r="G351" s="346" t="s">
        <v>105</v>
      </c>
    </row>
    <row r="352" spans="1:7" x14ac:dyDescent="0.4">
      <c r="A352" s="350" t="s">
        <v>291</v>
      </c>
      <c r="B352" s="346"/>
      <c r="C352" s="346" t="s">
        <v>292</v>
      </c>
      <c r="D352" s="346"/>
      <c r="E352" s="346"/>
      <c r="F352" s="346"/>
      <c r="G352" s="346" t="s">
        <v>105</v>
      </c>
    </row>
    <row r="353" spans="1:7" x14ac:dyDescent="0.4">
      <c r="A353" s="350" t="s">
        <v>293</v>
      </c>
      <c r="B353" s="346"/>
      <c r="C353" s="346" t="s">
        <v>294</v>
      </c>
      <c r="D353" s="346"/>
      <c r="E353" s="346"/>
      <c r="F353" s="346"/>
      <c r="G353" s="346" t="s">
        <v>105</v>
      </c>
    </row>
    <row r="354" spans="1:7" x14ac:dyDescent="0.4">
      <c r="A354" s="351" t="s">
        <v>295</v>
      </c>
      <c r="B354" s="346"/>
      <c r="C354" s="346" t="s">
        <v>292</v>
      </c>
      <c r="D354" s="346"/>
      <c r="E354" s="346"/>
      <c r="F354" s="346"/>
      <c r="G354" s="346" t="s">
        <v>105</v>
      </c>
    </row>
    <row r="355" spans="1:7" x14ac:dyDescent="0.4">
      <c r="A355" s="350" t="s">
        <v>296</v>
      </c>
      <c r="B355" s="346"/>
      <c r="C355" s="346" t="s">
        <v>297</v>
      </c>
      <c r="D355" s="346"/>
      <c r="E355" s="346"/>
      <c r="F355" s="346"/>
      <c r="G355" s="346"/>
    </row>
    <row r="356" spans="1:7" x14ac:dyDescent="0.4">
      <c r="A356" s="350"/>
      <c r="B356" s="346"/>
      <c r="C356" s="346"/>
      <c r="D356" s="346"/>
      <c r="E356" s="346"/>
      <c r="F356" s="346"/>
      <c r="G356" s="346"/>
    </row>
    <row r="357" spans="1:7" x14ac:dyDescent="0.4">
      <c r="A357" s="350"/>
      <c r="B357" s="346"/>
      <c r="C357" s="346"/>
      <c r="D357" s="346"/>
      <c r="E357" s="346"/>
      <c r="F357" s="346"/>
      <c r="G357" s="346"/>
    </row>
    <row r="358" spans="1:7" x14ac:dyDescent="0.4">
      <c r="A358" s="350"/>
      <c r="B358" s="346"/>
      <c r="C358" s="346"/>
      <c r="D358" s="346"/>
      <c r="E358" s="346"/>
      <c r="F358" s="346"/>
      <c r="G358" s="346"/>
    </row>
    <row r="359" spans="1:7" x14ac:dyDescent="0.4">
      <c r="A359" s="350"/>
      <c r="B359" s="346"/>
      <c r="C359" s="346"/>
      <c r="D359" s="346"/>
      <c r="E359" s="346"/>
      <c r="F359" s="346"/>
      <c r="G359" s="346"/>
    </row>
    <row r="360" spans="1:7" x14ac:dyDescent="0.4">
      <c r="A360" s="350"/>
      <c r="B360" s="346"/>
      <c r="C360" s="346"/>
      <c r="D360" s="346"/>
      <c r="E360" s="346"/>
      <c r="F360" s="346"/>
      <c r="G360" s="346"/>
    </row>
    <row r="361" spans="1:7" x14ac:dyDescent="0.4">
      <c r="A361" s="350"/>
      <c r="B361" s="346"/>
      <c r="C361" s="346"/>
      <c r="D361" s="346"/>
      <c r="E361" s="346"/>
      <c r="F361" s="346"/>
      <c r="G361" s="346"/>
    </row>
    <row r="362" spans="1:7" x14ac:dyDescent="0.4">
      <c r="A362" s="350"/>
      <c r="B362" s="346"/>
      <c r="C362" s="346"/>
      <c r="D362" s="346"/>
      <c r="E362" s="346"/>
      <c r="F362" s="346"/>
      <c r="G362" s="346"/>
    </row>
    <row r="363" spans="1:7" x14ac:dyDescent="0.4">
      <c r="A363" s="350"/>
      <c r="B363" s="346"/>
      <c r="C363" s="346"/>
      <c r="D363" s="346"/>
      <c r="E363" s="346"/>
      <c r="F363" s="346"/>
      <c r="G363" s="346"/>
    </row>
    <row r="364" spans="1:7" x14ac:dyDescent="0.4">
      <c r="A364" s="350"/>
      <c r="B364" s="346"/>
      <c r="C364" s="346"/>
      <c r="D364" s="346"/>
      <c r="E364" s="346"/>
      <c r="F364" s="346"/>
      <c r="G364" s="346"/>
    </row>
    <row r="365" spans="1:7" x14ac:dyDescent="0.4">
      <c r="A365" s="350"/>
      <c r="B365" s="346"/>
      <c r="C365" s="346"/>
      <c r="D365" s="346"/>
      <c r="E365" s="346"/>
      <c r="F365" s="346"/>
      <c r="G365" s="346"/>
    </row>
    <row r="366" spans="1:7" x14ac:dyDescent="0.4">
      <c r="A366" s="350"/>
      <c r="B366" s="346"/>
      <c r="C366" s="346"/>
      <c r="D366" s="346"/>
      <c r="E366" s="346"/>
      <c r="F366" s="346"/>
      <c r="G366" s="346"/>
    </row>
    <row r="367" spans="1:7" x14ac:dyDescent="0.4">
      <c r="A367" s="350"/>
      <c r="B367" s="346"/>
      <c r="C367" s="346"/>
      <c r="D367" s="346"/>
      <c r="E367" s="346"/>
      <c r="F367" s="346"/>
      <c r="G367" s="346"/>
    </row>
    <row r="368" spans="1:7" x14ac:dyDescent="0.4">
      <c r="A368" s="350"/>
      <c r="B368" s="346"/>
      <c r="C368" s="346"/>
      <c r="D368" s="346"/>
      <c r="E368" s="346"/>
      <c r="F368" s="346"/>
      <c r="G368" s="346"/>
    </row>
    <row r="369" spans="1:7" x14ac:dyDescent="0.4">
      <c r="A369" s="350"/>
      <c r="B369" s="346"/>
      <c r="C369" s="346"/>
      <c r="D369" s="346"/>
      <c r="E369" s="346"/>
      <c r="F369" s="346"/>
      <c r="G369" s="346"/>
    </row>
    <row r="370" spans="1:7" x14ac:dyDescent="0.4">
      <c r="A370" s="350"/>
      <c r="B370" s="346"/>
      <c r="C370" s="346"/>
      <c r="D370" s="346"/>
      <c r="E370" s="346"/>
      <c r="F370" s="346"/>
      <c r="G370" s="346"/>
    </row>
    <row r="371" spans="1:7" x14ac:dyDescent="0.4">
      <c r="A371" s="350"/>
      <c r="B371" s="346"/>
      <c r="C371" s="346"/>
      <c r="D371" s="346"/>
      <c r="E371" s="346"/>
      <c r="F371" s="346"/>
      <c r="G371" s="346"/>
    </row>
    <row r="372" spans="1:7" x14ac:dyDescent="0.4">
      <c r="A372" s="350"/>
      <c r="B372" s="346"/>
      <c r="C372" s="346"/>
      <c r="D372" s="346"/>
      <c r="E372" s="346"/>
      <c r="F372" s="346"/>
      <c r="G372" s="346"/>
    </row>
    <row r="373" spans="1:7" x14ac:dyDescent="0.4">
      <c r="A373" s="350"/>
      <c r="B373" s="346"/>
      <c r="C373" s="346"/>
      <c r="D373" s="346"/>
      <c r="E373" s="346"/>
      <c r="F373" s="346"/>
      <c r="G373" s="346"/>
    </row>
    <row r="374" spans="1:7" x14ac:dyDescent="0.4">
      <c r="A374" s="350"/>
      <c r="B374" s="346"/>
      <c r="C374" s="346"/>
      <c r="D374" s="346"/>
      <c r="E374" s="346"/>
      <c r="F374" s="346"/>
      <c r="G374" s="346"/>
    </row>
    <row r="375" spans="1:7" x14ac:dyDescent="0.4">
      <c r="A375" s="351"/>
      <c r="B375" s="346"/>
      <c r="C375" s="346"/>
      <c r="D375" s="346"/>
      <c r="E375" s="346"/>
      <c r="F375" s="346"/>
      <c r="G375" s="346"/>
    </row>
    <row r="376" spans="1:7" x14ac:dyDescent="0.4">
      <c r="A376" s="351"/>
      <c r="B376" s="346"/>
      <c r="C376" s="346"/>
      <c r="D376" s="346"/>
      <c r="E376" s="346"/>
      <c r="F376" s="346"/>
      <c r="G376" s="346"/>
    </row>
    <row r="377" spans="1:7" x14ac:dyDescent="0.4">
      <c r="A377" s="351"/>
      <c r="B377" s="346"/>
      <c r="C377" s="346"/>
      <c r="D377" s="346"/>
      <c r="E377" s="346"/>
      <c r="F377" s="346"/>
      <c r="G377" s="346"/>
    </row>
    <row r="378" spans="1:7" x14ac:dyDescent="0.4">
      <c r="A378" s="351"/>
      <c r="B378" s="346"/>
      <c r="C378" s="346"/>
      <c r="D378" s="346"/>
      <c r="E378" s="346"/>
      <c r="F378" s="346"/>
      <c r="G378" s="346"/>
    </row>
    <row r="379" spans="1:7" x14ac:dyDescent="0.4">
      <c r="A379" s="351"/>
      <c r="B379" s="346"/>
      <c r="C379" s="346"/>
      <c r="D379" s="346"/>
      <c r="E379" s="346"/>
      <c r="F379" s="346"/>
      <c r="G379" s="346"/>
    </row>
    <row r="380" spans="1:7" x14ac:dyDescent="0.4">
      <c r="A380" s="351"/>
      <c r="B380" s="346"/>
      <c r="C380" s="346"/>
      <c r="D380" s="346"/>
      <c r="E380" s="346"/>
      <c r="F380" s="346"/>
      <c r="G380" s="346"/>
    </row>
    <row r="381" spans="1:7" x14ac:dyDescent="0.4">
      <c r="A381" s="344"/>
      <c r="B381" s="344" t="s">
        <v>87</v>
      </c>
      <c r="C381" s="344"/>
      <c r="D381" s="344"/>
      <c r="E381" s="344"/>
      <c r="F381" s="344"/>
      <c r="G381" s="344"/>
    </row>
    <row r="382" spans="1:7" x14ac:dyDescent="0.4">
      <c r="A382" s="346" t="s">
        <v>298</v>
      </c>
      <c r="B382" s="346"/>
      <c r="C382" s="346" t="s">
        <v>299</v>
      </c>
      <c r="D382" s="346"/>
      <c r="E382" s="346"/>
      <c r="F382" s="346"/>
      <c r="G382" s="346"/>
    </row>
    <row r="383" spans="1:7" x14ac:dyDescent="0.4">
      <c r="A383" s="346" t="s">
        <v>300</v>
      </c>
      <c r="B383" s="346"/>
      <c r="C383" s="346" t="s">
        <v>301</v>
      </c>
      <c r="D383" s="346"/>
      <c r="E383" s="346"/>
      <c r="F383" s="346"/>
      <c r="G383" s="346"/>
    </row>
    <row r="384" spans="1:7" x14ac:dyDescent="0.4">
      <c r="A384" s="346" t="s">
        <v>302</v>
      </c>
      <c r="B384" s="346"/>
      <c r="C384" s="346" t="s">
        <v>303</v>
      </c>
      <c r="D384" s="346"/>
      <c r="E384" s="346"/>
      <c r="F384" s="346"/>
      <c r="G384" s="346"/>
    </row>
    <row r="385" spans="1:7" x14ac:dyDescent="0.4">
      <c r="A385" s="346" t="s">
        <v>304</v>
      </c>
      <c r="B385" s="346"/>
      <c r="C385" s="346" t="s">
        <v>305</v>
      </c>
      <c r="D385" s="346"/>
      <c r="E385" s="346"/>
      <c r="F385" s="346"/>
      <c r="G385" s="346"/>
    </row>
    <row r="386" spans="1:7" x14ac:dyDescent="0.4">
      <c r="A386" s="346" t="s">
        <v>306</v>
      </c>
      <c r="B386" s="346"/>
      <c r="C386" s="346" t="s">
        <v>307</v>
      </c>
      <c r="D386" s="346"/>
      <c r="E386" s="346"/>
      <c r="F386" s="346"/>
      <c r="G386" s="346"/>
    </row>
    <row r="387" spans="1:7" x14ac:dyDescent="0.4">
      <c r="A387" s="346" t="s">
        <v>308</v>
      </c>
      <c r="B387" s="346"/>
      <c r="C387" s="346" t="s">
        <v>309</v>
      </c>
      <c r="D387" s="346"/>
      <c r="E387" s="346"/>
      <c r="F387" s="346"/>
      <c r="G387" s="346"/>
    </row>
    <row r="388" spans="1:7" x14ac:dyDescent="0.4">
      <c r="A388" s="346" t="s">
        <v>310</v>
      </c>
      <c r="B388" s="346"/>
      <c r="C388" s="346" t="s">
        <v>311</v>
      </c>
      <c r="D388" s="346" t="s">
        <v>312</v>
      </c>
      <c r="E388" s="346"/>
      <c r="F388" s="346"/>
      <c r="G388" s="346"/>
    </row>
    <row r="389" spans="1:7" x14ac:dyDescent="0.4">
      <c r="A389" s="346" t="s">
        <v>313</v>
      </c>
      <c r="B389" s="346"/>
      <c r="C389" s="346" t="s">
        <v>314</v>
      </c>
      <c r="D389" s="346" t="s">
        <v>312</v>
      </c>
      <c r="E389" s="346"/>
      <c r="F389" s="346"/>
      <c r="G389" s="346"/>
    </row>
    <row r="390" spans="1:7" x14ac:dyDescent="0.4">
      <c r="A390" s="346" t="s">
        <v>315</v>
      </c>
      <c r="B390" s="346"/>
      <c r="C390" s="346" t="s">
        <v>316</v>
      </c>
      <c r="D390" s="346" t="s">
        <v>312</v>
      </c>
      <c r="E390" s="346"/>
      <c r="F390" s="346"/>
      <c r="G390" s="346"/>
    </row>
    <row r="391" spans="1:7" x14ac:dyDescent="0.4">
      <c r="A391" s="346"/>
      <c r="B391" s="346"/>
      <c r="C391" s="346"/>
      <c r="D391" s="346"/>
      <c r="E391" s="346"/>
      <c r="F391" s="346"/>
      <c r="G391" s="346"/>
    </row>
    <row r="392" spans="1:7" x14ac:dyDescent="0.4">
      <c r="A392" s="346"/>
      <c r="B392" s="346"/>
      <c r="C392" s="346"/>
      <c r="D392" s="346"/>
      <c r="E392" s="346"/>
      <c r="F392" s="346"/>
      <c r="G392" s="346"/>
    </row>
    <row r="393" spans="1:7" x14ac:dyDescent="0.4">
      <c r="A393" s="346"/>
      <c r="B393" s="346"/>
      <c r="C393" s="346"/>
      <c r="D393" s="346"/>
      <c r="E393" s="346"/>
      <c r="F393" s="346"/>
      <c r="G393" s="346"/>
    </row>
    <row r="394" spans="1:7" x14ac:dyDescent="0.4">
      <c r="A394" s="346"/>
      <c r="B394" s="346"/>
      <c r="C394" s="346"/>
      <c r="D394" s="346"/>
      <c r="E394" s="346"/>
      <c r="F394" s="346"/>
      <c r="G394" s="346"/>
    </row>
    <row r="395" spans="1:7" x14ac:dyDescent="0.4">
      <c r="A395" s="346"/>
      <c r="B395" s="346"/>
      <c r="C395" s="346"/>
      <c r="D395" s="346"/>
      <c r="E395" s="346"/>
      <c r="F395" s="346"/>
      <c r="G395" s="346"/>
    </row>
    <row r="396" spans="1:7" x14ac:dyDescent="0.4">
      <c r="A396" s="346"/>
      <c r="B396" s="346"/>
      <c r="C396" s="346"/>
      <c r="D396" s="346"/>
      <c r="E396" s="346"/>
      <c r="F396" s="346"/>
      <c r="G396" s="346"/>
    </row>
    <row r="397" spans="1:7" x14ac:dyDescent="0.4">
      <c r="A397" s="346"/>
      <c r="B397" s="346"/>
      <c r="C397" s="346"/>
      <c r="D397" s="346"/>
      <c r="E397" s="346"/>
      <c r="F397" s="346"/>
      <c r="G397" s="346"/>
    </row>
    <row r="398" spans="1:7" x14ac:dyDescent="0.4">
      <c r="A398" s="346"/>
      <c r="B398" s="346"/>
      <c r="C398" s="346"/>
      <c r="D398" s="346"/>
      <c r="E398" s="346"/>
      <c r="F398" s="346"/>
      <c r="G398" s="346"/>
    </row>
    <row r="399" spans="1:7" x14ac:dyDescent="0.4">
      <c r="A399" s="346"/>
      <c r="B399" s="346"/>
      <c r="C399" s="346"/>
      <c r="D399" s="346"/>
      <c r="E399" s="346"/>
      <c r="F399" s="346"/>
      <c r="G399" s="346"/>
    </row>
    <row r="400" spans="1:7" x14ac:dyDescent="0.4">
      <c r="A400" s="346"/>
      <c r="B400" s="346"/>
      <c r="C400" s="346"/>
      <c r="D400" s="346"/>
      <c r="E400" s="346"/>
      <c r="F400" s="346"/>
      <c r="G400" s="346"/>
    </row>
    <row r="401" spans="1:7" x14ac:dyDescent="0.4">
      <c r="A401" s="344"/>
      <c r="B401" s="344" t="s">
        <v>90</v>
      </c>
      <c r="C401" s="344"/>
      <c r="D401" s="344"/>
      <c r="E401" s="344"/>
      <c r="F401" s="344"/>
      <c r="G401" s="344"/>
    </row>
    <row r="402" spans="1:7" x14ac:dyDescent="0.4">
      <c r="A402" s="346" t="s">
        <v>317</v>
      </c>
      <c r="B402" s="346"/>
      <c r="C402" s="346" t="s">
        <v>319</v>
      </c>
      <c r="D402" s="346"/>
      <c r="E402" s="346"/>
      <c r="F402" s="346"/>
      <c r="G402" s="346"/>
    </row>
    <row r="403" spans="1:7" x14ac:dyDescent="0.4">
      <c r="A403" s="346" t="s">
        <v>318</v>
      </c>
      <c r="B403" s="346"/>
      <c r="C403" s="346" t="s">
        <v>321</v>
      </c>
      <c r="D403" s="346"/>
      <c r="E403" s="346"/>
      <c r="F403" s="346"/>
      <c r="G403" s="346"/>
    </row>
    <row r="404" spans="1:7" x14ac:dyDescent="0.4">
      <c r="A404" s="346" t="s">
        <v>320</v>
      </c>
      <c r="B404" s="346"/>
      <c r="C404" s="346" t="s">
        <v>323</v>
      </c>
      <c r="D404" s="346" t="s">
        <v>76</v>
      </c>
      <c r="E404" s="346"/>
      <c r="F404" s="346"/>
      <c r="G404" s="346"/>
    </row>
    <row r="405" spans="1:7" x14ac:dyDescent="0.4">
      <c r="A405" s="346" t="s">
        <v>322</v>
      </c>
      <c r="B405" s="346"/>
      <c r="C405" s="346" t="s">
        <v>325</v>
      </c>
      <c r="D405" s="346"/>
      <c r="E405" s="346"/>
      <c r="F405" s="346"/>
      <c r="G405" s="346"/>
    </row>
    <row r="406" spans="1:7" x14ac:dyDescent="0.4">
      <c r="A406" s="346" t="s">
        <v>324</v>
      </c>
      <c r="B406" s="346"/>
      <c r="C406" s="346" t="s">
        <v>327</v>
      </c>
      <c r="D406" s="346"/>
      <c r="E406" s="346"/>
      <c r="F406" s="346"/>
      <c r="G406" s="346"/>
    </row>
    <row r="407" spans="1:7" x14ac:dyDescent="0.4">
      <c r="A407" s="346" t="s">
        <v>326</v>
      </c>
      <c r="B407" s="346"/>
      <c r="C407" s="346" t="s">
        <v>329</v>
      </c>
      <c r="D407" s="346"/>
      <c r="E407" s="346"/>
      <c r="F407" s="346"/>
      <c r="G407" s="346"/>
    </row>
    <row r="408" spans="1:7" x14ac:dyDescent="0.4">
      <c r="A408" s="346" t="s">
        <v>328</v>
      </c>
      <c r="B408" s="346"/>
      <c r="C408" s="346" t="s">
        <v>331</v>
      </c>
      <c r="D408" s="346"/>
      <c r="E408" s="346"/>
      <c r="F408" s="346"/>
      <c r="G408" s="346"/>
    </row>
    <row r="409" spans="1:7" x14ac:dyDescent="0.4">
      <c r="A409" s="346" t="s">
        <v>330</v>
      </c>
      <c r="B409" s="346"/>
      <c r="C409" s="346" t="s">
        <v>333</v>
      </c>
      <c r="D409" s="346"/>
      <c r="E409" s="346"/>
      <c r="F409" s="346"/>
      <c r="G409" s="346"/>
    </row>
    <row r="410" spans="1:7" x14ac:dyDescent="0.4">
      <c r="A410" s="346" t="s">
        <v>332</v>
      </c>
      <c r="B410" s="346"/>
      <c r="C410" s="346" t="s">
        <v>335</v>
      </c>
      <c r="D410" s="346"/>
      <c r="E410" s="346"/>
      <c r="F410" s="346"/>
      <c r="G410" s="346"/>
    </row>
    <row r="411" spans="1:7" x14ac:dyDescent="0.4">
      <c r="A411" s="346" t="s">
        <v>334</v>
      </c>
      <c r="B411" s="346"/>
      <c r="C411" s="346" t="s">
        <v>329</v>
      </c>
      <c r="D411" s="346"/>
      <c r="E411" s="346"/>
      <c r="F411" s="346"/>
      <c r="G411" s="346"/>
    </row>
    <row r="412" spans="1:7" x14ac:dyDescent="0.4">
      <c r="A412" s="346" t="s">
        <v>336</v>
      </c>
      <c r="B412" s="346"/>
      <c r="C412" s="346" t="s">
        <v>337</v>
      </c>
      <c r="D412" s="346"/>
      <c r="E412" s="346"/>
      <c r="F412" s="346"/>
      <c r="G412" s="346"/>
    </row>
    <row r="413" spans="1:7" x14ac:dyDescent="0.4">
      <c r="A413" s="346"/>
      <c r="B413" s="346"/>
      <c r="C413" s="346"/>
      <c r="D413" s="346"/>
      <c r="E413" s="346"/>
      <c r="F413" s="346"/>
      <c r="G413" s="346"/>
    </row>
    <row r="414" spans="1:7" x14ac:dyDescent="0.4">
      <c r="A414" s="346"/>
      <c r="B414" s="346"/>
      <c r="C414" s="346"/>
      <c r="D414" s="346"/>
      <c r="E414" s="346"/>
      <c r="F414" s="346"/>
      <c r="G414" s="346"/>
    </row>
    <row r="415" spans="1:7" x14ac:dyDescent="0.4">
      <c r="A415" s="346"/>
      <c r="B415" s="346"/>
      <c r="C415" s="346"/>
      <c r="D415" s="346"/>
      <c r="E415" s="346"/>
      <c r="F415" s="346"/>
      <c r="G415" s="346"/>
    </row>
    <row r="416" spans="1:7" x14ac:dyDescent="0.4">
      <c r="A416" s="346"/>
      <c r="B416" s="346"/>
      <c r="C416" s="346"/>
      <c r="D416" s="346"/>
      <c r="E416" s="346"/>
      <c r="F416" s="346"/>
      <c r="G416" s="346"/>
    </row>
    <row r="417" spans="1:7" x14ac:dyDescent="0.4">
      <c r="A417" s="346"/>
      <c r="B417" s="346"/>
      <c r="C417" s="346"/>
      <c r="D417" s="346"/>
      <c r="E417" s="346"/>
      <c r="F417" s="346"/>
      <c r="G417" s="346"/>
    </row>
    <row r="418" spans="1:7" x14ac:dyDescent="0.4">
      <c r="A418" s="346"/>
      <c r="B418" s="346"/>
      <c r="C418" s="346"/>
      <c r="D418" s="346"/>
      <c r="E418" s="346"/>
      <c r="F418" s="346"/>
      <c r="G418" s="346"/>
    </row>
    <row r="419" spans="1:7" x14ac:dyDescent="0.4">
      <c r="A419" s="346"/>
      <c r="B419" s="346"/>
      <c r="C419" s="346"/>
      <c r="D419" s="346"/>
      <c r="E419" s="346"/>
      <c r="F419" s="346"/>
      <c r="G419" s="346"/>
    </row>
    <row r="420" spans="1:7" x14ac:dyDescent="0.4">
      <c r="A420" s="346"/>
      <c r="B420" s="346"/>
      <c r="C420" s="346"/>
      <c r="D420" s="346"/>
      <c r="E420" s="346"/>
      <c r="F420" s="346"/>
      <c r="G420" s="346"/>
    </row>
    <row r="421" spans="1:7" x14ac:dyDescent="0.4">
      <c r="A421" s="346"/>
      <c r="B421" s="346"/>
      <c r="C421" s="346"/>
      <c r="D421" s="346"/>
      <c r="E421" s="346"/>
      <c r="F421" s="346"/>
      <c r="G421" s="346"/>
    </row>
    <row r="422" spans="1:7" x14ac:dyDescent="0.4">
      <c r="A422" s="346"/>
      <c r="B422" s="346"/>
      <c r="C422" s="346"/>
      <c r="D422" s="346"/>
      <c r="E422" s="346"/>
      <c r="F422" s="346"/>
      <c r="G422" s="346"/>
    </row>
    <row r="423" spans="1:7" x14ac:dyDescent="0.4">
      <c r="A423" s="346"/>
      <c r="B423" s="346"/>
      <c r="C423" s="346"/>
      <c r="D423" s="346"/>
      <c r="E423" s="346"/>
      <c r="F423" s="346"/>
      <c r="G423" s="346"/>
    </row>
    <row r="424" spans="1:7" x14ac:dyDescent="0.4">
      <c r="A424" s="346"/>
      <c r="B424" s="346"/>
      <c r="C424" s="346"/>
      <c r="D424" s="346"/>
      <c r="E424" s="346"/>
      <c r="F424" s="346"/>
      <c r="G424" s="346"/>
    </row>
    <row r="425" spans="1:7" x14ac:dyDescent="0.4">
      <c r="A425" s="346"/>
      <c r="B425" s="346"/>
      <c r="C425" s="346"/>
      <c r="D425" s="346"/>
      <c r="E425" s="346"/>
      <c r="F425" s="346"/>
      <c r="G425" s="346"/>
    </row>
    <row r="426" spans="1:7" x14ac:dyDescent="0.4">
      <c r="A426" s="346"/>
      <c r="B426" s="346"/>
      <c r="C426" s="346"/>
      <c r="D426" s="346"/>
      <c r="E426" s="346"/>
      <c r="F426" s="346"/>
      <c r="G426" s="346"/>
    </row>
    <row r="427" spans="1:7" x14ac:dyDescent="0.4">
      <c r="A427" s="346"/>
      <c r="B427" s="346"/>
      <c r="C427" s="346"/>
      <c r="D427" s="346"/>
      <c r="E427" s="346"/>
      <c r="F427" s="346"/>
      <c r="G427" s="346"/>
    </row>
    <row r="428" spans="1:7" x14ac:dyDescent="0.4">
      <c r="A428" s="346"/>
      <c r="B428" s="346"/>
      <c r="C428" s="346"/>
      <c r="D428" s="346"/>
      <c r="E428" s="346"/>
      <c r="F428" s="346"/>
      <c r="G428" s="346"/>
    </row>
    <row r="429" spans="1:7" x14ac:dyDescent="0.4">
      <c r="A429" s="346"/>
      <c r="B429" s="346"/>
      <c r="C429" s="346"/>
      <c r="D429" s="346"/>
      <c r="E429" s="346"/>
      <c r="F429" s="346"/>
      <c r="G429" s="346"/>
    </row>
    <row r="430" spans="1:7" x14ac:dyDescent="0.4">
      <c r="A430" s="346"/>
      <c r="B430" s="346"/>
      <c r="C430" s="346"/>
      <c r="D430" s="346"/>
      <c r="E430" s="346"/>
      <c r="F430" s="346"/>
      <c r="G430" s="346"/>
    </row>
    <row r="431" spans="1:7" x14ac:dyDescent="0.4">
      <c r="A431" s="346"/>
      <c r="B431" s="346"/>
      <c r="C431" s="346"/>
      <c r="D431" s="346"/>
      <c r="E431" s="346"/>
      <c r="F431" s="346"/>
      <c r="G431" s="346"/>
    </row>
    <row r="432" spans="1:7" x14ac:dyDescent="0.4">
      <c r="A432" s="346"/>
      <c r="B432" s="346"/>
      <c r="C432" s="346"/>
      <c r="D432" s="346"/>
      <c r="E432" s="346"/>
      <c r="F432" s="346"/>
      <c r="G432" s="346"/>
    </row>
    <row r="433" spans="1:7" x14ac:dyDescent="0.4">
      <c r="A433" s="346"/>
      <c r="B433" s="346"/>
      <c r="C433" s="346"/>
      <c r="D433" s="346"/>
      <c r="E433" s="346"/>
      <c r="F433" s="346"/>
      <c r="G433" s="346"/>
    </row>
    <row r="434" spans="1:7" x14ac:dyDescent="0.4">
      <c r="A434" s="346"/>
      <c r="B434" s="346"/>
      <c r="C434" s="346"/>
      <c r="D434" s="346"/>
      <c r="E434" s="346"/>
      <c r="F434" s="346"/>
      <c r="G434" s="346"/>
    </row>
    <row r="435" spans="1:7" x14ac:dyDescent="0.4">
      <c r="A435" s="346"/>
      <c r="B435" s="346"/>
      <c r="C435" s="346"/>
      <c r="D435" s="346"/>
      <c r="E435" s="346"/>
      <c r="F435" s="346"/>
      <c r="G435" s="346"/>
    </row>
    <row r="436" spans="1:7" x14ac:dyDescent="0.4">
      <c r="A436" s="346"/>
      <c r="B436" s="346"/>
      <c r="C436" s="346"/>
      <c r="D436" s="346"/>
      <c r="E436" s="346"/>
      <c r="F436" s="346"/>
      <c r="G436" s="346"/>
    </row>
    <row r="437" spans="1:7" x14ac:dyDescent="0.4">
      <c r="A437" s="346"/>
      <c r="B437" s="346"/>
      <c r="C437" s="346"/>
      <c r="D437" s="346"/>
      <c r="E437" s="346"/>
      <c r="F437" s="346"/>
      <c r="G437" s="346"/>
    </row>
    <row r="438" spans="1:7" x14ac:dyDescent="0.4">
      <c r="A438" s="346"/>
      <c r="B438" s="346"/>
      <c r="C438" s="346"/>
      <c r="D438" s="346"/>
      <c r="E438" s="346"/>
      <c r="F438" s="346"/>
      <c r="G438" s="346"/>
    </row>
    <row r="439" spans="1:7" x14ac:dyDescent="0.4">
      <c r="A439" s="346"/>
      <c r="B439" s="346"/>
      <c r="C439" s="346"/>
      <c r="D439" s="346"/>
      <c r="E439" s="346"/>
      <c r="F439" s="346"/>
      <c r="G439" s="346"/>
    </row>
    <row r="440" spans="1:7" x14ac:dyDescent="0.4">
      <c r="A440" s="346"/>
      <c r="B440" s="346"/>
      <c r="C440" s="346"/>
      <c r="D440" s="346"/>
      <c r="E440" s="346"/>
      <c r="F440" s="346"/>
      <c r="G440" s="346"/>
    </row>
    <row r="441" spans="1:7" x14ac:dyDescent="0.4">
      <c r="A441" s="346"/>
      <c r="B441" s="346"/>
      <c r="C441" s="346" t="s">
        <v>378</v>
      </c>
      <c r="D441" s="346"/>
      <c r="E441" s="346"/>
      <c r="F441" s="346"/>
      <c r="G441" s="346"/>
    </row>
    <row r="442" spans="1:7" x14ac:dyDescent="0.4">
      <c r="A442" s="346"/>
      <c r="B442" s="346"/>
      <c r="C442" s="346"/>
      <c r="D442" s="346"/>
      <c r="E442" s="346"/>
      <c r="F442" s="346"/>
      <c r="G442" s="346"/>
    </row>
    <row r="443" spans="1:7" x14ac:dyDescent="0.4">
      <c r="A443" s="346"/>
      <c r="B443" s="346"/>
      <c r="C443" s="346"/>
      <c r="D443" s="346"/>
      <c r="E443" s="346"/>
      <c r="F443" s="346"/>
      <c r="G443" s="346"/>
    </row>
    <row r="444" spans="1:7" x14ac:dyDescent="0.4">
      <c r="A444" s="346"/>
      <c r="B444" s="346"/>
      <c r="C444" s="346"/>
      <c r="D444" s="346"/>
      <c r="E444" s="346"/>
      <c r="F444" s="346"/>
      <c r="G444" s="346"/>
    </row>
  </sheetData>
  <phoneticPr fontId="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F8A3-6149-4E4D-A22D-2FC1ECA33D22}">
  <sheetPr codeName="Sheet5"/>
  <dimension ref="A1:H444"/>
  <sheetViews>
    <sheetView zoomScale="80" zoomScaleNormal="80" workbookViewId="0">
      <pane ySplit="1" topLeftCell="A184" activePane="bottomLeft" state="frozen"/>
      <selection activeCell="A2" sqref="A2"/>
      <selection pane="bottomLeft" activeCell="C245" sqref="C245"/>
    </sheetView>
  </sheetViews>
  <sheetFormatPr defaultColWidth="9" defaultRowHeight="13.5" x14ac:dyDescent="0.4"/>
  <cols>
    <col min="1" max="1" width="33.75" style="345" bestFit="1" customWidth="1"/>
    <col min="2" max="2" width="11.75" style="345" customWidth="1"/>
    <col min="3" max="3" width="38.375" style="345" bestFit="1" customWidth="1"/>
    <col min="4" max="4" width="10.25" style="345" customWidth="1"/>
    <col min="5" max="5" width="15.75" style="345" customWidth="1"/>
    <col min="6" max="6" width="14" style="345" customWidth="1"/>
    <col min="7" max="7" width="12.75" style="345" customWidth="1"/>
    <col min="8" max="16384" width="9" style="345"/>
  </cols>
  <sheetData>
    <row r="1" spans="1:8" s="343" customFormat="1" ht="14.25" x14ac:dyDescent="0.4">
      <c r="A1" s="342" t="s">
        <v>3</v>
      </c>
      <c r="B1" s="342" t="s">
        <v>2</v>
      </c>
      <c r="C1" s="342" t="s">
        <v>5</v>
      </c>
      <c r="D1" s="342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44"/>
      <c r="E2" s="344"/>
      <c r="F2" s="344"/>
      <c r="G2" s="344"/>
      <c r="H2" s="345" t="s">
        <v>53</v>
      </c>
    </row>
    <row r="3" spans="1:8" x14ac:dyDescent="0.4">
      <c r="A3" s="346" t="s">
        <v>341</v>
      </c>
      <c r="B3" s="346"/>
      <c r="C3" s="346" t="s">
        <v>342</v>
      </c>
      <c r="D3" s="346" t="s">
        <v>343</v>
      </c>
      <c r="E3" s="346"/>
      <c r="F3" s="346"/>
      <c r="G3" s="346"/>
      <c r="H3" s="345" t="s">
        <v>60</v>
      </c>
    </row>
    <row r="4" spans="1:8" x14ac:dyDescent="0.4">
      <c r="A4" s="346" t="s">
        <v>344</v>
      </c>
      <c r="B4" s="346"/>
      <c r="C4" s="346" t="s">
        <v>345</v>
      </c>
      <c r="D4" s="346"/>
      <c r="E4" s="346"/>
      <c r="F4" s="346"/>
      <c r="G4" s="346"/>
      <c r="H4" s="345" t="s">
        <v>64</v>
      </c>
    </row>
    <row r="5" spans="1:8" x14ac:dyDescent="0.4">
      <c r="A5" s="346" t="s">
        <v>346</v>
      </c>
      <c r="B5" s="346"/>
      <c r="C5" s="346" t="s">
        <v>347</v>
      </c>
      <c r="D5" s="346" t="s">
        <v>348</v>
      </c>
      <c r="E5" s="346"/>
      <c r="F5" s="346"/>
      <c r="G5" s="346"/>
      <c r="H5" s="345" t="s">
        <v>67</v>
      </c>
    </row>
    <row r="6" spans="1:8" x14ac:dyDescent="0.4">
      <c r="A6" s="346" t="s">
        <v>349</v>
      </c>
      <c r="B6" s="346"/>
      <c r="C6" s="346" t="s">
        <v>2526</v>
      </c>
      <c r="D6" s="346" t="s">
        <v>350</v>
      </c>
      <c r="E6" s="346"/>
      <c r="F6" s="346"/>
      <c r="G6" s="346"/>
      <c r="H6" s="347" t="s">
        <v>70</v>
      </c>
    </row>
    <row r="7" spans="1:8" x14ac:dyDescent="0.4">
      <c r="A7" s="346" t="s">
        <v>351</v>
      </c>
      <c r="B7" s="346"/>
      <c r="C7" s="346" t="s">
        <v>352</v>
      </c>
      <c r="D7" s="346"/>
      <c r="E7" s="346"/>
      <c r="F7" s="346"/>
      <c r="G7" s="346"/>
      <c r="H7" s="345" t="s">
        <v>73</v>
      </c>
    </row>
    <row r="8" spans="1:8" x14ac:dyDescent="0.4">
      <c r="A8" s="346" t="s">
        <v>353</v>
      </c>
      <c r="B8" s="346"/>
      <c r="C8" s="346" t="s">
        <v>2526</v>
      </c>
      <c r="D8" s="346" t="s">
        <v>354</v>
      </c>
      <c r="E8" s="346"/>
      <c r="F8" s="346"/>
      <c r="G8" s="346"/>
      <c r="H8" s="345" t="s">
        <v>77</v>
      </c>
    </row>
    <row r="9" spans="1:8" x14ac:dyDescent="0.4">
      <c r="A9" s="346" t="s">
        <v>355</v>
      </c>
      <c r="B9" s="346"/>
      <c r="C9" s="346" t="s">
        <v>2526</v>
      </c>
      <c r="D9" s="346" t="s">
        <v>356</v>
      </c>
      <c r="E9" s="346"/>
      <c r="F9" s="346"/>
      <c r="G9" s="346"/>
      <c r="H9" s="345" t="s">
        <v>80</v>
      </c>
    </row>
    <row r="10" spans="1:8" x14ac:dyDescent="0.4">
      <c r="A10" s="346" t="s">
        <v>357</v>
      </c>
      <c r="B10" s="346"/>
      <c r="C10" s="346" t="s">
        <v>2527</v>
      </c>
      <c r="D10" s="346" t="s">
        <v>358</v>
      </c>
      <c r="E10" s="346"/>
      <c r="F10" s="346"/>
      <c r="G10" s="346"/>
      <c r="H10" s="345" t="s">
        <v>83</v>
      </c>
    </row>
    <row r="11" spans="1:8" x14ac:dyDescent="0.4">
      <c r="A11" s="346" t="s">
        <v>359</v>
      </c>
      <c r="B11" s="346"/>
      <c r="C11" s="346" t="s">
        <v>360</v>
      </c>
      <c r="D11" s="346" t="s">
        <v>358</v>
      </c>
      <c r="E11" s="346"/>
      <c r="F11" s="346"/>
      <c r="G11" s="346"/>
      <c r="H11" s="345" t="s">
        <v>87</v>
      </c>
    </row>
    <row r="12" spans="1:8" x14ac:dyDescent="0.4">
      <c r="A12" s="346" t="s">
        <v>2230</v>
      </c>
      <c r="B12" s="346"/>
      <c r="C12" s="346" t="s">
        <v>2231</v>
      </c>
      <c r="D12" s="346" t="s">
        <v>2232</v>
      </c>
      <c r="E12" s="346"/>
      <c r="F12" s="346"/>
      <c r="G12" s="346"/>
      <c r="H12" s="345" t="s">
        <v>90</v>
      </c>
    </row>
    <row r="13" spans="1:8" x14ac:dyDescent="0.4">
      <c r="A13" s="346" t="s">
        <v>2276</v>
      </c>
      <c r="B13" s="346"/>
      <c r="C13" s="346" t="s">
        <v>2277</v>
      </c>
      <c r="D13" s="346" t="s">
        <v>2232</v>
      </c>
      <c r="E13" s="346"/>
      <c r="F13" s="346"/>
      <c r="G13" s="346"/>
    </row>
    <row r="14" spans="1:8" x14ac:dyDescent="0.4">
      <c r="A14" s="346" t="s">
        <v>2471</v>
      </c>
      <c r="B14" s="346" t="s">
        <v>2311</v>
      </c>
      <c r="C14" s="346" t="s">
        <v>2472</v>
      </c>
      <c r="D14" s="346" t="s">
        <v>358</v>
      </c>
      <c r="E14" s="346"/>
      <c r="F14" s="346" t="s">
        <v>2455</v>
      </c>
      <c r="G14" s="346"/>
    </row>
    <row r="15" spans="1:8" x14ac:dyDescent="0.4">
      <c r="A15" s="346"/>
      <c r="B15" s="346"/>
      <c r="C15" s="346"/>
      <c r="D15" s="346"/>
      <c r="E15" s="346"/>
      <c r="F15" s="346"/>
      <c r="G15" s="346"/>
    </row>
    <row r="16" spans="1:8" x14ac:dyDescent="0.4">
      <c r="A16" s="346"/>
      <c r="B16" s="346"/>
      <c r="C16" s="346"/>
      <c r="D16" s="346"/>
      <c r="E16" s="346"/>
      <c r="F16" s="346"/>
      <c r="G16" s="346"/>
    </row>
    <row r="17" spans="1:7" x14ac:dyDescent="0.4">
      <c r="A17" s="346"/>
      <c r="B17" s="346"/>
      <c r="C17" s="346"/>
      <c r="D17" s="346"/>
      <c r="E17" s="346"/>
      <c r="F17" s="346"/>
      <c r="G17" s="346"/>
    </row>
    <row r="18" spans="1:7" x14ac:dyDescent="0.4">
      <c r="A18" s="346"/>
      <c r="B18" s="346"/>
      <c r="C18" s="346"/>
      <c r="D18" s="346"/>
      <c r="E18" s="346"/>
      <c r="F18" s="346"/>
      <c r="G18" s="346"/>
    </row>
    <row r="19" spans="1:7" x14ac:dyDescent="0.4">
      <c r="A19" s="346"/>
      <c r="B19" s="346"/>
      <c r="C19" s="346"/>
      <c r="D19" s="346"/>
      <c r="E19" s="346"/>
      <c r="F19" s="346"/>
      <c r="G19" s="346"/>
    </row>
    <row r="20" spans="1:7" x14ac:dyDescent="0.4">
      <c r="A20" s="346"/>
      <c r="B20" s="346"/>
      <c r="C20" s="346"/>
      <c r="D20" s="346"/>
      <c r="E20" s="346"/>
      <c r="F20" s="346"/>
      <c r="G20" s="346"/>
    </row>
    <row r="21" spans="1:7" x14ac:dyDescent="0.4">
      <c r="A21" s="346"/>
      <c r="B21" s="346"/>
      <c r="C21" s="346"/>
      <c r="D21" s="346"/>
      <c r="E21" s="346"/>
      <c r="F21" s="346"/>
      <c r="G21" s="346"/>
    </row>
    <row r="22" spans="1:7" x14ac:dyDescent="0.4">
      <c r="A22" s="346"/>
      <c r="B22" s="346"/>
      <c r="C22" s="346"/>
      <c r="D22" s="346"/>
      <c r="E22" s="346"/>
      <c r="F22" s="346"/>
      <c r="G22" s="346"/>
    </row>
    <row r="23" spans="1:7" x14ac:dyDescent="0.4">
      <c r="A23" s="346"/>
      <c r="B23" s="346"/>
      <c r="C23" s="346"/>
      <c r="D23" s="346"/>
      <c r="E23" s="346"/>
      <c r="F23" s="346"/>
      <c r="G23" s="346"/>
    </row>
    <row r="24" spans="1:7" x14ac:dyDescent="0.4">
      <c r="A24" s="346"/>
      <c r="B24" s="346"/>
      <c r="C24" s="346"/>
      <c r="D24" s="346"/>
      <c r="E24" s="346"/>
      <c r="F24" s="346"/>
      <c r="G24" s="346"/>
    </row>
    <row r="25" spans="1:7" x14ac:dyDescent="0.4">
      <c r="A25" s="346"/>
      <c r="B25" s="346"/>
      <c r="C25" s="346"/>
      <c r="D25" s="346"/>
      <c r="E25" s="346"/>
      <c r="F25" s="346"/>
      <c r="G25" s="346"/>
    </row>
    <row r="26" spans="1:7" x14ac:dyDescent="0.4">
      <c r="A26" s="346"/>
      <c r="B26" s="346"/>
      <c r="C26" s="346"/>
      <c r="D26" s="346"/>
      <c r="E26" s="346"/>
      <c r="F26" s="346"/>
      <c r="G26" s="346"/>
    </row>
    <row r="27" spans="1:7" x14ac:dyDescent="0.4">
      <c r="A27" s="346"/>
      <c r="B27" s="346"/>
      <c r="C27" s="346"/>
      <c r="D27" s="346"/>
      <c r="E27" s="346"/>
      <c r="F27" s="346"/>
      <c r="G27" s="346"/>
    </row>
    <row r="28" spans="1:7" x14ac:dyDescent="0.4">
      <c r="A28" s="346"/>
      <c r="B28" s="346"/>
      <c r="C28" s="346"/>
      <c r="D28" s="346"/>
      <c r="E28" s="346"/>
      <c r="F28" s="346"/>
      <c r="G28" s="346"/>
    </row>
    <row r="29" spans="1:7" x14ac:dyDescent="0.4">
      <c r="A29" s="346"/>
      <c r="B29" s="346"/>
      <c r="C29" s="346"/>
      <c r="D29" s="346"/>
      <c r="E29" s="346"/>
      <c r="F29" s="346"/>
      <c r="G29" s="346"/>
    </row>
    <row r="30" spans="1:7" x14ac:dyDescent="0.4">
      <c r="A30" s="346"/>
      <c r="B30" s="346"/>
      <c r="C30" s="346"/>
      <c r="D30" s="346"/>
      <c r="E30" s="346"/>
      <c r="F30" s="346"/>
      <c r="G30" s="346"/>
    </row>
    <row r="31" spans="1:7" x14ac:dyDescent="0.4">
      <c r="A31" s="346"/>
      <c r="B31" s="346"/>
      <c r="C31" s="346"/>
      <c r="D31" s="346"/>
      <c r="E31" s="346"/>
      <c r="F31" s="346"/>
      <c r="G31" s="346"/>
    </row>
    <row r="32" spans="1:7" x14ac:dyDescent="0.4">
      <c r="A32" s="346"/>
      <c r="B32" s="346"/>
      <c r="C32" s="346"/>
      <c r="D32" s="346"/>
      <c r="E32" s="346"/>
      <c r="F32" s="346"/>
      <c r="G32" s="346"/>
    </row>
    <row r="33" spans="1:7" x14ac:dyDescent="0.4">
      <c r="A33" s="346"/>
      <c r="B33" s="346"/>
      <c r="C33" s="346"/>
      <c r="D33" s="346"/>
      <c r="E33" s="346"/>
      <c r="F33" s="346"/>
      <c r="G33" s="346"/>
    </row>
    <row r="34" spans="1:7" x14ac:dyDescent="0.4">
      <c r="A34" s="346"/>
      <c r="B34" s="346"/>
      <c r="C34" s="346"/>
      <c r="D34" s="346"/>
      <c r="E34" s="346"/>
      <c r="F34" s="346"/>
      <c r="G34" s="346"/>
    </row>
    <row r="35" spans="1:7" x14ac:dyDescent="0.4">
      <c r="A35" s="346"/>
      <c r="B35" s="346"/>
      <c r="C35" s="346"/>
      <c r="D35" s="346"/>
      <c r="E35" s="346"/>
      <c r="F35" s="346"/>
      <c r="G35" s="346"/>
    </row>
    <row r="36" spans="1:7" x14ac:dyDescent="0.4">
      <c r="A36" s="346"/>
      <c r="B36" s="346"/>
      <c r="C36" s="346"/>
      <c r="D36" s="346"/>
      <c r="E36" s="346"/>
      <c r="F36" s="346"/>
      <c r="G36" s="346"/>
    </row>
    <row r="37" spans="1:7" x14ac:dyDescent="0.4">
      <c r="A37" s="346"/>
      <c r="B37" s="346"/>
      <c r="C37" s="346"/>
      <c r="D37" s="346"/>
      <c r="E37" s="346"/>
      <c r="F37" s="346"/>
      <c r="G37" s="346"/>
    </row>
    <row r="38" spans="1:7" x14ac:dyDescent="0.4">
      <c r="A38" s="346"/>
      <c r="B38" s="346"/>
      <c r="C38" s="346"/>
      <c r="D38" s="346"/>
      <c r="E38" s="346"/>
      <c r="F38" s="346"/>
      <c r="G38" s="346"/>
    </row>
    <row r="39" spans="1:7" x14ac:dyDescent="0.4">
      <c r="A39" s="346"/>
      <c r="B39" s="346"/>
      <c r="C39" s="346"/>
      <c r="D39" s="346"/>
      <c r="E39" s="346"/>
      <c r="F39" s="346"/>
      <c r="G39" s="346"/>
    </row>
    <row r="40" spans="1:7" x14ac:dyDescent="0.4">
      <c r="A40" s="346"/>
      <c r="B40" s="346"/>
      <c r="C40" s="346"/>
      <c r="D40" s="346"/>
      <c r="E40" s="346"/>
      <c r="F40" s="346"/>
      <c r="G40" s="346"/>
    </row>
    <row r="41" spans="1:7" x14ac:dyDescent="0.4">
      <c r="A41" s="346"/>
      <c r="B41" s="346"/>
      <c r="C41" s="346"/>
      <c r="D41" s="346"/>
      <c r="E41" s="346"/>
      <c r="F41" s="346"/>
      <c r="G41" s="346"/>
    </row>
    <row r="42" spans="1:7" x14ac:dyDescent="0.4">
      <c r="A42" s="346"/>
      <c r="B42" s="346"/>
      <c r="C42" s="346"/>
      <c r="D42" s="346"/>
      <c r="E42" s="346"/>
      <c r="F42" s="346"/>
      <c r="G42" s="346"/>
    </row>
    <row r="43" spans="1:7" x14ac:dyDescent="0.4">
      <c r="A43" s="346"/>
      <c r="B43" s="346"/>
      <c r="C43" s="346"/>
      <c r="D43" s="346"/>
      <c r="E43" s="346"/>
      <c r="F43" s="346"/>
      <c r="G43" s="346"/>
    </row>
    <row r="44" spans="1:7" x14ac:dyDescent="0.4">
      <c r="A44" s="346"/>
      <c r="B44" s="346"/>
      <c r="C44" s="346"/>
      <c r="D44" s="346"/>
      <c r="E44" s="346"/>
      <c r="F44" s="346"/>
      <c r="G44" s="346"/>
    </row>
    <row r="45" spans="1:7" x14ac:dyDescent="0.4">
      <c r="A45" s="346"/>
      <c r="B45" s="346"/>
      <c r="C45" s="346"/>
      <c r="D45" s="346"/>
      <c r="E45" s="346"/>
      <c r="F45" s="346"/>
      <c r="G45" s="346"/>
    </row>
    <row r="46" spans="1:7" x14ac:dyDescent="0.4">
      <c r="A46" s="346"/>
      <c r="B46" s="346"/>
      <c r="C46" s="346"/>
      <c r="D46" s="346"/>
      <c r="E46" s="346"/>
      <c r="F46" s="346"/>
      <c r="G46" s="346"/>
    </row>
    <row r="47" spans="1:7" x14ac:dyDescent="0.4">
      <c r="A47" s="346"/>
      <c r="B47" s="346"/>
      <c r="C47" s="346"/>
      <c r="D47" s="346"/>
      <c r="E47" s="346"/>
      <c r="F47" s="346"/>
      <c r="G47" s="346"/>
    </row>
    <row r="48" spans="1:7" x14ac:dyDescent="0.4">
      <c r="A48" s="346"/>
      <c r="B48" s="346"/>
      <c r="C48" s="346"/>
      <c r="D48" s="346"/>
      <c r="E48" s="346"/>
      <c r="F48" s="346"/>
      <c r="G48" s="346"/>
    </row>
    <row r="49" spans="1:7" x14ac:dyDescent="0.4">
      <c r="A49" s="346"/>
      <c r="B49" s="346"/>
      <c r="C49" s="346"/>
      <c r="D49" s="346"/>
      <c r="E49" s="346"/>
      <c r="F49" s="346"/>
      <c r="G49" s="346"/>
    </row>
    <row r="50" spans="1:7" x14ac:dyDescent="0.4">
      <c r="A50" s="346"/>
      <c r="B50" s="346"/>
      <c r="C50" s="346"/>
      <c r="D50" s="346"/>
      <c r="E50" s="346"/>
      <c r="F50" s="346"/>
      <c r="G50" s="346"/>
    </row>
    <row r="51" spans="1:7" x14ac:dyDescent="0.4">
      <c r="A51" s="346"/>
      <c r="B51" s="346"/>
      <c r="C51" s="346"/>
      <c r="D51" s="346"/>
      <c r="E51" s="346"/>
      <c r="F51" s="346"/>
      <c r="G51" s="346"/>
    </row>
    <row r="52" spans="1:7" x14ac:dyDescent="0.4">
      <c r="A52" s="346"/>
      <c r="B52" s="346"/>
      <c r="C52" s="346"/>
      <c r="D52" s="346"/>
      <c r="E52" s="346"/>
      <c r="F52" s="346"/>
      <c r="G52" s="346"/>
    </row>
    <row r="53" spans="1:7" x14ac:dyDescent="0.4">
      <c r="A53" s="346"/>
      <c r="B53" s="346"/>
      <c r="C53" s="346"/>
      <c r="D53" s="346"/>
      <c r="E53" s="346"/>
      <c r="F53" s="346"/>
      <c r="G53" s="346"/>
    </row>
    <row r="54" spans="1:7" x14ac:dyDescent="0.4">
      <c r="A54" s="346"/>
      <c r="B54" s="346"/>
      <c r="C54" s="346"/>
      <c r="D54" s="346"/>
      <c r="E54" s="346"/>
      <c r="F54" s="346"/>
      <c r="G54" s="346"/>
    </row>
    <row r="55" spans="1:7" x14ac:dyDescent="0.4">
      <c r="A55" s="346"/>
      <c r="B55" s="346"/>
      <c r="C55" s="346"/>
      <c r="D55" s="346"/>
      <c r="E55" s="346"/>
      <c r="F55" s="346"/>
      <c r="G55" s="346"/>
    </row>
    <row r="56" spans="1:7" x14ac:dyDescent="0.4">
      <c r="A56" s="346"/>
      <c r="B56" s="346"/>
      <c r="C56" s="346"/>
      <c r="D56" s="346"/>
      <c r="E56" s="346"/>
      <c r="F56" s="346"/>
      <c r="G56" s="346"/>
    </row>
    <row r="57" spans="1:7" x14ac:dyDescent="0.4">
      <c r="A57" s="346"/>
      <c r="B57" s="346"/>
      <c r="C57" s="346"/>
      <c r="D57" s="346"/>
      <c r="E57" s="346"/>
      <c r="F57" s="346"/>
      <c r="G57" s="346"/>
    </row>
    <row r="58" spans="1:7" ht="14.25" customHeight="1" x14ac:dyDescent="0.4">
      <c r="A58" s="346"/>
      <c r="B58" s="346"/>
      <c r="C58" s="346"/>
      <c r="D58" s="346"/>
      <c r="E58" s="346"/>
      <c r="F58" s="346"/>
      <c r="G58" s="346"/>
    </row>
    <row r="59" spans="1:7" x14ac:dyDescent="0.4">
      <c r="A59" s="346"/>
      <c r="B59" s="346"/>
      <c r="C59" s="346"/>
      <c r="D59" s="346"/>
      <c r="E59" s="346"/>
      <c r="F59" s="346"/>
      <c r="G59" s="346"/>
    </row>
    <row r="60" spans="1:7" x14ac:dyDescent="0.4">
      <c r="A60" s="346"/>
      <c r="B60" s="346"/>
      <c r="C60" s="346"/>
      <c r="D60" s="346"/>
      <c r="E60" s="346"/>
      <c r="F60" s="346"/>
      <c r="G60" s="346"/>
    </row>
    <row r="61" spans="1:7" x14ac:dyDescent="0.4">
      <c r="A61" s="346"/>
      <c r="B61" s="346"/>
      <c r="C61" s="346"/>
      <c r="D61" s="346"/>
      <c r="E61" s="346"/>
      <c r="F61" s="346"/>
      <c r="G61" s="346"/>
    </row>
    <row r="62" spans="1:7" x14ac:dyDescent="0.4">
      <c r="A62" s="346"/>
      <c r="B62" s="346"/>
      <c r="C62" s="346"/>
      <c r="D62" s="346"/>
      <c r="E62" s="346"/>
      <c r="F62" s="346"/>
      <c r="G62" s="346"/>
    </row>
    <row r="63" spans="1:7" x14ac:dyDescent="0.4">
      <c r="A63" s="346"/>
      <c r="B63" s="346"/>
      <c r="C63" s="346"/>
      <c r="D63" s="346"/>
      <c r="E63" s="346"/>
      <c r="F63" s="346"/>
      <c r="G63" s="346"/>
    </row>
    <row r="64" spans="1:7" x14ac:dyDescent="0.4">
      <c r="A64" s="346"/>
      <c r="B64" s="346"/>
      <c r="C64" s="346"/>
      <c r="D64" s="346"/>
      <c r="E64" s="346"/>
      <c r="F64" s="346"/>
      <c r="G64" s="346"/>
    </row>
    <row r="65" spans="1:7" x14ac:dyDescent="0.4">
      <c r="A65" s="344"/>
      <c r="B65" s="344" t="s">
        <v>60</v>
      </c>
      <c r="C65" s="344"/>
      <c r="D65" s="344"/>
      <c r="E65" s="344"/>
      <c r="F65" s="344"/>
      <c r="G65" s="344"/>
    </row>
    <row r="66" spans="1:7" x14ac:dyDescent="0.4">
      <c r="A66" s="346"/>
      <c r="B66" s="346"/>
      <c r="C66" s="346"/>
      <c r="D66" s="346"/>
      <c r="E66" s="346"/>
      <c r="F66" s="346"/>
      <c r="G66" s="346"/>
    </row>
    <row r="67" spans="1:7" x14ac:dyDescent="0.4">
      <c r="A67" s="346"/>
      <c r="B67" s="346"/>
      <c r="C67" s="346"/>
      <c r="D67" s="346"/>
      <c r="E67" s="346"/>
      <c r="F67" s="346"/>
      <c r="G67" s="346"/>
    </row>
    <row r="68" spans="1:7" x14ac:dyDescent="0.4">
      <c r="A68" s="346"/>
      <c r="B68" s="346"/>
      <c r="C68" s="346"/>
      <c r="D68" s="346"/>
      <c r="E68" s="346"/>
      <c r="F68" s="346"/>
      <c r="G68" s="346"/>
    </row>
    <row r="69" spans="1:7" x14ac:dyDescent="0.4">
      <c r="A69" s="346"/>
      <c r="B69" s="346"/>
      <c r="C69" s="346"/>
      <c r="D69" s="346"/>
      <c r="E69" s="346"/>
      <c r="F69" s="346"/>
      <c r="G69" s="346"/>
    </row>
    <row r="70" spans="1:7" x14ac:dyDescent="0.4">
      <c r="A70" s="346"/>
      <c r="B70" s="346"/>
      <c r="C70" s="346"/>
      <c r="D70" s="346"/>
      <c r="E70" s="346"/>
      <c r="F70" s="346"/>
      <c r="G70" s="346"/>
    </row>
    <row r="71" spans="1:7" x14ac:dyDescent="0.4">
      <c r="A71" s="346"/>
      <c r="B71" s="346"/>
      <c r="C71" s="346"/>
      <c r="D71" s="346"/>
      <c r="E71" s="346"/>
      <c r="F71" s="346"/>
      <c r="G71" s="346"/>
    </row>
    <row r="72" spans="1:7" x14ac:dyDescent="0.4">
      <c r="A72" s="346"/>
      <c r="B72" s="346"/>
      <c r="C72" s="346"/>
      <c r="D72" s="346"/>
      <c r="E72" s="346"/>
      <c r="F72" s="346"/>
      <c r="G72" s="346"/>
    </row>
    <row r="73" spans="1:7" x14ac:dyDescent="0.4">
      <c r="A73" s="346"/>
      <c r="B73" s="346"/>
      <c r="C73" s="346"/>
      <c r="D73" s="346"/>
      <c r="E73" s="346"/>
      <c r="F73" s="346"/>
      <c r="G73" s="346"/>
    </row>
    <row r="74" spans="1:7" x14ac:dyDescent="0.4">
      <c r="A74" s="346"/>
      <c r="B74" s="346"/>
      <c r="C74" s="346"/>
      <c r="D74" s="346"/>
      <c r="E74" s="346"/>
      <c r="F74" s="346"/>
      <c r="G74" s="346"/>
    </row>
    <row r="75" spans="1:7" x14ac:dyDescent="0.4">
      <c r="A75" s="346"/>
      <c r="B75" s="346"/>
      <c r="C75" s="346"/>
      <c r="D75" s="346"/>
      <c r="E75" s="346"/>
      <c r="F75" s="346"/>
      <c r="G75" s="346"/>
    </row>
    <row r="76" spans="1:7" x14ac:dyDescent="0.4">
      <c r="A76" s="346"/>
      <c r="B76" s="346"/>
      <c r="C76" s="346"/>
      <c r="D76" s="346"/>
      <c r="E76" s="346"/>
      <c r="F76" s="346"/>
      <c r="G76" s="346"/>
    </row>
    <row r="77" spans="1:7" x14ac:dyDescent="0.4">
      <c r="A77" s="346"/>
      <c r="B77" s="346"/>
      <c r="C77" s="346"/>
      <c r="D77" s="346"/>
      <c r="E77" s="346"/>
      <c r="F77" s="346"/>
      <c r="G77" s="346"/>
    </row>
    <row r="78" spans="1:7" x14ac:dyDescent="0.4">
      <c r="A78" s="346"/>
      <c r="B78" s="346"/>
      <c r="C78" s="346"/>
      <c r="D78" s="346"/>
      <c r="E78" s="346"/>
      <c r="F78" s="346"/>
      <c r="G78" s="346"/>
    </row>
    <row r="79" spans="1:7" x14ac:dyDescent="0.4">
      <c r="A79" s="346"/>
      <c r="B79" s="346"/>
      <c r="C79" s="346"/>
      <c r="D79" s="346"/>
      <c r="E79" s="346"/>
      <c r="F79" s="346"/>
      <c r="G79" s="346"/>
    </row>
    <row r="80" spans="1:7" x14ac:dyDescent="0.4">
      <c r="A80" s="346"/>
      <c r="B80" s="346"/>
      <c r="C80" s="346"/>
      <c r="D80" s="346"/>
      <c r="E80" s="346"/>
      <c r="F80" s="346"/>
      <c r="G80" s="346"/>
    </row>
    <row r="81" spans="1:7" x14ac:dyDescent="0.4">
      <c r="A81" s="346"/>
      <c r="B81" s="346"/>
      <c r="C81" s="346"/>
      <c r="D81" s="346"/>
      <c r="E81" s="346"/>
      <c r="F81" s="346"/>
      <c r="G81" s="346"/>
    </row>
    <row r="82" spans="1:7" x14ac:dyDescent="0.4">
      <c r="A82" s="346"/>
      <c r="B82" s="346"/>
      <c r="C82" s="346"/>
      <c r="D82" s="346"/>
      <c r="E82" s="346"/>
      <c r="F82" s="346"/>
      <c r="G82" s="346"/>
    </row>
    <row r="83" spans="1:7" x14ac:dyDescent="0.4">
      <c r="A83" s="346"/>
      <c r="B83" s="346"/>
      <c r="C83" s="346"/>
      <c r="D83" s="346"/>
      <c r="E83" s="346"/>
      <c r="F83" s="346"/>
      <c r="G83" s="346"/>
    </row>
    <row r="84" spans="1:7" x14ac:dyDescent="0.4">
      <c r="A84" s="346"/>
      <c r="B84" s="346"/>
      <c r="C84" s="346"/>
      <c r="D84" s="346"/>
      <c r="E84" s="346"/>
      <c r="F84" s="346"/>
      <c r="G84" s="346"/>
    </row>
    <row r="85" spans="1:7" x14ac:dyDescent="0.4">
      <c r="A85" s="346"/>
      <c r="B85" s="346"/>
      <c r="C85" s="346"/>
      <c r="D85" s="346"/>
      <c r="E85" s="346"/>
      <c r="F85" s="346"/>
      <c r="G85" s="346"/>
    </row>
    <row r="86" spans="1:7" x14ac:dyDescent="0.4">
      <c r="A86" s="346"/>
      <c r="B86" s="346"/>
      <c r="C86" s="346"/>
      <c r="D86" s="346"/>
      <c r="E86" s="346"/>
      <c r="F86" s="346"/>
      <c r="G86" s="346"/>
    </row>
    <row r="87" spans="1:7" x14ac:dyDescent="0.4">
      <c r="A87" s="346"/>
      <c r="B87" s="346"/>
      <c r="C87" s="346"/>
      <c r="D87" s="346"/>
      <c r="E87" s="346"/>
      <c r="F87" s="346"/>
      <c r="G87" s="346"/>
    </row>
    <row r="88" spans="1:7" x14ac:dyDescent="0.4">
      <c r="A88" s="346"/>
      <c r="B88" s="346"/>
      <c r="C88" s="346"/>
      <c r="D88" s="346"/>
      <c r="E88" s="346"/>
      <c r="F88" s="346"/>
      <c r="G88" s="346"/>
    </row>
    <row r="89" spans="1:7" x14ac:dyDescent="0.4">
      <c r="A89" s="346"/>
      <c r="B89" s="346"/>
      <c r="C89" s="346"/>
      <c r="D89" s="346"/>
      <c r="E89" s="346"/>
      <c r="F89" s="346"/>
      <c r="G89" s="346"/>
    </row>
    <row r="90" spans="1:7" x14ac:dyDescent="0.4">
      <c r="A90" s="346"/>
      <c r="B90" s="346"/>
      <c r="C90" s="346"/>
      <c r="D90" s="346"/>
      <c r="E90" s="346"/>
      <c r="F90" s="346"/>
      <c r="G90" s="346"/>
    </row>
    <row r="91" spans="1:7" x14ac:dyDescent="0.4">
      <c r="A91" s="346"/>
      <c r="B91" s="346"/>
      <c r="C91" s="346"/>
      <c r="D91" s="346"/>
      <c r="E91" s="346"/>
      <c r="F91" s="346"/>
      <c r="G91" s="346"/>
    </row>
    <row r="92" spans="1:7" x14ac:dyDescent="0.4">
      <c r="A92" s="346"/>
      <c r="B92" s="346"/>
      <c r="C92" s="346"/>
      <c r="D92" s="346"/>
      <c r="E92" s="346"/>
      <c r="F92" s="346"/>
      <c r="G92" s="346"/>
    </row>
    <row r="93" spans="1:7" x14ac:dyDescent="0.4">
      <c r="A93" s="346"/>
      <c r="B93" s="346"/>
      <c r="C93" s="346"/>
      <c r="D93" s="346"/>
      <c r="E93" s="346"/>
      <c r="F93" s="346"/>
      <c r="G93" s="346"/>
    </row>
    <row r="94" spans="1:7" x14ac:dyDescent="0.4">
      <c r="A94" s="346"/>
      <c r="B94" s="346"/>
      <c r="C94" s="346"/>
      <c r="D94" s="346"/>
      <c r="E94" s="346"/>
      <c r="F94" s="346"/>
      <c r="G94" s="346"/>
    </row>
    <row r="95" spans="1:7" x14ac:dyDescent="0.4">
      <c r="A95" s="346"/>
      <c r="B95" s="346"/>
      <c r="C95" s="346"/>
      <c r="D95" s="346"/>
      <c r="E95" s="346"/>
      <c r="F95" s="346"/>
      <c r="G95" s="346"/>
    </row>
    <row r="96" spans="1:7" x14ac:dyDescent="0.4">
      <c r="A96" s="346"/>
      <c r="B96" s="346"/>
      <c r="C96" s="346"/>
      <c r="D96" s="346"/>
      <c r="E96" s="346"/>
      <c r="F96" s="346"/>
      <c r="G96" s="346"/>
    </row>
    <row r="97" spans="1:8" x14ac:dyDescent="0.4">
      <c r="A97" s="346"/>
      <c r="B97" s="346"/>
      <c r="C97" s="346"/>
      <c r="D97" s="346"/>
      <c r="E97" s="346"/>
      <c r="F97" s="346"/>
      <c r="G97" s="346"/>
    </row>
    <row r="98" spans="1:8" x14ac:dyDescent="0.4">
      <c r="A98" s="346"/>
      <c r="B98" s="346"/>
      <c r="C98" s="346"/>
      <c r="D98" s="346"/>
      <c r="E98" s="346"/>
      <c r="F98" s="346"/>
      <c r="G98" s="346"/>
    </row>
    <row r="99" spans="1:8" x14ac:dyDescent="0.4">
      <c r="A99" s="346"/>
      <c r="B99" s="346"/>
      <c r="C99" s="346"/>
      <c r="D99" s="346"/>
      <c r="E99" s="346"/>
      <c r="F99" s="346"/>
      <c r="G99" s="346"/>
    </row>
    <row r="100" spans="1:8" x14ac:dyDescent="0.4">
      <c r="A100" s="346"/>
      <c r="B100" s="346"/>
      <c r="C100" s="346"/>
      <c r="D100" s="346"/>
      <c r="E100" s="346"/>
      <c r="F100" s="346"/>
      <c r="G100" s="346"/>
    </row>
    <row r="101" spans="1:8" x14ac:dyDescent="0.4">
      <c r="A101" s="344"/>
      <c r="B101" s="344" t="s">
        <v>64</v>
      </c>
      <c r="C101" s="344"/>
      <c r="D101" s="344"/>
      <c r="E101" s="344"/>
      <c r="F101" s="344"/>
      <c r="G101" s="344"/>
    </row>
    <row r="102" spans="1:8" x14ac:dyDescent="0.4">
      <c r="A102" s="346" t="s">
        <v>2511</v>
      </c>
      <c r="B102" s="346" t="s">
        <v>2312</v>
      </c>
      <c r="C102" s="346" t="s">
        <v>2512</v>
      </c>
      <c r="D102" s="346" t="s">
        <v>2455</v>
      </c>
      <c r="E102" s="346"/>
      <c r="F102" s="346"/>
      <c r="G102" s="346"/>
    </row>
    <row r="103" spans="1:8" x14ac:dyDescent="0.4">
      <c r="A103" s="346" t="s">
        <v>361</v>
      </c>
      <c r="B103" s="346"/>
      <c r="C103" s="346" t="s">
        <v>362</v>
      </c>
      <c r="D103" s="346"/>
      <c r="E103" s="346"/>
      <c r="F103" s="346"/>
      <c r="G103" s="346"/>
    </row>
    <row r="104" spans="1:8" x14ac:dyDescent="0.4">
      <c r="A104" s="346" t="s">
        <v>363</v>
      </c>
      <c r="B104" s="346"/>
      <c r="C104" s="346" t="s">
        <v>364</v>
      </c>
      <c r="D104" s="346"/>
      <c r="E104" s="346"/>
      <c r="F104" s="346"/>
      <c r="G104" s="346"/>
      <c r="H104" s="345">
        <v>1235</v>
      </c>
    </row>
    <row r="105" spans="1:8" x14ac:dyDescent="0.4">
      <c r="A105" s="346" t="s">
        <v>365</v>
      </c>
      <c r="B105" s="346"/>
      <c r="C105" s="346" t="s">
        <v>366</v>
      </c>
      <c r="D105" s="346" t="s">
        <v>367</v>
      </c>
      <c r="E105" s="346"/>
      <c r="F105" s="346"/>
      <c r="G105" s="346"/>
    </row>
    <row r="106" spans="1:8" x14ac:dyDescent="0.4">
      <c r="A106" s="346" t="s">
        <v>368</v>
      </c>
      <c r="B106" s="346"/>
      <c r="C106" s="346" t="s">
        <v>364</v>
      </c>
      <c r="D106" s="346"/>
      <c r="E106" s="346"/>
      <c r="F106" s="346"/>
      <c r="G106" s="346"/>
      <c r="H106" s="345">
        <v>8451</v>
      </c>
    </row>
    <row r="107" spans="1:8" x14ac:dyDescent="0.4">
      <c r="A107" s="346"/>
      <c r="B107" s="346"/>
      <c r="C107" s="346"/>
      <c r="D107" s="346"/>
      <c r="E107" s="346"/>
      <c r="F107" s="346"/>
      <c r="G107" s="346"/>
    </row>
    <row r="108" spans="1:8" x14ac:dyDescent="0.4">
      <c r="A108" s="346"/>
      <c r="B108" s="346"/>
      <c r="C108" s="346"/>
      <c r="D108" s="346"/>
      <c r="E108" s="346"/>
      <c r="F108" s="346"/>
      <c r="G108" s="346"/>
    </row>
    <row r="109" spans="1:8" x14ac:dyDescent="0.4">
      <c r="A109" s="346"/>
      <c r="B109" s="346"/>
      <c r="C109" s="346"/>
      <c r="D109" s="346"/>
      <c r="E109" s="346"/>
      <c r="F109" s="346"/>
      <c r="G109" s="346"/>
    </row>
    <row r="110" spans="1:8" x14ac:dyDescent="0.4">
      <c r="A110" s="346"/>
      <c r="B110" s="346"/>
      <c r="C110" s="346"/>
      <c r="D110" s="346"/>
      <c r="E110" s="346"/>
      <c r="F110" s="346"/>
      <c r="G110" s="346"/>
    </row>
    <row r="111" spans="1:8" x14ac:dyDescent="0.4">
      <c r="A111" s="346"/>
      <c r="B111" s="346"/>
      <c r="C111" s="346"/>
      <c r="D111" s="346"/>
      <c r="E111" s="346"/>
      <c r="F111" s="346"/>
      <c r="G111" s="346"/>
    </row>
    <row r="112" spans="1:8" x14ac:dyDescent="0.4">
      <c r="A112" s="346"/>
      <c r="B112" s="346"/>
      <c r="C112" s="346"/>
      <c r="D112" s="346"/>
      <c r="E112" s="346"/>
      <c r="F112" s="346"/>
      <c r="G112" s="346"/>
    </row>
    <row r="113" spans="1:7" x14ac:dyDescent="0.4">
      <c r="A113" s="346"/>
      <c r="B113" s="346"/>
      <c r="C113" s="346"/>
      <c r="D113" s="346"/>
      <c r="E113" s="346"/>
      <c r="F113" s="346"/>
      <c r="G113" s="346"/>
    </row>
    <row r="114" spans="1:7" x14ac:dyDescent="0.4">
      <c r="A114" s="346"/>
      <c r="B114" s="346"/>
      <c r="C114" s="346"/>
      <c r="D114" s="346"/>
      <c r="E114" s="346"/>
      <c r="F114" s="346"/>
      <c r="G114" s="346"/>
    </row>
    <row r="115" spans="1:7" x14ac:dyDescent="0.4">
      <c r="A115" s="346"/>
      <c r="B115" s="346"/>
      <c r="C115" s="346"/>
      <c r="D115" s="346"/>
      <c r="E115" s="346"/>
      <c r="F115" s="346"/>
      <c r="G115" s="346"/>
    </row>
    <row r="116" spans="1:7" x14ac:dyDescent="0.4">
      <c r="A116" s="346"/>
      <c r="B116" s="346"/>
      <c r="C116" s="346"/>
      <c r="D116" s="346"/>
      <c r="E116" s="346"/>
      <c r="F116" s="346"/>
      <c r="G116" s="346"/>
    </row>
    <row r="117" spans="1:7" x14ac:dyDescent="0.4">
      <c r="A117" s="346"/>
      <c r="B117" s="346"/>
      <c r="C117" s="346"/>
      <c r="D117" s="346"/>
      <c r="E117" s="346"/>
      <c r="F117" s="346"/>
      <c r="G117" s="346"/>
    </row>
    <row r="118" spans="1:7" x14ac:dyDescent="0.4">
      <c r="A118" s="346"/>
      <c r="B118" s="346"/>
      <c r="C118" s="346"/>
      <c r="D118" s="346"/>
      <c r="E118" s="346"/>
      <c r="F118" s="346"/>
      <c r="G118" s="346"/>
    </row>
    <row r="119" spans="1:7" x14ac:dyDescent="0.4">
      <c r="A119" s="346"/>
      <c r="B119" s="346"/>
      <c r="C119" s="346"/>
      <c r="D119" s="346"/>
      <c r="E119" s="346"/>
      <c r="F119" s="346"/>
      <c r="G119" s="346"/>
    </row>
    <row r="120" spans="1:7" x14ac:dyDescent="0.4">
      <c r="A120" s="346"/>
      <c r="B120" s="346"/>
      <c r="C120" s="346"/>
      <c r="D120" s="346"/>
      <c r="E120" s="346"/>
      <c r="F120" s="346"/>
      <c r="G120" s="346"/>
    </row>
    <row r="121" spans="1:7" x14ac:dyDescent="0.4">
      <c r="A121" s="346"/>
      <c r="B121" s="346"/>
      <c r="C121" s="346"/>
      <c r="D121" s="346"/>
      <c r="E121" s="346"/>
      <c r="F121" s="346"/>
      <c r="G121" s="346"/>
    </row>
    <row r="122" spans="1:7" x14ac:dyDescent="0.4">
      <c r="A122" s="346"/>
      <c r="B122" s="346"/>
      <c r="C122" s="346"/>
      <c r="D122" s="346"/>
      <c r="E122" s="346"/>
      <c r="F122" s="346"/>
      <c r="G122" s="346"/>
    </row>
    <row r="123" spans="1:7" x14ac:dyDescent="0.4">
      <c r="A123" s="346"/>
      <c r="B123" s="346"/>
      <c r="C123" s="346"/>
      <c r="D123" s="346"/>
      <c r="E123" s="346"/>
      <c r="F123" s="346"/>
      <c r="G123" s="346"/>
    </row>
    <row r="124" spans="1:7" x14ac:dyDescent="0.4">
      <c r="A124" s="346"/>
      <c r="B124" s="346"/>
      <c r="C124" s="346"/>
      <c r="D124" s="346"/>
      <c r="E124" s="346"/>
      <c r="F124" s="346"/>
      <c r="G124" s="346"/>
    </row>
    <row r="125" spans="1:7" x14ac:dyDescent="0.4">
      <c r="A125" s="346"/>
      <c r="B125" s="346"/>
      <c r="C125" s="346"/>
      <c r="D125" s="346"/>
      <c r="E125" s="346"/>
      <c r="F125" s="346"/>
      <c r="G125" s="346"/>
    </row>
    <row r="126" spans="1:7" x14ac:dyDescent="0.4">
      <c r="A126" s="346"/>
      <c r="B126" s="346"/>
      <c r="C126" s="346"/>
      <c r="D126" s="346"/>
      <c r="E126" s="346"/>
      <c r="F126" s="346"/>
      <c r="G126" s="346"/>
    </row>
    <row r="127" spans="1:7" x14ac:dyDescent="0.4">
      <c r="A127" s="346"/>
      <c r="B127" s="346"/>
      <c r="C127" s="346"/>
      <c r="D127" s="346"/>
      <c r="E127" s="346"/>
      <c r="F127" s="346"/>
      <c r="G127" s="346"/>
    </row>
    <row r="128" spans="1:7" x14ac:dyDescent="0.4">
      <c r="A128" s="346"/>
      <c r="B128" s="346"/>
      <c r="C128" s="346"/>
      <c r="D128" s="346"/>
      <c r="E128" s="346"/>
      <c r="F128" s="346"/>
      <c r="G128" s="346"/>
    </row>
    <row r="129" spans="1:7" x14ac:dyDescent="0.4">
      <c r="A129" s="346"/>
      <c r="B129" s="346"/>
      <c r="C129" s="346"/>
      <c r="D129" s="346"/>
      <c r="E129" s="346"/>
      <c r="F129" s="346"/>
      <c r="G129" s="346"/>
    </row>
    <row r="130" spans="1:7" x14ac:dyDescent="0.4">
      <c r="A130" s="346"/>
      <c r="B130" s="346"/>
      <c r="C130" s="346"/>
      <c r="D130" s="346"/>
      <c r="E130" s="346"/>
      <c r="F130" s="346"/>
      <c r="G130" s="346"/>
    </row>
    <row r="131" spans="1:7" x14ac:dyDescent="0.4">
      <c r="A131" s="346"/>
      <c r="B131" s="346"/>
      <c r="C131" s="346"/>
      <c r="D131" s="346"/>
      <c r="E131" s="346"/>
      <c r="F131" s="346"/>
      <c r="G131" s="346"/>
    </row>
    <row r="132" spans="1:7" x14ac:dyDescent="0.4">
      <c r="A132" s="346"/>
      <c r="B132" s="346"/>
      <c r="C132" s="346"/>
      <c r="D132" s="346"/>
      <c r="E132" s="346"/>
      <c r="F132" s="346"/>
      <c r="G132" s="346"/>
    </row>
    <row r="133" spans="1:7" x14ac:dyDescent="0.4">
      <c r="A133" s="346"/>
      <c r="B133" s="346"/>
      <c r="C133" s="346"/>
      <c r="D133" s="346"/>
      <c r="E133" s="346"/>
      <c r="F133" s="346"/>
      <c r="G133" s="346"/>
    </row>
    <row r="134" spans="1:7" x14ac:dyDescent="0.4">
      <c r="A134" s="346"/>
      <c r="B134" s="346"/>
      <c r="C134" s="346"/>
      <c r="D134" s="346"/>
      <c r="E134" s="346"/>
      <c r="F134" s="346"/>
      <c r="G134" s="346"/>
    </row>
    <row r="135" spans="1:7" x14ac:dyDescent="0.4">
      <c r="A135" s="346"/>
      <c r="B135" s="346"/>
      <c r="C135" s="346"/>
      <c r="D135" s="346"/>
      <c r="E135" s="346"/>
      <c r="F135" s="346"/>
      <c r="G135" s="346"/>
    </row>
    <row r="136" spans="1:7" x14ac:dyDescent="0.4">
      <c r="A136" s="346"/>
      <c r="B136" s="346"/>
      <c r="C136" s="346"/>
      <c r="D136" s="346"/>
      <c r="E136" s="346"/>
      <c r="F136" s="346"/>
      <c r="G136" s="346"/>
    </row>
    <row r="137" spans="1:7" x14ac:dyDescent="0.4">
      <c r="A137" s="346"/>
      <c r="B137" s="346"/>
      <c r="C137" s="346"/>
      <c r="D137" s="346"/>
      <c r="E137" s="346"/>
      <c r="F137" s="346"/>
      <c r="G137" s="346"/>
    </row>
    <row r="138" spans="1:7" x14ac:dyDescent="0.4">
      <c r="A138" s="346"/>
      <c r="B138" s="346"/>
      <c r="C138" s="346"/>
      <c r="D138" s="346"/>
      <c r="E138" s="346"/>
      <c r="F138" s="346"/>
      <c r="G138" s="346"/>
    </row>
    <row r="139" spans="1:7" x14ac:dyDescent="0.4">
      <c r="A139" s="346"/>
      <c r="B139" s="346"/>
      <c r="C139" s="346"/>
      <c r="D139" s="346"/>
      <c r="E139" s="346"/>
      <c r="F139" s="346"/>
      <c r="G139" s="346"/>
    </row>
    <row r="140" spans="1:7" x14ac:dyDescent="0.4">
      <c r="A140" s="346"/>
      <c r="B140" s="346"/>
      <c r="C140" s="346"/>
      <c r="D140" s="346"/>
      <c r="E140" s="346"/>
      <c r="F140" s="346"/>
      <c r="G140" s="346"/>
    </row>
    <row r="141" spans="1:7" x14ac:dyDescent="0.4">
      <c r="A141" s="344"/>
      <c r="B141" s="344" t="s">
        <v>67</v>
      </c>
      <c r="C141" s="344"/>
      <c r="D141" s="344"/>
      <c r="E141" s="344"/>
      <c r="F141" s="344"/>
      <c r="G141" s="344"/>
    </row>
    <row r="142" spans="1:7" x14ac:dyDescent="0.4">
      <c r="A142" s="346"/>
      <c r="B142" s="346"/>
      <c r="C142" s="346"/>
      <c r="D142" s="346"/>
      <c r="E142" s="346"/>
      <c r="F142" s="346"/>
      <c r="G142" s="346"/>
    </row>
    <row r="143" spans="1:7" x14ac:dyDescent="0.4">
      <c r="A143" s="346"/>
      <c r="B143" s="346"/>
      <c r="C143" s="346"/>
      <c r="D143" s="346"/>
      <c r="E143" s="346"/>
      <c r="F143" s="346"/>
      <c r="G143" s="346"/>
    </row>
    <row r="144" spans="1:7" x14ac:dyDescent="0.4">
      <c r="A144" s="346"/>
      <c r="B144" s="346"/>
      <c r="C144" s="346"/>
      <c r="D144" s="346"/>
      <c r="E144" s="346"/>
      <c r="F144" s="346"/>
      <c r="G144" s="346"/>
    </row>
    <row r="145" spans="1:7" x14ac:dyDescent="0.4">
      <c r="A145" s="346"/>
      <c r="B145" s="346"/>
      <c r="C145" s="346"/>
      <c r="D145" s="346"/>
      <c r="E145" s="346"/>
      <c r="F145" s="346"/>
      <c r="G145" s="346"/>
    </row>
    <row r="146" spans="1:7" x14ac:dyDescent="0.4">
      <c r="A146" s="346"/>
      <c r="B146" s="346"/>
      <c r="C146" s="346"/>
      <c r="D146" s="346"/>
      <c r="E146" s="346"/>
      <c r="F146" s="346"/>
      <c r="G146" s="346"/>
    </row>
    <row r="147" spans="1:7" x14ac:dyDescent="0.4">
      <c r="A147" s="346"/>
      <c r="B147" s="346"/>
      <c r="C147" s="346"/>
      <c r="D147" s="346"/>
      <c r="E147" s="346"/>
      <c r="F147" s="346"/>
      <c r="G147" s="346"/>
    </row>
    <row r="148" spans="1:7" x14ac:dyDescent="0.4">
      <c r="A148" s="346"/>
      <c r="B148" s="346"/>
      <c r="C148" s="346"/>
      <c r="D148" s="346"/>
      <c r="E148" s="346"/>
      <c r="F148" s="346"/>
      <c r="G148" s="346"/>
    </row>
    <row r="149" spans="1:7" x14ac:dyDescent="0.4">
      <c r="A149" s="346"/>
      <c r="B149" s="346"/>
      <c r="C149" s="346"/>
      <c r="D149" s="346"/>
      <c r="E149" s="346"/>
      <c r="F149" s="346"/>
      <c r="G149" s="346"/>
    </row>
    <row r="150" spans="1:7" x14ac:dyDescent="0.4">
      <c r="A150" s="346"/>
      <c r="B150" s="346"/>
      <c r="C150" s="346"/>
      <c r="D150" s="346"/>
      <c r="E150" s="346"/>
      <c r="F150" s="346"/>
      <c r="G150" s="346"/>
    </row>
    <row r="151" spans="1:7" x14ac:dyDescent="0.4">
      <c r="A151" s="346"/>
      <c r="B151" s="346"/>
      <c r="C151" s="346"/>
      <c r="D151" s="346"/>
      <c r="E151" s="346"/>
      <c r="F151" s="346"/>
      <c r="G151" s="346"/>
    </row>
    <row r="152" spans="1:7" x14ac:dyDescent="0.4">
      <c r="A152" s="346"/>
      <c r="B152" s="346"/>
      <c r="C152" s="346"/>
      <c r="D152" s="346"/>
      <c r="E152" s="346"/>
      <c r="F152" s="346"/>
      <c r="G152" s="346"/>
    </row>
    <row r="153" spans="1:7" x14ac:dyDescent="0.4">
      <c r="A153" s="346"/>
      <c r="B153" s="346"/>
      <c r="C153" s="346"/>
      <c r="D153" s="346"/>
      <c r="E153" s="346"/>
      <c r="F153" s="346"/>
      <c r="G153" s="346"/>
    </row>
    <row r="154" spans="1:7" x14ac:dyDescent="0.4">
      <c r="A154" s="346"/>
      <c r="B154" s="346"/>
      <c r="C154" s="346"/>
      <c r="D154" s="346"/>
      <c r="E154" s="346"/>
      <c r="F154" s="346"/>
      <c r="G154" s="346"/>
    </row>
    <row r="155" spans="1:7" x14ac:dyDescent="0.4">
      <c r="A155" s="346"/>
      <c r="B155" s="346"/>
      <c r="C155" s="346"/>
      <c r="D155" s="346"/>
      <c r="E155" s="346"/>
      <c r="F155" s="346"/>
      <c r="G155" s="346"/>
    </row>
    <row r="156" spans="1:7" x14ac:dyDescent="0.4">
      <c r="A156" s="346"/>
      <c r="B156" s="346"/>
      <c r="C156" s="346"/>
      <c r="D156" s="346"/>
      <c r="E156" s="346"/>
      <c r="F156" s="346"/>
      <c r="G156" s="346"/>
    </row>
    <row r="157" spans="1:7" x14ac:dyDescent="0.4">
      <c r="A157" s="346"/>
      <c r="B157" s="346"/>
      <c r="C157" s="346"/>
      <c r="D157" s="346"/>
      <c r="E157" s="346"/>
      <c r="F157" s="346"/>
      <c r="G157" s="346"/>
    </row>
    <row r="158" spans="1:7" x14ac:dyDescent="0.4">
      <c r="A158" s="346"/>
      <c r="B158" s="346"/>
      <c r="C158" s="346"/>
      <c r="D158" s="346"/>
      <c r="E158" s="346"/>
      <c r="F158" s="346"/>
      <c r="G158" s="346"/>
    </row>
    <row r="159" spans="1:7" x14ac:dyDescent="0.4">
      <c r="A159" s="346"/>
      <c r="B159" s="346"/>
      <c r="C159" s="346"/>
      <c r="D159" s="346"/>
      <c r="E159" s="346"/>
      <c r="F159" s="346"/>
      <c r="G159" s="346"/>
    </row>
    <row r="160" spans="1:7" x14ac:dyDescent="0.4">
      <c r="A160" s="346"/>
      <c r="B160" s="346"/>
      <c r="C160" s="346"/>
      <c r="D160" s="346"/>
      <c r="E160" s="346"/>
      <c r="F160" s="346"/>
      <c r="G160" s="346"/>
    </row>
    <row r="161" spans="1:7" x14ac:dyDescent="0.4">
      <c r="A161" s="346"/>
      <c r="B161" s="346"/>
      <c r="C161" s="346"/>
      <c r="D161" s="346"/>
      <c r="E161" s="346"/>
      <c r="F161" s="346"/>
      <c r="G161" s="346"/>
    </row>
    <row r="162" spans="1:7" x14ac:dyDescent="0.4">
      <c r="A162" s="346"/>
      <c r="B162" s="346"/>
      <c r="C162" s="346"/>
      <c r="D162" s="346"/>
      <c r="E162" s="346"/>
      <c r="F162" s="346"/>
      <c r="G162" s="346"/>
    </row>
    <row r="163" spans="1:7" x14ac:dyDescent="0.4">
      <c r="A163" s="346"/>
      <c r="B163" s="346"/>
      <c r="C163" s="346"/>
      <c r="D163" s="346"/>
      <c r="E163" s="346"/>
      <c r="F163" s="346"/>
      <c r="G163" s="346"/>
    </row>
    <row r="164" spans="1:7" x14ac:dyDescent="0.4">
      <c r="A164" s="346"/>
      <c r="B164" s="346"/>
      <c r="C164" s="346"/>
      <c r="D164" s="346"/>
      <c r="E164" s="346"/>
      <c r="F164" s="346"/>
      <c r="G164" s="346"/>
    </row>
    <row r="165" spans="1:7" x14ac:dyDescent="0.4">
      <c r="A165" s="346"/>
      <c r="B165" s="346"/>
      <c r="C165" s="346"/>
      <c r="D165" s="346"/>
      <c r="E165" s="346"/>
      <c r="F165" s="346"/>
      <c r="G165" s="346"/>
    </row>
    <row r="166" spans="1:7" x14ac:dyDescent="0.4">
      <c r="A166" s="346"/>
      <c r="B166" s="346"/>
      <c r="C166" s="346"/>
      <c r="D166" s="346"/>
      <c r="E166" s="346"/>
      <c r="F166" s="346"/>
      <c r="G166" s="346"/>
    </row>
    <row r="167" spans="1:7" x14ac:dyDescent="0.4">
      <c r="A167" s="346"/>
      <c r="B167" s="346"/>
      <c r="C167" s="346"/>
      <c r="D167" s="346"/>
      <c r="E167" s="346"/>
      <c r="F167" s="346"/>
      <c r="G167" s="346"/>
    </row>
    <row r="168" spans="1:7" x14ac:dyDescent="0.4">
      <c r="A168" s="346"/>
      <c r="B168" s="346"/>
      <c r="C168" s="346"/>
      <c r="D168" s="346"/>
      <c r="E168" s="346"/>
      <c r="F168" s="346"/>
      <c r="G168" s="346"/>
    </row>
    <row r="169" spans="1:7" x14ac:dyDescent="0.4">
      <c r="A169" s="346"/>
      <c r="B169" s="346"/>
      <c r="C169" s="346"/>
      <c r="D169" s="346"/>
      <c r="E169" s="346"/>
      <c r="F169" s="346"/>
      <c r="G169" s="346"/>
    </row>
    <row r="170" spans="1:7" x14ac:dyDescent="0.4">
      <c r="A170" s="346"/>
      <c r="B170" s="346"/>
      <c r="C170" s="346"/>
      <c r="D170" s="346"/>
      <c r="E170" s="346"/>
      <c r="F170" s="346"/>
      <c r="G170" s="346"/>
    </row>
    <row r="171" spans="1:7" x14ac:dyDescent="0.4">
      <c r="A171" s="346"/>
      <c r="B171" s="346"/>
      <c r="C171" s="346"/>
      <c r="D171" s="346"/>
      <c r="E171" s="346"/>
      <c r="F171" s="346"/>
      <c r="G171" s="346"/>
    </row>
    <row r="172" spans="1:7" x14ac:dyDescent="0.4">
      <c r="A172" s="346"/>
      <c r="B172" s="346"/>
      <c r="C172" s="346"/>
      <c r="D172" s="346"/>
      <c r="E172" s="346"/>
      <c r="F172" s="346"/>
      <c r="G172" s="346"/>
    </row>
    <row r="173" spans="1:7" x14ac:dyDescent="0.4">
      <c r="A173" s="346"/>
      <c r="B173" s="346"/>
      <c r="C173" s="346"/>
      <c r="D173" s="346"/>
      <c r="E173" s="346"/>
      <c r="F173" s="346"/>
      <c r="G173" s="346"/>
    </row>
    <row r="174" spans="1:7" x14ac:dyDescent="0.4">
      <c r="A174" s="346"/>
      <c r="B174" s="346"/>
      <c r="C174" s="346"/>
      <c r="D174" s="346"/>
      <c r="E174" s="346"/>
      <c r="F174" s="346"/>
      <c r="G174" s="346"/>
    </row>
    <row r="175" spans="1:7" x14ac:dyDescent="0.4">
      <c r="A175" s="346"/>
      <c r="B175" s="346"/>
      <c r="C175" s="346"/>
      <c r="D175" s="346"/>
      <c r="E175" s="346"/>
      <c r="F175" s="346"/>
      <c r="G175" s="346"/>
    </row>
    <row r="176" spans="1:7" x14ac:dyDescent="0.4">
      <c r="A176" s="346"/>
      <c r="B176" s="346"/>
      <c r="C176" s="346"/>
      <c r="D176" s="346"/>
      <c r="E176" s="346"/>
      <c r="F176" s="346"/>
      <c r="G176" s="346"/>
    </row>
    <row r="177" spans="1:7" x14ac:dyDescent="0.4">
      <c r="A177" s="346"/>
      <c r="B177" s="346"/>
      <c r="C177" s="346"/>
      <c r="D177" s="346"/>
      <c r="E177" s="346"/>
      <c r="F177" s="346"/>
      <c r="G177" s="346"/>
    </row>
    <row r="178" spans="1:7" x14ac:dyDescent="0.4">
      <c r="A178" s="346"/>
      <c r="B178" s="346"/>
      <c r="C178" s="346"/>
      <c r="D178" s="346"/>
      <c r="E178" s="346"/>
      <c r="F178" s="346"/>
      <c r="G178" s="346"/>
    </row>
    <row r="179" spans="1:7" x14ac:dyDescent="0.4">
      <c r="A179" s="346"/>
      <c r="B179" s="346"/>
      <c r="C179" s="346"/>
      <c r="D179" s="346"/>
      <c r="E179" s="346"/>
      <c r="F179" s="346"/>
      <c r="G179" s="346"/>
    </row>
    <row r="180" spans="1:7" x14ac:dyDescent="0.4">
      <c r="A180" s="346"/>
      <c r="B180" s="346"/>
      <c r="C180" s="346"/>
      <c r="D180" s="346"/>
      <c r="E180" s="346"/>
      <c r="F180" s="346"/>
      <c r="G180" s="346"/>
    </row>
    <row r="181" spans="1:7" x14ac:dyDescent="0.4">
      <c r="A181" s="346"/>
      <c r="B181" s="346"/>
      <c r="C181" s="346"/>
      <c r="D181" s="346"/>
      <c r="E181" s="346"/>
      <c r="F181" s="346"/>
      <c r="G181" s="346"/>
    </row>
    <row r="182" spans="1:7" x14ac:dyDescent="0.4">
      <c r="A182" s="346"/>
      <c r="B182" s="346"/>
      <c r="C182" s="346"/>
      <c r="D182" s="346"/>
      <c r="E182" s="346"/>
      <c r="F182" s="346"/>
      <c r="G182" s="346"/>
    </row>
    <row r="183" spans="1:7" x14ac:dyDescent="0.4">
      <c r="A183" s="346"/>
      <c r="B183" s="346"/>
      <c r="C183" s="346"/>
      <c r="D183" s="346"/>
      <c r="E183" s="346"/>
      <c r="F183" s="346"/>
      <c r="G183" s="346"/>
    </row>
    <row r="184" spans="1:7" x14ac:dyDescent="0.4">
      <c r="A184" s="346"/>
      <c r="B184" s="346"/>
      <c r="C184" s="346"/>
      <c r="D184" s="346"/>
      <c r="E184" s="346"/>
      <c r="F184" s="346"/>
      <c r="G184" s="346"/>
    </row>
    <row r="185" spans="1:7" x14ac:dyDescent="0.4">
      <c r="A185" s="346"/>
      <c r="B185" s="346"/>
      <c r="C185" s="346"/>
      <c r="D185" s="346"/>
      <c r="E185" s="346"/>
      <c r="F185" s="346"/>
      <c r="G185" s="346"/>
    </row>
    <row r="186" spans="1:7" x14ac:dyDescent="0.4">
      <c r="A186" s="346"/>
      <c r="B186" s="346"/>
      <c r="C186" s="346"/>
      <c r="D186" s="346"/>
      <c r="E186" s="346"/>
      <c r="F186" s="346"/>
      <c r="G186" s="346"/>
    </row>
    <row r="187" spans="1:7" x14ac:dyDescent="0.4">
      <c r="A187" s="346"/>
      <c r="B187" s="346"/>
      <c r="C187" s="346"/>
      <c r="D187" s="346"/>
      <c r="E187" s="346"/>
      <c r="F187" s="346"/>
      <c r="G187" s="346"/>
    </row>
    <row r="188" spans="1:7" x14ac:dyDescent="0.4">
      <c r="A188" s="346"/>
      <c r="B188" s="346"/>
      <c r="C188" s="346"/>
      <c r="D188" s="346"/>
      <c r="E188" s="346"/>
      <c r="F188" s="346"/>
      <c r="G188" s="346"/>
    </row>
    <row r="189" spans="1:7" x14ac:dyDescent="0.4">
      <c r="A189" s="346"/>
      <c r="B189" s="346"/>
      <c r="C189" s="346"/>
      <c r="D189" s="346"/>
      <c r="E189" s="346"/>
      <c r="F189" s="346"/>
      <c r="G189" s="346"/>
    </row>
    <row r="190" spans="1:7" x14ac:dyDescent="0.4">
      <c r="A190" s="346"/>
      <c r="B190" s="346"/>
      <c r="C190" s="346"/>
      <c r="D190" s="346"/>
      <c r="E190" s="346"/>
      <c r="F190" s="346"/>
      <c r="G190" s="346"/>
    </row>
    <row r="191" spans="1:7" x14ac:dyDescent="0.4">
      <c r="A191" s="346"/>
      <c r="B191" s="346"/>
      <c r="C191" s="346"/>
      <c r="D191" s="346"/>
      <c r="E191" s="346"/>
      <c r="F191" s="346"/>
      <c r="G191" s="346"/>
    </row>
    <row r="192" spans="1:7" x14ac:dyDescent="0.4">
      <c r="A192" s="346"/>
      <c r="B192" s="346"/>
      <c r="C192" s="346"/>
      <c r="D192" s="346"/>
      <c r="E192" s="346"/>
      <c r="F192" s="346"/>
      <c r="G192" s="346"/>
    </row>
    <row r="193" spans="1:7" x14ac:dyDescent="0.4">
      <c r="A193" s="346"/>
      <c r="B193" s="346"/>
      <c r="C193" s="346"/>
      <c r="D193" s="346"/>
      <c r="E193" s="346"/>
      <c r="F193" s="346"/>
      <c r="G193" s="346"/>
    </row>
    <row r="194" spans="1:7" x14ac:dyDescent="0.4">
      <c r="A194" s="346"/>
      <c r="B194" s="346"/>
      <c r="C194" s="346"/>
      <c r="D194" s="346"/>
      <c r="E194" s="346"/>
      <c r="F194" s="346"/>
      <c r="G194" s="346"/>
    </row>
    <row r="195" spans="1:7" x14ac:dyDescent="0.4">
      <c r="A195" s="346"/>
      <c r="B195" s="346"/>
      <c r="C195" s="346"/>
      <c r="D195" s="346"/>
      <c r="E195" s="346"/>
      <c r="F195" s="346"/>
      <c r="G195" s="346"/>
    </row>
    <row r="196" spans="1:7" x14ac:dyDescent="0.4">
      <c r="A196" s="346"/>
      <c r="B196" s="346"/>
      <c r="C196" s="346"/>
      <c r="D196" s="346"/>
      <c r="E196" s="346"/>
      <c r="F196" s="346"/>
      <c r="G196" s="346"/>
    </row>
    <row r="197" spans="1:7" x14ac:dyDescent="0.4">
      <c r="A197" s="346"/>
      <c r="B197" s="346"/>
      <c r="C197" s="346"/>
      <c r="D197" s="346"/>
      <c r="E197" s="346"/>
      <c r="F197" s="346"/>
      <c r="G197" s="346"/>
    </row>
    <row r="198" spans="1:7" x14ac:dyDescent="0.4">
      <c r="A198" s="346"/>
      <c r="B198" s="346"/>
      <c r="C198" s="346"/>
      <c r="D198" s="346"/>
      <c r="E198" s="346"/>
      <c r="F198" s="346"/>
      <c r="G198" s="346"/>
    </row>
    <row r="199" spans="1:7" x14ac:dyDescent="0.4">
      <c r="A199" s="346"/>
      <c r="B199" s="346"/>
      <c r="C199" s="346"/>
      <c r="D199" s="346"/>
      <c r="E199" s="346"/>
      <c r="F199" s="346"/>
      <c r="G199" s="346"/>
    </row>
    <row r="200" spans="1:7" ht="12.75" customHeight="1" x14ac:dyDescent="0.4">
      <c r="A200" s="346"/>
      <c r="B200" s="346"/>
      <c r="C200" s="346"/>
      <c r="D200" s="346"/>
      <c r="E200" s="346"/>
      <c r="F200" s="346"/>
      <c r="G200" s="346"/>
    </row>
    <row r="201" spans="1:7" x14ac:dyDescent="0.4">
      <c r="A201" s="344"/>
      <c r="B201" s="344" t="s">
        <v>70</v>
      </c>
      <c r="C201" s="344"/>
      <c r="D201" s="344"/>
      <c r="E201" s="344"/>
      <c r="F201" s="344"/>
      <c r="G201" s="344"/>
    </row>
    <row r="202" spans="1:7" x14ac:dyDescent="0.4">
      <c r="A202" s="346"/>
      <c r="B202" s="346"/>
      <c r="C202" s="346"/>
      <c r="D202" s="346"/>
      <c r="E202" s="346"/>
      <c r="F202" s="346"/>
      <c r="G202" s="346"/>
    </row>
    <row r="203" spans="1:7" x14ac:dyDescent="0.4">
      <c r="A203" s="346"/>
      <c r="B203" s="346"/>
      <c r="C203" s="346"/>
      <c r="D203" s="346"/>
      <c r="E203" s="346"/>
      <c r="F203" s="346"/>
      <c r="G203" s="346"/>
    </row>
    <row r="204" spans="1:7" x14ac:dyDescent="0.4">
      <c r="A204" s="346"/>
      <c r="B204" s="346"/>
      <c r="C204" s="346"/>
      <c r="D204" s="346"/>
      <c r="E204" s="346"/>
      <c r="F204" s="346"/>
      <c r="G204" s="346"/>
    </row>
    <row r="205" spans="1:7" x14ac:dyDescent="0.4">
      <c r="A205" s="346"/>
      <c r="B205" s="346"/>
      <c r="C205" s="346"/>
      <c r="D205" s="346"/>
      <c r="E205" s="346"/>
      <c r="F205" s="346"/>
      <c r="G205" s="346"/>
    </row>
    <row r="206" spans="1:7" x14ac:dyDescent="0.4">
      <c r="A206" s="346"/>
      <c r="B206" s="346"/>
      <c r="C206" s="346"/>
      <c r="D206" s="346"/>
      <c r="E206" s="346"/>
      <c r="F206" s="346"/>
      <c r="G206" s="346"/>
    </row>
    <row r="207" spans="1:7" x14ac:dyDescent="0.4">
      <c r="A207" s="346"/>
      <c r="B207" s="346"/>
      <c r="C207" s="346"/>
      <c r="D207" s="346"/>
      <c r="E207" s="346"/>
      <c r="F207" s="346"/>
      <c r="G207" s="346"/>
    </row>
    <row r="208" spans="1:7" x14ac:dyDescent="0.4">
      <c r="A208" s="346"/>
      <c r="B208" s="346"/>
      <c r="C208" s="346"/>
      <c r="D208" s="346"/>
      <c r="E208" s="346"/>
      <c r="F208" s="346"/>
      <c r="G208" s="346"/>
    </row>
    <row r="209" spans="1:7" x14ac:dyDescent="0.4">
      <c r="A209" s="346"/>
      <c r="B209" s="346"/>
      <c r="C209" s="346"/>
      <c r="D209" s="346"/>
      <c r="E209" s="346"/>
      <c r="F209" s="346"/>
      <c r="G209" s="346"/>
    </row>
    <row r="210" spans="1:7" x14ac:dyDescent="0.4">
      <c r="A210" s="346"/>
      <c r="B210" s="346"/>
      <c r="C210" s="346"/>
      <c r="D210" s="346"/>
      <c r="E210" s="346"/>
      <c r="F210" s="346"/>
      <c r="G210" s="346"/>
    </row>
    <row r="211" spans="1:7" x14ac:dyDescent="0.4">
      <c r="A211" s="346"/>
      <c r="B211" s="346"/>
      <c r="C211" s="346"/>
      <c r="D211" s="346"/>
      <c r="E211" s="346"/>
      <c r="F211" s="346"/>
      <c r="G211" s="346"/>
    </row>
    <row r="212" spans="1:7" x14ac:dyDescent="0.4">
      <c r="A212" s="346"/>
      <c r="B212" s="346"/>
      <c r="C212" s="346"/>
      <c r="D212" s="346"/>
      <c r="E212" s="346"/>
      <c r="F212" s="346"/>
      <c r="G212" s="346"/>
    </row>
    <row r="213" spans="1:7" x14ac:dyDescent="0.4">
      <c r="A213" s="346"/>
      <c r="B213" s="346"/>
      <c r="C213" s="346"/>
      <c r="D213" s="346"/>
      <c r="E213" s="346"/>
      <c r="F213" s="346"/>
      <c r="G213" s="346"/>
    </row>
    <row r="214" spans="1:7" x14ac:dyDescent="0.4">
      <c r="A214" s="346"/>
      <c r="B214" s="346"/>
      <c r="C214" s="346"/>
      <c r="D214" s="346"/>
      <c r="E214" s="346"/>
      <c r="F214" s="346"/>
      <c r="G214" s="346"/>
    </row>
    <row r="215" spans="1:7" x14ac:dyDescent="0.4">
      <c r="A215" s="346"/>
      <c r="B215" s="346"/>
      <c r="C215" s="346"/>
      <c r="D215" s="346"/>
      <c r="E215" s="346"/>
      <c r="F215" s="346"/>
      <c r="G215" s="346"/>
    </row>
    <row r="216" spans="1:7" x14ac:dyDescent="0.4">
      <c r="A216" s="346"/>
      <c r="B216" s="346"/>
      <c r="C216" s="346"/>
      <c r="D216" s="346"/>
      <c r="E216" s="346"/>
      <c r="F216" s="346"/>
      <c r="G216" s="346"/>
    </row>
    <row r="217" spans="1:7" x14ac:dyDescent="0.4">
      <c r="A217" s="346"/>
      <c r="B217" s="346"/>
      <c r="C217" s="346"/>
      <c r="D217" s="346"/>
      <c r="E217" s="346"/>
      <c r="F217" s="346"/>
      <c r="G217" s="346"/>
    </row>
    <row r="218" spans="1:7" x14ac:dyDescent="0.4">
      <c r="A218" s="346"/>
      <c r="B218" s="346"/>
      <c r="C218" s="346"/>
      <c r="D218" s="346"/>
      <c r="E218" s="346"/>
      <c r="F218" s="346"/>
      <c r="G218" s="346"/>
    </row>
    <row r="219" spans="1:7" x14ac:dyDescent="0.4">
      <c r="A219" s="346"/>
      <c r="B219" s="346"/>
      <c r="C219" s="346"/>
      <c r="D219" s="346"/>
      <c r="E219" s="346"/>
      <c r="F219" s="346"/>
      <c r="G219" s="346"/>
    </row>
    <row r="220" spans="1:7" x14ac:dyDescent="0.4">
      <c r="A220" s="346"/>
      <c r="B220" s="346"/>
      <c r="C220" s="346"/>
      <c r="D220" s="346"/>
      <c r="E220" s="346"/>
      <c r="F220" s="346"/>
      <c r="G220" s="346"/>
    </row>
    <row r="221" spans="1:7" x14ac:dyDescent="0.4">
      <c r="A221" s="346"/>
      <c r="B221" s="346"/>
      <c r="C221" s="346"/>
      <c r="D221" s="346"/>
      <c r="E221" s="346"/>
      <c r="F221" s="346"/>
      <c r="G221" s="346"/>
    </row>
    <row r="222" spans="1:7" x14ac:dyDescent="0.4">
      <c r="A222" s="346"/>
      <c r="B222" s="346"/>
      <c r="C222" s="346"/>
      <c r="D222" s="346"/>
      <c r="E222" s="346"/>
      <c r="F222" s="346"/>
      <c r="G222" s="346"/>
    </row>
    <row r="223" spans="1:7" x14ac:dyDescent="0.4">
      <c r="A223" s="346"/>
      <c r="B223" s="346"/>
      <c r="C223" s="346"/>
      <c r="D223" s="346"/>
      <c r="E223" s="346"/>
      <c r="F223" s="346"/>
      <c r="G223" s="346"/>
    </row>
    <row r="224" spans="1:7" x14ac:dyDescent="0.4">
      <c r="A224" s="346"/>
      <c r="B224" s="346"/>
      <c r="C224" s="346"/>
      <c r="D224" s="346"/>
      <c r="E224" s="346"/>
      <c r="F224" s="346"/>
      <c r="G224" s="346"/>
    </row>
    <row r="225" spans="1:8" x14ac:dyDescent="0.4">
      <c r="A225" s="346"/>
      <c r="B225" s="346"/>
      <c r="C225" s="346"/>
      <c r="D225" s="346"/>
      <c r="E225" s="346"/>
      <c r="F225" s="346"/>
      <c r="G225" s="346"/>
    </row>
    <row r="226" spans="1:8" x14ac:dyDescent="0.4">
      <c r="A226" s="346"/>
      <c r="B226" s="346"/>
      <c r="C226" s="346"/>
      <c r="D226" s="346"/>
      <c r="E226" s="346"/>
      <c r="F226" s="346"/>
      <c r="G226" s="346"/>
    </row>
    <row r="227" spans="1:8" x14ac:dyDescent="0.4">
      <c r="A227" s="346"/>
      <c r="B227" s="346"/>
      <c r="C227" s="346"/>
      <c r="D227" s="346"/>
      <c r="E227" s="346"/>
      <c r="F227" s="346"/>
      <c r="G227" s="346"/>
    </row>
    <row r="228" spans="1:8" x14ac:dyDescent="0.4">
      <c r="A228" s="346"/>
      <c r="B228" s="346"/>
      <c r="C228" s="346"/>
      <c r="D228" s="346"/>
      <c r="E228" s="346"/>
      <c r="F228" s="346"/>
      <c r="G228" s="346"/>
    </row>
    <row r="229" spans="1:8" x14ac:dyDescent="0.4">
      <c r="A229" s="346"/>
      <c r="B229" s="346"/>
      <c r="C229" s="346"/>
      <c r="D229" s="346"/>
      <c r="E229" s="346"/>
      <c r="F229" s="346"/>
      <c r="G229" s="346"/>
    </row>
    <row r="230" spans="1:8" x14ac:dyDescent="0.4">
      <c r="A230" s="346"/>
      <c r="B230" s="346"/>
      <c r="C230" s="346"/>
      <c r="D230" s="346"/>
      <c r="E230" s="346"/>
      <c r="F230" s="346"/>
      <c r="G230" s="346"/>
    </row>
    <row r="231" spans="1:8" x14ac:dyDescent="0.4">
      <c r="A231" s="344"/>
      <c r="B231" s="344" t="s">
        <v>73</v>
      </c>
      <c r="C231" s="344"/>
      <c r="D231" s="344"/>
      <c r="E231" s="344"/>
      <c r="F231" s="344"/>
      <c r="G231" s="344"/>
    </row>
    <row r="232" spans="1:8" x14ac:dyDescent="0.4">
      <c r="A232" s="346"/>
      <c r="B232" s="346"/>
      <c r="C232" s="346"/>
      <c r="D232" s="346"/>
      <c r="E232" s="346"/>
      <c r="F232" s="346"/>
      <c r="G232" s="346"/>
    </row>
    <row r="233" spans="1:8" x14ac:dyDescent="0.4">
      <c r="A233" s="346" t="s">
        <v>369</v>
      </c>
      <c r="B233" s="346"/>
      <c r="C233" s="346" t="s">
        <v>370</v>
      </c>
      <c r="D233" s="346"/>
      <c r="E233" s="346"/>
      <c r="F233" s="346"/>
      <c r="G233" s="346"/>
      <c r="H233" s="345">
        <v>8451</v>
      </c>
    </row>
    <row r="234" spans="1:8" x14ac:dyDescent="0.4">
      <c r="A234" s="346" t="s">
        <v>2650</v>
      </c>
      <c r="B234" s="346"/>
      <c r="C234" s="346" t="s">
        <v>2651</v>
      </c>
      <c r="D234" s="346"/>
      <c r="E234" s="346"/>
      <c r="F234" s="346"/>
      <c r="G234" s="346"/>
    </row>
    <row r="235" spans="1:8" x14ac:dyDescent="0.4">
      <c r="A235" s="346"/>
      <c r="B235" s="346"/>
      <c r="C235" s="346"/>
      <c r="D235" s="346"/>
      <c r="E235" s="346"/>
      <c r="F235" s="346"/>
      <c r="G235" s="346"/>
    </row>
    <row r="236" spans="1:8" x14ac:dyDescent="0.4">
      <c r="A236" s="346"/>
      <c r="B236" s="346"/>
      <c r="C236" s="346"/>
      <c r="D236" s="346"/>
      <c r="E236" s="346"/>
      <c r="F236" s="346"/>
      <c r="G236" s="346"/>
    </row>
    <row r="237" spans="1:8" x14ac:dyDescent="0.4">
      <c r="A237" s="346"/>
      <c r="B237" s="346"/>
      <c r="C237" s="346"/>
      <c r="D237" s="346"/>
      <c r="E237" s="346"/>
      <c r="F237" s="346"/>
      <c r="G237" s="346"/>
    </row>
    <row r="238" spans="1:8" x14ac:dyDescent="0.4">
      <c r="A238" s="346"/>
      <c r="B238" s="346"/>
      <c r="C238" s="346"/>
      <c r="D238" s="346"/>
      <c r="E238" s="346"/>
      <c r="F238" s="346"/>
      <c r="G238" s="346"/>
    </row>
    <row r="239" spans="1:8" x14ac:dyDescent="0.4">
      <c r="A239" s="346"/>
      <c r="B239" s="346"/>
      <c r="C239" s="346"/>
      <c r="D239" s="346"/>
      <c r="E239" s="346"/>
      <c r="F239" s="346"/>
      <c r="G239" s="346"/>
    </row>
    <row r="240" spans="1:8" x14ac:dyDescent="0.4">
      <c r="A240" s="346"/>
      <c r="B240" s="346"/>
      <c r="C240" s="346"/>
      <c r="D240" s="346"/>
      <c r="E240" s="346"/>
      <c r="F240" s="346"/>
      <c r="G240" s="346"/>
    </row>
    <row r="241" spans="1:7" x14ac:dyDescent="0.4">
      <c r="A241" s="346"/>
      <c r="B241" s="346"/>
      <c r="C241" s="346"/>
      <c r="D241" s="346"/>
      <c r="E241" s="346"/>
      <c r="F241" s="346"/>
      <c r="G241" s="346"/>
    </row>
    <row r="242" spans="1:7" x14ac:dyDescent="0.4">
      <c r="A242" s="346"/>
      <c r="B242" s="346"/>
      <c r="C242" s="346"/>
      <c r="D242" s="346"/>
      <c r="E242" s="346"/>
      <c r="F242" s="346"/>
      <c r="G242" s="346"/>
    </row>
    <row r="243" spans="1:7" x14ac:dyDescent="0.4">
      <c r="A243" s="346"/>
      <c r="B243" s="346"/>
      <c r="C243" s="346"/>
      <c r="D243" s="346"/>
      <c r="E243" s="346"/>
      <c r="F243" s="346"/>
      <c r="G243" s="346"/>
    </row>
    <row r="244" spans="1:7" x14ac:dyDescent="0.4">
      <c r="A244" s="346"/>
      <c r="B244" s="346"/>
      <c r="C244" s="346"/>
      <c r="D244" s="346"/>
      <c r="E244" s="346"/>
      <c r="F244" s="346"/>
      <c r="G244" s="346"/>
    </row>
    <row r="245" spans="1:7" x14ac:dyDescent="0.4">
      <c r="A245" s="346"/>
      <c r="B245" s="346"/>
      <c r="C245" s="346"/>
      <c r="D245" s="346"/>
      <c r="E245" s="346"/>
      <c r="F245" s="346"/>
      <c r="G245" s="346"/>
    </row>
    <row r="246" spans="1:7" x14ac:dyDescent="0.4">
      <c r="A246" s="346"/>
      <c r="B246" s="346"/>
      <c r="C246" s="346"/>
      <c r="D246" s="346"/>
      <c r="E246" s="346"/>
      <c r="F246" s="346"/>
      <c r="G246" s="346"/>
    </row>
    <row r="247" spans="1:7" x14ac:dyDescent="0.4">
      <c r="A247" s="346"/>
      <c r="B247" s="346"/>
      <c r="C247" s="346"/>
      <c r="D247" s="346"/>
      <c r="E247" s="346"/>
      <c r="F247" s="346"/>
      <c r="G247" s="346"/>
    </row>
    <row r="248" spans="1:7" x14ac:dyDescent="0.4">
      <c r="A248" s="346"/>
      <c r="B248" s="346"/>
      <c r="C248" s="346"/>
      <c r="D248" s="346"/>
      <c r="E248" s="346"/>
      <c r="F248" s="346"/>
      <c r="G248" s="346"/>
    </row>
    <row r="249" spans="1:7" x14ac:dyDescent="0.4">
      <c r="A249" s="346"/>
      <c r="B249" s="346"/>
      <c r="C249" s="346"/>
      <c r="D249" s="346"/>
      <c r="E249" s="346"/>
      <c r="F249" s="346"/>
      <c r="G249" s="346"/>
    </row>
    <row r="250" spans="1:7" x14ac:dyDescent="0.4">
      <c r="A250" s="346"/>
      <c r="B250" s="346"/>
      <c r="C250" s="346"/>
      <c r="D250" s="346"/>
      <c r="E250" s="346"/>
      <c r="F250" s="346"/>
      <c r="G250" s="346"/>
    </row>
    <row r="251" spans="1:7" x14ac:dyDescent="0.4">
      <c r="A251" s="346"/>
      <c r="B251" s="346"/>
      <c r="C251" s="346"/>
      <c r="D251" s="346"/>
      <c r="E251" s="346"/>
      <c r="F251" s="346"/>
      <c r="G251" s="346"/>
    </row>
    <row r="252" spans="1:7" x14ac:dyDescent="0.4">
      <c r="A252" s="346"/>
      <c r="B252" s="346"/>
      <c r="C252" s="346"/>
      <c r="D252" s="346"/>
      <c r="E252" s="346"/>
      <c r="F252" s="346"/>
      <c r="G252" s="346"/>
    </row>
    <row r="253" spans="1:7" x14ac:dyDescent="0.4">
      <c r="A253" s="346"/>
      <c r="B253" s="346"/>
      <c r="C253" s="346"/>
      <c r="D253" s="346"/>
      <c r="E253" s="346"/>
      <c r="F253" s="346"/>
      <c r="G253" s="346"/>
    </row>
    <row r="254" spans="1:7" x14ac:dyDescent="0.4">
      <c r="A254" s="346"/>
      <c r="B254" s="346"/>
      <c r="C254" s="346"/>
      <c r="D254" s="346"/>
      <c r="E254" s="346"/>
      <c r="F254" s="346"/>
      <c r="G254" s="346"/>
    </row>
    <row r="255" spans="1:7" x14ac:dyDescent="0.4">
      <c r="A255" s="346"/>
      <c r="B255" s="346"/>
      <c r="C255" s="346"/>
      <c r="D255" s="346"/>
      <c r="E255" s="346"/>
      <c r="F255" s="346"/>
      <c r="G255" s="346"/>
    </row>
    <row r="256" spans="1:7" x14ac:dyDescent="0.4">
      <c r="A256" s="346"/>
      <c r="B256" s="346"/>
      <c r="C256" s="346"/>
      <c r="D256" s="346"/>
      <c r="E256" s="346"/>
      <c r="F256" s="346"/>
      <c r="G256" s="346"/>
    </row>
    <row r="257" spans="1:7" x14ac:dyDescent="0.4">
      <c r="A257" s="346"/>
      <c r="B257" s="346"/>
      <c r="C257" s="346"/>
      <c r="D257" s="346"/>
      <c r="E257" s="346"/>
      <c r="F257" s="346"/>
      <c r="G257" s="346"/>
    </row>
    <row r="258" spans="1:7" x14ac:dyDescent="0.4">
      <c r="A258" s="346"/>
      <c r="B258" s="346"/>
      <c r="C258" s="346"/>
      <c r="D258" s="346"/>
      <c r="E258" s="346"/>
      <c r="F258" s="346"/>
      <c r="G258" s="346"/>
    </row>
    <row r="259" spans="1:7" x14ac:dyDescent="0.4">
      <c r="A259" s="346"/>
      <c r="B259" s="346"/>
      <c r="C259" s="346"/>
      <c r="D259" s="346"/>
      <c r="E259" s="346"/>
      <c r="F259" s="346"/>
      <c r="G259" s="346"/>
    </row>
    <row r="260" spans="1:7" x14ac:dyDescent="0.4">
      <c r="A260" s="346"/>
      <c r="B260" s="346"/>
      <c r="C260" s="346"/>
      <c r="D260" s="346"/>
      <c r="E260" s="346"/>
      <c r="F260" s="346"/>
      <c r="G260" s="346"/>
    </row>
    <row r="261" spans="1:7" x14ac:dyDescent="0.4">
      <c r="A261" s="346"/>
      <c r="B261" s="346"/>
      <c r="C261" s="346"/>
      <c r="D261" s="346"/>
      <c r="E261" s="346"/>
      <c r="F261" s="346"/>
      <c r="G261" s="346"/>
    </row>
    <row r="262" spans="1:7" x14ac:dyDescent="0.4">
      <c r="A262" s="346"/>
      <c r="B262" s="346"/>
      <c r="C262" s="346"/>
      <c r="D262" s="346"/>
      <c r="E262" s="346"/>
      <c r="F262" s="346"/>
      <c r="G262" s="346"/>
    </row>
    <row r="263" spans="1:7" x14ac:dyDescent="0.4">
      <c r="A263" s="346"/>
      <c r="B263" s="346"/>
      <c r="C263" s="346"/>
      <c r="D263" s="346"/>
      <c r="E263" s="346"/>
      <c r="F263" s="346"/>
      <c r="G263" s="346"/>
    </row>
    <row r="264" spans="1:7" x14ac:dyDescent="0.4">
      <c r="A264" s="346"/>
      <c r="B264" s="346"/>
      <c r="C264" s="346"/>
      <c r="D264" s="346"/>
      <c r="E264" s="346"/>
      <c r="F264" s="346"/>
      <c r="G264" s="346"/>
    </row>
    <row r="265" spans="1:7" x14ac:dyDescent="0.4">
      <c r="A265" s="346"/>
      <c r="B265" s="346"/>
      <c r="C265" s="346"/>
      <c r="D265" s="346"/>
      <c r="E265" s="346"/>
      <c r="F265" s="346"/>
      <c r="G265" s="346"/>
    </row>
    <row r="266" spans="1:7" x14ac:dyDescent="0.4">
      <c r="A266" s="346"/>
      <c r="B266" s="346"/>
      <c r="C266" s="346"/>
      <c r="D266" s="346"/>
      <c r="E266" s="346"/>
      <c r="F266" s="346"/>
      <c r="G266" s="346"/>
    </row>
    <row r="267" spans="1:7" x14ac:dyDescent="0.4">
      <c r="A267" s="346"/>
      <c r="B267" s="346"/>
      <c r="C267" s="346"/>
      <c r="D267" s="346"/>
      <c r="E267" s="346"/>
      <c r="F267" s="346"/>
      <c r="G267" s="346"/>
    </row>
    <row r="268" spans="1:7" x14ac:dyDescent="0.4">
      <c r="A268" s="346"/>
      <c r="B268" s="346"/>
      <c r="C268" s="346"/>
      <c r="D268" s="346"/>
      <c r="E268" s="346"/>
      <c r="F268" s="346"/>
      <c r="G268" s="346"/>
    </row>
    <row r="269" spans="1:7" x14ac:dyDescent="0.4">
      <c r="A269" s="346"/>
      <c r="B269" s="346"/>
      <c r="C269" s="346"/>
      <c r="D269" s="346"/>
      <c r="E269" s="346"/>
      <c r="F269" s="346"/>
      <c r="G269" s="346"/>
    </row>
    <row r="270" spans="1:7" x14ac:dyDescent="0.4">
      <c r="A270" s="346"/>
      <c r="B270" s="346"/>
      <c r="C270" s="346"/>
      <c r="D270" s="346"/>
      <c r="E270" s="346"/>
      <c r="F270" s="346"/>
      <c r="G270" s="346"/>
    </row>
    <row r="271" spans="1:7" x14ac:dyDescent="0.4">
      <c r="A271" s="346"/>
      <c r="B271" s="346"/>
      <c r="C271" s="346"/>
      <c r="D271" s="346"/>
      <c r="E271" s="346"/>
      <c r="F271" s="346"/>
      <c r="G271" s="346"/>
    </row>
    <row r="272" spans="1:7" x14ac:dyDescent="0.4">
      <c r="A272" s="346"/>
      <c r="B272" s="346"/>
      <c r="C272" s="346"/>
      <c r="D272" s="346"/>
      <c r="E272" s="346"/>
      <c r="F272" s="346"/>
      <c r="G272" s="346"/>
    </row>
    <row r="273" spans="1:7" x14ac:dyDescent="0.4">
      <c r="A273" s="346"/>
      <c r="B273" s="346"/>
      <c r="C273" s="346"/>
      <c r="D273" s="346"/>
      <c r="E273" s="346"/>
      <c r="F273" s="346"/>
      <c r="G273" s="346"/>
    </row>
    <row r="274" spans="1:7" x14ac:dyDescent="0.4">
      <c r="A274" s="346"/>
      <c r="B274" s="346"/>
      <c r="C274" s="346"/>
      <c r="D274" s="346"/>
      <c r="E274" s="346"/>
      <c r="F274" s="346"/>
      <c r="G274" s="346"/>
    </row>
    <row r="275" spans="1:7" x14ac:dyDescent="0.4">
      <c r="A275" s="346"/>
      <c r="B275" s="346"/>
      <c r="C275" s="346"/>
      <c r="D275" s="346"/>
      <c r="E275" s="346"/>
      <c r="F275" s="346"/>
      <c r="G275" s="346"/>
    </row>
    <row r="276" spans="1:7" x14ac:dyDescent="0.4">
      <c r="A276" s="346"/>
      <c r="B276" s="346"/>
      <c r="C276" s="346"/>
      <c r="D276" s="346"/>
      <c r="E276" s="346"/>
      <c r="F276" s="346"/>
      <c r="G276" s="346"/>
    </row>
    <row r="277" spans="1:7" x14ac:dyDescent="0.4">
      <c r="A277" s="346"/>
      <c r="B277" s="346"/>
      <c r="C277" s="346"/>
      <c r="D277" s="346"/>
      <c r="E277" s="346"/>
      <c r="F277" s="346"/>
      <c r="G277" s="346"/>
    </row>
    <row r="278" spans="1:7" x14ac:dyDescent="0.4">
      <c r="A278" s="346"/>
      <c r="B278" s="346"/>
      <c r="C278" s="346"/>
      <c r="D278" s="346"/>
      <c r="E278" s="346"/>
      <c r="F278" s="346"/>
      <c r="G278" s="346"/>
    </row>
    <row r="279" spans="1:7" x14ac:dyDescent="0.4">
      <c r="A279" s="346"/>
      <c r="B279" s="346"/>
      <c r="C279" s="346"/>
      <c r="D279" s="346"/>
      <c r="E279" s="346"/>
      <c r="F279" s="346"/>
      <c r="G279" s="346"/>
    </row>
    <row r="280" spans="1:7" x14ac:dyDescent="0.4">
      <c r="A280" s="346"/>
      <c r="B280" s="346"/>
      <c r="C280" s="346"/>
      <c r="D280" s="346"/>
      <c r="E280" s="346"/>
      <c r="F280" s="346"/>
      <c r="G280" s="346"/>
    </row>
    <row r="281" spans="1:7" x14ac:dyDescent="0.4">
      <c r="A281" s="346"/>
      <c r="B281" s="346"/>
      <c r="C281" s="346"/>
      <c r="D281" s="346"/>
      <c r="E281" s="346"/>
      <c r="F281" s="346"/>
      <c r="G281" s="346"/>
    </row>
    <row r="282" spans="1:7" x14ac:dyDescent="0.4">
      <c r="A282" s="346"/>
      <c r="B282" s="346"/>
      <c r="C282" s="346"/>
      <c r="D282" s="346"/>
      <c r="E282" s="346"/>
      <c r="F282" s="346"/>
      <c r="G282" s="346"/>
    </row>
    <row r="283" spans="1:7" x14ac:dyDescent="0.4">
      <c r="A283" s="346"/>
      <c r="B283" s="346"/>
      <c r="C283" s="346"/>
      <c r="D283" s="346"/>
      <c r="E283" s="346"/>
      <c r="F283" s="346"/>
      <c r="G283" s="346"/>
    </row>
    <row r="284" spans="1:7" x14ac:dyDescent="0.4">
      <c r="A284" s="346"/>
      <c r="B284" s="346"/>
      <c r="C284" s="346"/>
      <c r="D284" s="346"/>
      <c r="E284" s="346"/>
      <c r="F284" s="346"/>
      <c r="G284" s="346"/>
    </row>
    <row r="285" spans="1:7" x14ac:dyDescent="0.4">
      <c r="A285" s="346"/>
      <c r="B285" s="346"/>
      <c r="C285" s="346"/>
      <c r="D285" s="346"/>
      <c r="E285" s="346"/>
      <c r="F285" s="346"/>
      <c r="G285" s="346"/>
    </row>
    <row r="286" spans="1:7" x14ac:dyDescent="0.4">
      <c r="A286" s="346"/>
      <c r="B286" s="346"/>
      <c r="C286" s="346"/>
      <c r="D286" s="346"/>
      <c r="E286" s="346"/>
      <c r="F286" s="346"/>
      <c r="G286" s="346"/>
    </row>
    <row r="287" spans="1:7" x14ac:dyDescent="0.4">
      <c r="A287" s="346"/>
      <c r="B287" s="346"/>
      <c r="C287" s="346"/>
      <c r="D287" s="346"/>
      <c r="E287" s="346"/>
      <c r="F287" s="346"/>
      <c r="G287" s="346"/>
    </row>
    <row r="288" spans="1:7" x14ac:dyDescent="0.4">
      <c r="A288" s="346"/>
      <c r="B288" s="346"/>
      <c r="C288" s="346"/>
      <c r="D288" s="346"/>
      <c r="E288" s="346"/>
      <c r="F288" s="346"/>
      <c r="G288" s="346"/>
    </row>
    <row r="289" spans="1:7" x14ac:dyDescent="0.4">
      <c r="A289" s="344"/>
      <c r="B289" s="344" t="s">
        <v>77</v>
      </c>
      <c r="C289" s="344"/>
      <c r="D289" s="344"/>
      <c r="E289" s="344"/>
      <c r="F289" s="344"/>
      <c r="G289" s="344"/>
    </row>
    <row r="290" spans="1:7" x14ac:dyDescent="0.4">
      <c r="A290" s="346"/>
      <c r="B290" s="346"/>
      <c r="C290" s="346"/>
      <c r="D290" s="346"/>
      <c r="E290" s="346"/>
      <c r="F290" s="346"/>
      <c r="G290" s="346"/>
    </row>
    <row r="291" spans="1:7" x14ac:dyDescent="0.4">
      <c r="A291" s="346" t="s">
        <v>371</v>
      </c>
      <c r="B291" s="346"/>
      <c r="C291" s="346" t="s">
        <v>372</v>
      </c>
      <c r="D291" s="346"/>
      <c r="E291" s="346"/>
      <c r="F291" s="346"/>
      <c r="G291" s="346"/>
    </row>
    <row r="292" spans="1:7" x14ac:dyDescent="0.4">
      <c r="A292" s="346" t="s">
        <v>373</v>
      </c>
      <c r="B292" s="346"/>
      <c r="C292" s="346" t="s">
        <v>2528</v>
      </c>
      <c r="D292" s="346"/>
      <c r="E292" s="346"/>
      <c r="F292" s="346"/>
      <c r="G292" s="346"/>
    </row>
    <row r="293" spans="1:7" x14ac:dyDescent="0.4">
      <c r="A293" s="346"/>
      <c r="B293" s="346"/>
      <c r="C293" s="346"/>
      <c r="D293" s="346"/>
      <c r="E293" s="346"/>
      <c r="F293" s="346"/>
      <c r="G293" s="346"/>
    </row>
    <row r="294" spans="1:7" x14ac:dyDescent="0.4">
      <c r="A294" s="346"/>
      <c r="B294" s="346"/>
      <c r="C294" s="346"/>
      <c r="D294" s="346"/>
      <c r="E294" s="346"/>
      <c r="F294" s="346"/>
      <c r="G294" s="346"/>
    </row>
    <row r="295" spans="1:7" x14ac:dyDescent="0.4">
      <c r="A295" s="346"/>
      <c r="B295" s="346"/>
      <c r="C295" s="346"/>
      <c r="D295" s="346"/>
      <c r="E295" s="346"/>
      <c r="F295" s="346"/>
      <c r="G295" s="346"/>
    </row>
    <row r="296" spans="1:7" x14ac:dyDescent="0.4">
      <c r="A296" s="346"/>
      <c r="B296" s="346"/>
      <c r="C296" s="346"/>
      <c r="D296" s="346"/>
      <c r="E296" s="346"/>
      <c r="F296" s="346"/>
      <c r="G296" s="346"/>
    </row>
    <row r="297" spans="1:7" x14ac:dyDescent="0.4">
      <c r="A297" s="346"/>
      <c r="B297" s="346"/>
      <c r="C297" s="346"/>
      <c r="D297" s="346"/>
      <c r="E297" s="346"/>
      <c r="F297" s="346"/>
      <c r="G297" s="346"/>
    </row>
    <row r="298" spans="1:7" x14ac:dyDescent="0.4">
      <c r="A298" s="346"/>
      <c r="B298" s="346"/>
      <c r="C298" s="346"/>
      <c r="D298" s="346"/>
      <c r="E298" s="346"/>
      <c r="F298" s="346"/>
      <c r="G298" s="346"/>
    </row>
    <row r="299" spans="1:7" x14ac:dyDescent="0.4">
      <c r="A299" s="346"/>
      <c r="B299" s="346"/>
      <c r="C299" s="346"/>
      <c r="D299" s="346"/>
      <c r="E299" s="346"/>
      <c r="F299" s="346"/>
      <c r="G299" s="346"/>
    </row>
    <row r="300" spans="1:7" x14ac:dyDescent="0.4">
      <c r="A300" s="346"/>
      <c r="B300" s="346"/>
      <c r="C300" s="346"/>
      <c r="D300" s="346"/>
      <c r="E300" s="346"/>
      <c r="F300" s="346"/>
      <c r="G300" s="346"/>
    </row>
    <row r="301" spans="1:7" x14ac:dyDescent="0.4">
      <c r="A301" s="346"/>
      <c r="B301" s="346"/>
      <c r="C301" s="346"/>
      <c r="D301" s="346"/>
      <c r="E301" s="346"/>
      <c r="F301" s="346"/>
      <c r="G301" s="346"/>
    </row>
    <row r="302" spans="1:7" x14ac:dyDescent="0.4">
      <c r="A302" s="346"/>
      <c r="B302" s="346"/>
      <c r="C302" s="346"/>
      <c r="D302" s="346"/>
      <c r="E302" s="346"/>
      <c r="F302" s="346"/>
      <c r="G302" s="346"/>
    </row>
    <row r="303" spans="1:7" x14ac:dyDescent="0.4">
      <c r="A303" s="346"/>
      <c r="B303" s="346"/>
      <c r="C303" s="346"/>
      <c r="D303" s="346"/>
      <c r="E303" s="346"/>
      <c r="F303" s="346"/>
      <c r="G303" s="346"/>
    </row>
    <row r="304" spans="1:7" x14ac:dyDescent="0.4">
      <c r="A304" s="346"/>
      <c r="B304" s="346"/>
      <c r="C304" s="346"/>
      <c r="D304" s="346"/>
      <c r="E304" s="346"/>
      <c r="F304" s="346"/>
      <c r="G304" s="346"/>
    </row>
    <row r="305" spans="1:7" x14ac:dyDescent="0.4">
      <c r="A305" s="346"/>
      <c r="B305" s="346"/>
      <c r="C305" s="346"/>
      <c r="D305" s="346"/>
      <c r="E305" s="346"/>
      <c r="F305" s="346"/>
      <c r="G305" s="346"/>
    </row>
    <row r="306" spans="1:7" x14ac:dyDescent="0.4">
      <c r="A306" s="346"/>
      <c r="B306" s="346"/>
      <c r="C306" s="346"/>
      <c r="D306" s="346"/>
      <c r="E306" s="346"/>
      <c r="F306" s="346"/>
      <c r="G306" s="346"/>
    </row>
    <row r="307" spans="1:7" x14ac:dyDescent="0.4">
      <c r="A307" s="346"/>
      <c r="B307" s="346"/>
      <c r="C307" s="346"/>
      <c r="D307" s="346"/>
      <c r="E307" s="346"/>
      <c r="F307" s="346"/>
      <c r="G307" s="346"/>
    </row>
    <row r="308" spans="1:7" x14ac:dyDescent="0.4">
      <c r="A308" s="346"/>
      <c r="B308" s="346"/>
      <c r="C308" s="346"/>
      <c r="D308" s="346"/>
      <c r="E308" s="346"/>
      <c r="F308" s="346"/>
      <c r="G308" s="346"/>
    </row>
    <row r="309" spans="1:7" x14ac:dyDescent="0.4">
      <c r="A309" s="346"/>
      <c r="B309" s="346"/>
      <c r="C309" s="346"/>
      <c r="D309" s="346"/>
      <c r="E309" s="346"/>
      <c r="F309" s="346"/>
      <c r="G309" s="346"/>
    </row>
    <row r="310" spans="1:7" x14ac:dyDescent="0.4">
      <c r="A310" s="346"/>
      <c r="B310" s="346"/>
      <c r="C310" s="346"/>
      <c r="D310" s="346"/>
      <c r="E310" s="346"/>
      <c r="F310" s="346"/>
      <c r="G310" s="346"/>
    </row>
    <row r="311" spans="1:7" x14ac:dyDescent="0.4">
      <c r="A311" s="346"/>
      <c r="B311" s="346"/>
      <c r="C311" s="346"/>
      <c r="D311" s="346"/>
      <c r="E311" s="346"/>
      <c r="F311" s="346"/>
      <c r="G311" s="346"/>
    </row>
    <row r="312" spans="1:7" x14ac:dyDescent="0.4">
      <c r="A312" s="346"/>
      <c r="B312" s="346"/>
      <c r="C312" s="346"/>
      <c r="D312" s="346"/>
      <c r="E312" s="346"/>
      <c r="F312" s="346"/>
      <c r="G312" s="346"/>
    </row>
    <row r="313" spans="1:7" x14ac:dyDescent="0.4">
      <c r="A313" s="346"/>
      <c r="B313" s="346"/>
      <c r="C313" s="346"/>
      <c r="D313" s="346"/>
      <c r="E313" s="346"/>
      <c r="F313" s="346"/>
      <c r="G313" s="346"/>
    </row>
    <row r="314" spans="1:7" x14ac:dyDescent="0.4">
      <c r="A314" s="346"/>
      <c r="B314" s="346"/>
      <c r="C314" s="346"/>
      <c r="D314" s="346"/>
      <c r="E314" s="346"/>
      <c r="F314" s="346"/>
      <c r="G314" s="346"/>
    </row>
    <row r="315" spans="1:7" x14ac:dyDescent="0.4">
      <c r="A315" s="346"/>
      <c r="B315" s="346"/>
      <c r="C315" s="346"/>
      <c r="D315" s="346"/>
      <c r="E315" s="346"/>
      <c r="F315" s="346"/>
      <c r="G315" s="346"/>
    </row>
    <row r="316" spans="1:7" x14ac:dyDescent="0.4">
      <c r="A316" s="346"/>
      <c r="B316" s="346"/>
      <c r="C316" s="346"/>
      <c r="D316" s="346"/>
      <c r="E316" s="346"/>
      <c r="F316" s="346"/>
      <c r="G316" s="346"/>
    </row>
    <row r="317" spans="1:7" x14ac:dyDescent="0.4">
      <c r="A317" s="346"/>
      <c r="B317" s="346"/>
      <c r="C317" s="346"/>
      <c r="D317" s="346"/>
      <c r="E317" s="346"/>
      <c r="F317" s="346"/>
      <c r="G317" s="346"/>
    </row>
    <row r="318" spans="1:7" x14ac:dyDescent="0.4">
      <c r="A318" s="346"/>
      <c r="B318" s="346"/>
      <c r="C318" s="346"/>
      <c r="D318" s="346"/>
      <c r="E318" s="346"/>
      <c r="F318" s="346"/>
      <c r="G318" s="346"/>
    </row>
    <row r="319" spans="1:7" x14ac:dyDescent="0.4">
      <c r="A319" s="346"/>
      <c r="B319" s="346"/>
      <c r="C319" s="346"/>
      <c r="D319" s="346"/>
      <c r="E319" s="346"/>
      <c r="F319" s="346"/>
      <c r="G319" s="346"/>
    </row>
    <row r="320" spans="1:7" x14ac:dyDescent="0.4">
      <c r="A320" s="346"/>
      <c r="B320" s="346"/>
      <c r="C320" s="346"/>
      <c r="D320" s="346"/>
      <c r="E320" s="346"/>
      <c r="F320" s="346"/>
      <c r="G320" s="346"/>
    </row>
    <row r="321" spans="1:7" x14ac:dyDescent="0.4">
      <c r="A321" s="346"/>
      <c r="B321" s="346"/>
      <c r="C321" s="346"/>
      <c r="D321" s="346"/>
      <c r="E321" s="346"/>
      <c r="F321" s="346"/>
      <c r="G321" s="346"/>
    </row>
    <row r="322" spans="1:7" x14ac:dyDescent="0.4">
      <c r="A322" s="344"/>
      <c r="B322" s="344" t="s">
        <v>80</v>
      </c>
      <c r="C322" s="344"/>
      <c r="D322" s="344"/>
      <c r="E322" s="344"/>
      <c r="F322" s="344"/>
      <c r="G322" s="344"/>
    </row>
    <row r="323" spans="1:7" x14ac:dyDescent="0.4">
      <c r="A323" s="346" t="s">
        <v>2484</v>
      </c>
      <c r="B323" s="346" t="s">
        <v>2321</v>
      </c>
      <c r="C323" s="346" t="s">
        <v>2485</v>
      </c>
      <c r="D323" s="346"/>
      <c r="E323" s="346"/>
      <c r="F323" s="346">
        <v>3255</v>
      </c>
      <c r="G323" s="346"/>
    </row>
    <row r="324" spans="1:7" x14ac:dyDescent="0.4">
      <c r="A324" s="346"/>
      <c r="B324" s="346"/>
      <c r="C324" s="346"/>
      <c r="D324" s="346"/>
      <c r="E324" s="346"/>
      <c r="F324" s="346"/>
      <c r="G324" s="346"/>
    </row>
    <row r="325" spans="1:7" x14ac:dyDescent="0.4">
      <c r="A325" s="346"/>
      <c r="B325" s="346"/>
      <c r="C325" s="346"/>
      <c r="D325" s="346"/>
      <c r="E325" s="346"/>
      <c r="F325" s="346"/>
      <c r="G325" s="346"/>
    </row>
    <row r="326" spans="1:7" x14ac:dyDescent="0.4">
      <c r="A326" s="346"/>
      <c r="B326" s="346"/>
      <c r="C326" s="346"/>
      <c r="D326" s="346"/>
      <c r="E326" s="346"/>
      <c r="F326" s="346"/>
      <c r="G326" s="346"/>
    </row>
    <row r="327" spans="1:7" x14ac:dyDescent="0.4">
      <c r="A327" s="346"/>
      <c r="B327" s="346"/>
      <c r="C327" s="346"/>
      <c r="D327" s="346"/>
      <c r="E327" s="346"/>
      <c r="F327" s="346"/>
      <c r="G327" s="346"/>
    </row>
    <row r="328" spans="1:7" x14ac:dyDescent="0.4">
      <c r="A328" s="346"/>
      <c r="B328" s="346"/>
      <c r="C328" s="346"/>
      <c r="D328" s="346"/>
      <c r="E328" s="346"/>
      <c r="F328" s="346"/>
      <c r="G328" s="346"/>
    </row>
    <row r="329" spans="1:7" x14ac:dyDescent="0.4">
      <c r="A329" s="346"/>
      <c r="B329" s="346"/>
      <c r="C329" s="346"/>
      <c r="D329" s="346"/>
      <c r="E329" s="346"/>
      <c r="F329" s="346"/>
      <c r="G329" s="346"/>
    </row>
    <row r="330" spans="1:7" x14ac:dyDescent="0.4">
      <c r="A330" s="346"/>
      <c r="B330" s="346"/>
      <c r="C330" s="346"/>
      <c r="D330" s="346"/>
      <c r="E330" s="346"/>
      <c r="F330" s="346"/>
      <c r="G330" s="346"/>
    </row>
    <row r="331" spans="1:7" x14ac:dyDescent="0.4">
      <c r="A331" s="346"/>
      <c r="B331" s="346"/>
      <c r="C331" s="346"/>
      <c r="D331" s="346"/>
      <c r="E331" s="346"/>
      <c r="F331" s="346"/>
      <c r="G331" s="346"/>
    </row>
    <row r="332" spans="1:7" x14ac:dyDescent="0.4">
      <c r="A332" s="346"/>
      <c r="B332" s="346"/>
      <c r="C332" s="346"/>
      <c r="D332" s="346"/>
      <c r="E332" s="346"/>
      <c r="F332" s="346"/>
      <c r="G332" s="346"/>
    </row>
    <row r="333" spans="1:7" x14ac:dyDescent="0.4">
      <c r="A333" s="346"/>
      <c r="B333" s="346"/>
      <c r="C333" s="346"/>
      <c r="D333" s="346"/>
      <c r="E333" s="346"/>
      <c r="F333" s="346"/>
      <c r="G333" s="346"/>
    </row>
    <row r="334" spans="1:7" x14ac:dyDescent="0.4">
      <c r="A334" s="346"/>
      <c r="B334" s="346"/>
      <c r="C334" s="346"/>
      <c r="D334" s="346"/>
      <c r="E334" s="346"/>
      <c r="F334" s="346"/>
      <c r="G334" s="346"/>
    </row>
    <row r="335" spans="1:7" x14ac:dyDescent="0.4">
      <c r="A335" s="346"/>
      <c r="B335" s="346"/>
      <c r="C335" s="346"/>
      <c r="D335" s="346"/>
      <c r="E335" s="346"/>
      <c r="F335" s="346"/>
      <c r="G335" s="346"/>
    </row>
    <row r="336" spans="1:7" x14ac:dyDescent="0.4">
      <c r="A336" s="346"/>
      <c r="B336" s="346"/>
      <c r="C336" s="346"/>
      <c r="D336" s="346"/>
      <c r="E336" s="346"/>
      <c r="F336" s="346"/>
      <c r="G336" s="346"/>
    </row>
    <row r="337" spans="1:7" x14ac:dyDescent="0.4">
      <c r="A337" s="346"/>
      <c r="B337" s="346"/>
      <c r="C337" s="346"/>
      <c r="D337" s="346"/>
      <c r="E337" s="346"/>
      <c r="F337" s="346"/>
      <c r="G337" s="346"/>
    </row>
    <row r="338" spans="1:7" x14ac:dyDescent="0.4">
      <c r="A338" s="346"/>
      <c r="B338" s="346"/>
      <c r="C338" s="346"/>
      <c r="D338" s="346"/>
      <c r="E338" s="346"/>
      <c r="F338" s="346"/>
      <c r="G338" s="346"/>
    </row>
    <row r="339" spans="1:7" x14ac:dyDescent="0.4">
      <c r="A339" s="346"/>
      <c r="B339" s="346"/>
      <c r="C339" s="346"/>
      <c r="D339" s="346"/>
      <c r="E339" s="346"/>
      <c r="F339" s="346"/>
      <c r="G339" s="346"/>
    </row>
    <row r="340" spans="1:7" x14ac:dyDescent="0.4">
      <c r="A340" s="346"/>
      <c r="B340" s="346"/>
      <c r="C340" s="346"/>
      <c r="D340" s="346"/>
      <c r="E340" s="346"/>
      <c r="F340" s="346"/>
      <c r="G340" s="346"/>
    </row>
    <row r="341" spans="1:7" x14ac:dyDescent="0.4">
      <c r="A341" s="346"/>
      <c r="B341" s="346"/>
      <c r="C341" s="346"/>
      <c r="D341" s="346"/>
      <c r="E341" s="346"/>
      <c r="F341" s="346"/>
      <c r="G341" s="346"/>
    </row>
    <row r="342" spans="1:7" x14ac:dyDescent="0.4">
      <c r="A342" s="346"/>
      <c r="B342" s="346"/>
      <c r="C342" s="346"/>
      <c r="D342" s="346"/>
      <c r="E342" s="346"/>
      <c r="F342" s="346"/>
      <c r="G342" s="346"/>
    </row>
    <row r="343" spans="1:7" x14ac:dyDescent="0.4">
      <c r="A343" s="346"/>
      <c r="B343" s="346"/>
      <c r="C343" s="346"/>
      <c r="D343" s="346"/>
      <c r="E343" s="346"/>
      <c r="F343" s="346"/>
      <c r="G343" s="346"/>
    </row>
    <row r="344" spans="1:7" x14ac:dyDescent="0.4">
      <c r="A344" s="346"/>
      <c r="B344" s="346"/>
      <c r="C344" s="346"/>
      <c r="D344" s="346"/>
      <c r="E344" s="346"/>
      <c r="F344" s="346"/>
      <c r="G344" s="346"/>
    </row>
    <row r="345" spans="1:7" x14ac:dyDescent="0.4">
      <c r="A345" s="346"/>
      <c r="B345" s="346"/>
      <c r="C345" s="346"/>
      <c r="D345" s="346"/>
      <c r="E345" s="346"/>
      <c r="F345" s="346"/>
      <c r="G345" s="346"/>
    </row>
    <row r="346" spans="1:7" x14ac:dyDescent="0.4">
      <c r="A346" s="346"/>
      <c r="B346" s="346"/>
      <c r="C346" s="346"/>
      <c r="D346" s="346"/>
      <c r="E346" s="346"/>
      <c r="F346" s="346"/>
      <c r="G346" s="346"/>
    </row>
    <row r="347" spans="1:7" x14ac:dyDescent="0.4">
      <c r="A347" s="346"/>
      <c r="B347" s="346"/>
      <c r="C347" s="346"/>
      <c r="D347" s="346"/>
      <c r="E347" s="346"/>
      <c r="F347" s="346"/>
      <c r="G347" s="346"/>
    </row>
    <row r="348" spans="1:7" x14ac:dyDescent="0.4">
      <c r="A348" s="346"/>
      <c r="B348" s="346"/>
      <c r="C348" s="346"/>
      <c r="D348" s="346"/>
      <c r="E348" s="346"/>
      <c r="F348" s="346"/>
      <c r="G348" s="346"/>
    </row>
    <row r="349" spans="1:7" x14ac:dyDescent="0.4">
      <c r="A349" s="344"/>
      <c r="B349" s="344" t="s">
        <v>83</v>
      </c>
      <c r="C349" s="344"/>
      <c r="D349" s="344"/>
      <c r="E349" s="344"/>
      <c r="F349" s="344"/>
      <c r="G349" s="344"/>
    </row>
    <row r="350" spans="1:7" x14ac:dyDescent="0.4">
      <c r="A350" s="346"/>
      <c r="B350" s="346"/>
      <c r="C350" s="346"/>
      <c r="D350" s="346"/>
      <c r="E350" s="346"/>
      <c r="F350" s="346"/>
      <c r="G350" s="346"/>
    </row>
    <row r="351" spans="1:7" x14ac:dyDescent="0.4">
      <c r="A351" s="346"/>
      <c r="B351" s="346"/>
      <c r="C351" s="346"/>
      <c r="D351" s="346"/>
      <c r="E351" s="346"/>
      <c r="F351" s="346"/>
      <c r="G351" s="346"/>
    </row>
    <row r="352" spans="1:7" x14ac:dyDescent="0.4">
      <c r="A352" s="346"/>
      <c r="B352" s="346"/>
      <c r="C352" s="346"/>
      <c r="D352" s="346"/>
      <c r="E352" s="346"/>
      <c r="F352" s="346"/>
      <c r="G352" s="346"/>
    </row>
    <row r="353" spans="1:7" x14ac:dyDescent="0.4">
      <c r="A353" s="346"/>
      <c r="B353" s="346"/>
      <c r="C353" s="346"/>
      <c r="D353" s="346"/>
      <c r="E353" s="346"/>
      <c r="F353" s="346"/>
      <c r="G353" s="346"/>
    </row>
    <row r="354" spans="1:7" x14ac:dyDescent="0.4">
      <c r="A354" s="346"/>
      <c r="B354" s="346"/>
      <c r="C354" s="346"/>
      <c r="D354" s="346"/>
      <c r="E354" s="346"/>
      <c r="F354" s="346"/>
      <c r="G354" s="346"/>
    </row>
    <row r="355" spans="1:7" x14ac:dyDescent="0.4">
      <c r="A355" s="346"/>
      <c r="B355" s="346"/>
      <c r="C355" s="346"/>
      <c r="D355" s="346"/>
      <c r="E355" s="346"/>
      <c r="F355" s="346"/>
      <c r="G355" s="346"/>
    </row>
    <row r="356" spans="1:7" x14ac:dyDescent="0.4">
      <c r="A356" s="346"/>
      <c r="B356" s="346"/>
      <c r="C356" s="346"/>
      <c r="D356" s="346"/>
      <c r="E356" s="346"/>
      <c r="F356" s="346"/>
      <c r="G356" s="346"/>
    </row>
    <row r="357" spans="1:7" x14ac:dyDescent="0.4">
      <c r="A357" s="346"/>
      <c r="B357" s="346"/>
      <c r="C357" s="346"/>
      <c r="D357" s="346"/>
      <c r="E357" s="346"/>
      <c r="F357" s="346"/>
      <c r="G357" s="346"/>
    </row>
    <row r="358" spans="1:7" x14ac:dyDescent="0.4">
      <c r="A358" s="346"/>
      <c r="B358" s="346"/>
      <c r="C358" s="346"/>
      <c r="D358" s="346"/>
      <c r="E358" s="346"/>
      <c r="F358" s="346"/>
      <c r="G358" s="346"/>
    </row>
    <row r="359" spans="1:7" x14ac:dyDescent="0.4">
      <c r="A359" s="346"/>
      <c r="B359" s="346"/>
      <c r="C359" s="346"/>
      <c r="D359" s="346"/>
      <c r="E359" s="346"/>
      <c r="F359" s="346"/>
      <c r="G359" s="346"/>
    </row>
    <row r="360" spans="1:7" x14ac:dyDescent="0.4">
      <c r="A360" s="346"/>
      <c r="B360" s="346"/>
      <c r="C360" s="346"/>
      <c r="D360" s="346"/>
      <c r="E360" s="346"/>
      <c r="F360" s="346"/>
      <c r="G360" s="346"/>
    </row>
    <row r="361" spans="1:7" x14ac:dyDescent="0.4">
      <c r="A361" s="346"/>
      <c r="B361" s="346"/>
      <c r="C361" s="346"/>
      <c r="D361" s="346"/>
      <c r="E361" s="346"/>
      <c r="F361" s="346"/>
      <c r="G361" s="346"/>
    </row>
    <row r="362" spans="1:7" x14ac:dyDescent="0.4">
      <c r="A362" s="346"/>
      <c r="B362" s="346"/>
      <c r="C362" s="346"/>
      <c r="D362" s="346"/>
      <c r="E362" s="346"/>
      <c r="F362" s="346"/>
      <c r="G362" s="346"/>
    </row>
    <row r="363" spans="1:7" x14ac:dyDescent="0.4">
      <c r="A363" s="346"/>
      <c r="B363" s="346"/>
      <c r="C363" s="346"/>
      <c r="D363" s="346"/>
      <c r="E363" s="346"/>
      <c r="F363" s="346"/>
      <c r="G363" s="346"/>
    </row>
    <row r="364" spans="1:7" x14ac:dyDescent="0.4">
      <c r="A364" s="346"/>
      <c r="B364" s="346"/>
      <c r="C364" s="346"/>
      <c r="D364" s="346"/>
      <c r="E364" s="346"/>
      <c r="F364" s="346"/>
      <c r="G364" s="346"/>
    </row>
    <row r="365" spans="1:7" x14ac:dyDescent="0.4">
      <c r="A365" s="346"/>
      <c r="B365" s="346"/>
      <c r="C365" s="346"/>
      <c r="D365" s="346"/>
      <c r="E365" s="346"/>
      <c r="F365" s="346"/>
      <c r="G365" s="346"/>
    </row>
    <row r="366" spans="1:7" x14ac:dyDescent="0.4">
      <c r="A366" s="346"/>
      <c r="B366" s="346"/>
      <c r="C366" s="346"/>
      <c r="D366" s="346"/>
      <c r="E366" s="346"/>
      <c r="F366" s="346"/>
      <c r="G366" s="346"/>
    </row>
    <row r="367" spans="1:7" x14ac:dyDescent="0.4">
      <c r="A367" s="346"/>
      <c r="B367" s="346"/>
      <c r="C367" s="346"/>
      <c r="D367" s="346"/>
      <c r="E367" s="346"/>
      <c r="F367" s="346"/>
      <c r="G367" s="346"/>
    </row>
    <row r="368" spans="1:7" x14ac:dyDescent="0.4">
      <c r="A368" s="346"/>
      <c r="B368" s="346"/>
      <c r="C368" s="346"/>
      <c r="D368" s="346"/>
      <c r="E368" s="346"/>
      <c r="F368" s="346"/>
      <c r="G368" s="346"/>
    </row>
    <row r="369" spans="1:7" x14ac:dyDescent="0.4">
      <c r="A369" s="346"/>
      <c r="B369" s="346"/>
      <c r="C369" s="346"/>
      <c r="D369" s="346"/>
      <c r="E369" s="346"/>
      <c r="F369" s="346"/>
      <c r="G369" s="346"/>
    </row>
    <row r="370" spans="1:7" x14ac:dyDescent="0.4">
      <c r="A370" s="346"/>
      <c r="B370" s="346"/>
      <c r="C370" s="346"/>
      <c r="D370" s="346"/>
      <c r="E370" s="346"/>
      <c r="F370" s="346"/>
      <c r="G370" s="346"/>
    </row>
    <row r="371" spans="1:7" x14ac:dyDescent="0.4">
      <c r="A371" s="346"/>
      <c r="B371" s="346"/>
      <c r="C371" s="346"/>
      <c r="D371" s="346"/>
      <c r="E371" s="346"/>
      <c r="F371" s="346"/>
      <c r="G371" s="346"/>
    </row>
    <row r="372" spans="1:7" x14ac:dyDescent="0.4">
      <c r="A372" s="346"/>
      <c r="B372" s="346"/>
      <c r="C372" s="346"/>
      <c r="D372" s="346"/>
      <c r="E372" s="346"/>
      <c r="F372" s="346"/>
      <c r="G372" s="346"/>
    </row>
    <row r="373" spans="1:7" x14ac:dyDescent="0.4">
      <c r="A373" s="346"/>
      <c r="B373" s="346"/>
      <c r="C373" s="346"/>
      <c r="D373" s="346"/>
      <c r="E373" s="346"/>
      <c r="F373" s="346"/>
      <c r="G373" s="346"/>
    </row>
    <row r="374" spans="1:7" x14ac:dyDescent="0.4">
      <c r="A374" s="346"/>
      <c r="B374" s="346"/>
      <c r="C374" s="346"/>
      <c r="D374" s="346"/>
      <c r="E374" s="346"/>
      <c r="F374" s="346"/>
      <c r="G374" s="346"/>
    </row>
    <row r="375" spans="1:7" x14ac:dyDescent="0.4">
      <c r="A375" s="346"/>
      <c r="B375" s="346"/>
      <c r="C375" s="346"/>
      <c r="D375" s="346"/>
      <c r="E375" s="346"/>
      <c r="F375" s="346"/>
      <c r="G375" s="346"/>
    </row>
    <row r="376" spans="1:7" x14ac:dyDescent="0.4">
      <c r="A376" s="346"/>
      <c r="B376" s="346"/>
      <c r="C376" s="346"/>
      <c r="D376" s="346"/>
      <c r="E376" s="346"/>
      <c r="F376" s="346"/>
      <c r="G376" s="346"/>
    </row>
    <row r="377" spans="1:7" x14ac:dyDescent="0.4">
      <c r="A377" s="346"/>
      <c r="B377" s="346"/>
      <c r="C377" s="346"/>
      <c r="D377" s="346"/>
      <c r="E377" s="346"/>
      <c r="F377" s="346"/>
      <c r="G377" s="346"/>
    </row>
    <row r="378" spans="1:7" x14ac:dyDescent="0.4">
      <c r="A378" s="346"/>
      <c r="B378" s="346"/>
      <c r="C378" s="346"/>
      <c r="D378" s="346"/>
      <c r="E378" s="346"/>
      <c r="F378" s="346"/>
      <c r="G378" s="346"/>
    </row>
    <row r="379" spans="1:7" x14ac:dyDescent="0.4">
      <c r="A379" s="346"/>
      <c r="B379" s="346"/>
      <c r="C379" s="346"/>
      <c r="D379" s="346"/>
      <c r="E379" s="346"/>
      <c r="F379" s="346"/>
      <c r="G379" s="346"/>
    </row>
    <row r="380" spans="1:7" x14ac:dyDescent="0.4">
      <c r="A380" s="346"/>
      <c r="B380" s="346"/>
      <c r="C380" s="346"/>
      <c r="D380" s="346"/>
      <c r="E380" s="346"/>
      <c r="F380" s="346"/>
      <c r="G380" s="346"/>
    </row>
    <row r="381" spans="1:7" x14ac:dyDescent="0.4">
      <c r="A381" s="344"/>
      <c r="B381" s="344" t="s">
        <v>87</v>
      </c>
      <c r="C381" s="344"/>
      <c r="D381" s="344"/>
      <c r="E381" s="344"/>
      <c r="F381" s="344"/>
      <c r="G381" s="344"/>
    </row>
    <row r="382" spans="1:7" x14ac:dyDescent="0.4">
      <c r="A382" s="346"/>
      <c r="B382" s="346"/>
      <c r="C382" s="346"/>
      <c r="D382" s="346"/>
      <c r="E382" s="346"/>
      <c r="F382" s="346"/>
      <c r="G382" s="346"/>
    </row>
    <row r="383" spans="1:7" x14ac:dyDescent="0.4">
      <c r="A383" s="346" t="s">
        <v>374</v>
      </c>
      <c r="B383" s="346"/>
      <c r="C383" s="346" t="s">
        <v>375</v>
      </c>
      <c r="D383" s="346" t="s">
        <v>376</v>
      </c>
      <c r="E383" s="346"/>
      <c r="F383" s="346"/>
      <c r="G383" s="346"/>
    </row>
    <row r="384" spans="1:7" x14ac:dyDescent="0.4">
      <c r="A384" s="346"/>
      <c r="B384" s="346"/>
      <c r="C384" s="346"/>
      <c r="D384" s="346"/>
      <c r="E384" s="346"/>
      <c r="F384" s="346"/>
      <c r="G384" s="346"/>
    </row>
    <row r="385" spans="1:7" x14ac:dyDescent="0.4">
      <c r="A385" s="346"/>
      <c r="B385" s="346"/>
      <c r="C385" s="346"/>
      <c r="D385" s="346"/>
      <c r="E385" s="346"/>
      <c r="F385" s="346"/>
      <c r="G385" s="346"/>
    </row>
    <row r="386" spans="1:7" x14ac:dyDescent="0.4">
      <c r="A386" s="346"/>
      <c r="B386" s="346"/>
      <c r="C386" s="346"/>
      <c r="D386" s="346"/>
      <c r="E386" s="346"/>
      <c r="F386" s="346"/>
      <c r="G386" s="346"/>
    </row>
    <row r="387" spans="1:7" x14ac:dyDescent="0.4">
      <c r="A387" s="346"/>
      <c r="B387" s="346"/>
      <c r="C387" s="346"/>
      <c r="D387" s="346"/>
      <c r="E387" s="346"/>
      <c r="F387" s="346"/>
      <c r="G387" s="346"/>
    </row>
    <row r="388" spans="1:7" x14ac:dyDescent="0.4">
      <c r="A388" s="346"/>
      <c r="B388" s="346"/>
      <c r="C388" s="346"/>
      <c r="D388" s="346"/>
      <c r="E388" s="346"/>
      <c r="F388" s="346"/>
      <c r="G388" s="346"/>
    </row>
    <row r="389" spans="1:7" x14ac:dyDescent="0.4">
      <c r="A389" s="346"/>
      <c r="B389" s="346"/>
      <c r="C389" s="346"/>
      <c r="D389" s="346"/>
      <c r="E389" s="346"/>
      <c r="F389" s="346"/>
      <c r="G389" s="346"/>
    </row>
    <row r="390" spans="1:7" x14ac:dyDescent="0.4">
      <c r="A390" s="346"/>
      <c r="B390" s="346"/>
      <c r="C390" s="346"/>
      <c r="D390" s="346"/>
      <c r="E390" s="346"/>
      <c r="F390" s="346"/>
      <c r="G390" s="346"/>
    </row>
    <row r="391" spans="1:7" x14ac:dyDescent="0.4">
      <c r="A391" s="346"/>
      <c r="B391" s="346"/>
      <c r="C391" s="346"/>
      <c r="D391" s="346"/>
      <c r="E391" s="346"/>
      <c r="F391" s="346"/>
      <c r="G391" s="346"/>
    </row>
    <row r="392" spans="1:7" x14ac:dyDescent="0.4">
      <c r="A392" s="346"/>
      <c r="B392" s="346"/>
      <c r="C392" s="346"/>
      <c r="D392" s="346"/>
      <c r="E392" s="346"/>
      <c r="F392" s="346"/>
      <c r="G392" s="346"/>
    </row>
    <row r="393" spans="1:7" x14ac:dyDescent="0.4">
      <c r="A393" s="346"/>
      <c r="B393" s="346"/>
      <c r="C393" s="346"/>
      <c r="D393" s="346"/>
      <c r="E393" s="346"/>
      <c r="F393" s="346"/>
      <c r="G393" s="346"/>
    </row>
    <row r="394" spans="1:7" x14ac:dyDescent="0.4">
      <c r="A394" s="346"/>
      <c r="B394" s="346"/>
      <c r="C394" s="346"/>
      <c r="D394" s="346"/>
      <c r="E394" s="346"/>
      <c r="F394" s="346"/>
      <c r="G394" s="346"/>
    </row>
    <row r="395" spans="1:7" x14ac:dyDescent="0.4">
      <c r="A395" s="346"/>
      <c r="B395" s="346"/>
      <c r="C395" s="346"/>
      <c r="D395" s="346"/>
      <c r="E395" s="346"/>
      <c r="F395" s="346"/>
      <c r="G395" s="346"/>
    </row>
    <row r="396" spans="1:7" x14ac:dyDescent="0.4">
      <c r="A396" s="346"/>
      <c r="B396" s="346"/>
      <c r="C396" s="346"/>
      <c r="D396" s="346"/>
      <c r="E396" s="346"/>
      <c r="F396" s="346"/>
      <c r="G396" s="346"/>
    </row>
    <row r="397" spans="1:7" x14ac:dyDescent="0.4">
      <c r="A397" s="346"/>
      <c r="B397" s="346"/>
      <c r="C397" s="346"/>
      <c r="D397" s="346"/>
      <c r="E397" s="346"/>
      <c r="F397" s="346"/>
      <c r="G397" s="346"/>
    </row>
    <row r="398" spans="1:7" x14ac:dyDescent="0.4">
      <c r="A398" s="346"/>
      <c r="B398" s="346"/>
      <c r="C398" s="346"/>
      <c r="D398" s="346"/>
      <c r="E398" s="346"/>
      <c r="F398" s="346"/>
      <c r="G398" s="346"/>
    </row>
    <row r="399" spans="1:7" x14ac:dyDescent="0.4">
      <c r="A399" s="346"/>
      <c r="B399" s="346"/>
      <c r="C399" s="346"/>
      <c r="D399" s="346"/>
      <c r="E399" s="346"/>
      <c r="F399" s="346"/>
      <c r="G399" s="346"/>
    </row>
    <row r="400" spans="1:7" x14ac:dyDescent="0.4">
      <c r="A400" s="346"/>
      <c r="B400" s="346"/>
      <c r="C400" s="346"/>
      <c r="D400" s="346"/>
      <c r="E400" s="346"/>
      <c r="F400" s="346"/>
      <c r="G400" s="346"/>
    </row>
    <row r="401" spans="1:7" x14ac:dyDescent="0.4">
      <c r="A401" s="344"/>
      <c r="B401" s="344" t="s">
        <v>90</v>
      </c>
      <c r="C401" s="344"/>
      <c r="D401" s="344"/>
      <c r="E401" s="344"/>
      <c r="F401" s="344"/>
      <c r="G401" s="344"/>
    </row>
    <row r="402" spans="1:7" x14ac:dyDescent="0.4">
      <c r="A402" s="346"/>
      <c r="B402" s="346"/>
      <c r="C402" s="346"/>
      <c r="D402" s="346"/>
      <c r="E402" s="346"/>
      <c r="F402" s="346"/>
      <c r="G402" s="346"/>
    </row>
    <row r="403" spans="1:7" x14ac:dyDescent="0.4">
      <c r="A403" s="346"/>
      <c r="B403" s="346"/>
      <c r="C403" s="346"/>
      <c r="D403" s="346"/>
      <c r="E403" s="346"/>
      <c r="F403" s="346"/>
      <c r="G403" s="346"/>
    </row>
    <row r="404" spans="1:7" x14ac:dyDescent="0.4">
      <c r="A404" s="346"/>
      <c r="B404" s="346"/>
      <c r="C404" s="346"/>
      <c r="D404" s="346"/>
      <c r="E404" s="346"/>
      <c r="F404" s="346"/>
      <c r="G404" s="346"/>
    </row>
    <row r="405" spans="1:7" x14ac:dyDescent="0.4">
      <c r="A405" s="346"/>
      <c r="B405" s="346"/>
      <c r="C405" s="346"/>
      <c r="D405" s="346"/>
      <c r="E405" s="346"/>
      <c r="F405" s="346"/>
      <c r="G405" s="346"/>
    </row>
    <row r="406" spans="1:7" x14ac:dyDescent="0.4">
      <c r="A406" s="346"/>
      <c r="B406" s="346"/>
      <c r="C406" s="346"/>
      <c r="D406" s="346"/>
      <c r="E406" s="346"/>
      <c r="F406" s="346"/>
      <c r="G406" s="346"/>
    </row>
    <row r="407" spans="1:7" x14ac:dyDescent="0.4">
      <c r="A407" s="346"/>
      <c r="B407" s="346"/>
      <c r="C407" s="346"/>
      <c r="D407" s="346"/>
      <c r="E407" s="346"/>
      <c r="F407" s="346"/>
      <c r="G407" s="346"/>
    </row>
    <row r="408" spans="1:7" x14ac:dyDescent="0.4">
      <c r="A408" s="346"/>
      <c r="B408" s="346"/>
      <c r="C408" s="346"/>
      <c r="D408" s="346"/>
      <c r="E408" s="346"/>
      <c r="F408" s="346"/>
      <c r="G408" s="346"/>
    </row>
    <row r="409" spans="1:7" x14ac:dyDescent="0.4">
      <c r="A409" s="346"/>
      <c r="B409" s="346"/>
      <c r="C409" s="346"/>
      <c r="D409" s="346"/>
      <c r="E409" s="346"/>
      <c r="F409" s="346"/>
      <c r="G409" s="346"/>
    </row>
    <row r="410" spans="1:7" x14ac:dyDescent="0.4">
      <c r="A410" s="346"/>
      <c r="B410" s="346"/>
      <c r="C410" s="346"/>
      <c r="D410" s="346"/>
      <c r="E410" s="346"/>
      <c r="F410" s="346"/>
      <c r="G410" s="346"/>
    </row>
    <row r="411" spans="1:7" x14ac:dyDescent="0.4">
      <c r="A411" s="346"/>
      <c r="B411" s="346"/>
      <c r="C411" s="346"/>
      <c r="D411" s="346"/>
      <c r="E411" s="346"/>
      <c r="F411" s="346"/>
      <c r="G411" s="346"/>
    </row>
    <row r="412" spans="1:7" x14ac:dyDescent="0.4">
      <c r="A412" s="346"/>
      <c r="B412" s="346"/>
      <c r="C412" s="346"/>
      <c r="D412" s="346"/>
      <c r="E412" s="346"/>
      <c r="F412" s="346"/>
      <c r="G412" s="346"/>
    </row>
    <row r="413" spans="1:7" x14ac:dyDescent="0.4">
      <c r="A413" s="346"/>
      <c r="B413" s="346"/>
      <c r="C413" s="346"/>
      <c r="D413" s="346"/>
      <c r="E413" s="346"/>
      <c r="F413" s="346"/>
      <c r="G413" s="346"/>
    </row>
    <row r="414" spans="1:7" x14ac:dyDescent="0.4">
      <c r="A414" s="346"/>
      <c r="B414" s="346"/>
      <c r="C414" s="346"/>
      <c r="D414" s="346"/>
      <c r="E414" s="346"/>
      <c r="F414" s="346"/>
      <c r="G414" s="346"/>
    </row>
    <row r="415" spans="1:7" x14ac:dyDescent="0.4">
      <c r="A415" s="346"/>
      <c r="B415" s="346"/>
      <c r="C415" s="346"/>
      <c r="D415" s="346"/>
      <c r="E415" s="346"/>
      <c r="F415" s="346"/>
      <c r="G415" s="346"/>
    </row>
    <row r="416" spans="1:7" x14ac:dyDescent="0.4">
      <c r="A416" s="346"/>
      <c r="B416" s="346"/>
      <c r="C416" s="346"/>
      <c r="D416" s="346"/>
      <c r="E416" s="346"/>
      <c r="F416" s="346"/>
      <c r="G416" s="346"/>
    </row>
    <row r="417" spans="1:7" x14ac:dyDescent="0.4">
      <c r="A417" s="346"/>
      <c r="B417" s="346"/>
      <c r="C417" s="346"/>
      <c r="D417" s="346"/>
      <c r="E417" s="346"/>
      <c r="F417" s="346"/>
      <c r="G417" s="346"/>
    </row>
    <row r="418" spans="1:7" x14ac:dyDescent="0.4">
      <c r="A418" s="346"/>
      <c r="B418" s="346"/>
      <c r="C418" s="346"/>
      <c r="D418" s="346"/>
      <c r="E418" s="346"/>
      <c r="F418" s="346"/>
      <c r="G418" s="346"/>
    </row>
    <row r="419" spans="1:7" x14ac:dyDescent="0.4">
      <c r="A419" s="346"/>
      <c r="B419" s="346"/>
      <c r="C419" s="346"/>
      <c r="D419" s="346"/>
      <c r="E419" s="346"/>
      <c r="F419" s="346"/>
      <c r="G419" s="346"/>
    </row>
    <row r="420" spans="1:7" x14ac:dyDescent="0.4">
      <c r="A420" s="346"/>
      <c r="B420" s="346"/>
      <c r="C420" s="346"/>
      <c r="D420" s="346"/>
      <c r="E420" s="346"/>
      <c r="F420" s="346"/>
      <c r="G420" s="346"/>
    </row>
    <row r="421" spans="1:7" x14ac:dyDescent="0.4">
      <c r="A421" s="346"/>
      <c r="B421" s="346"/>
      <c r="C421" s="346"/>
      <c r="D421" s="346"/>
      <c r="E421" s="346"/>
      <c r="F421" s="346"/>
      <c r="G421" s="346"/>
    </row>
    <row r="422" spans="1:7" x14ac:dyDescent="0.4">
      <c r="A422" s="346"/>
      <c r="B422" s="346"/>
      <c r="C422" s="346"/>
      <c r="D422" s="346"/>
      <c r="E422" s="346"/>
      <c r="F422" s="346"/>
      <c r="G422" s="346"/>
    </row>
    <row r="423" spans="1:7" x14ac:dyDescent="0.4">
      <c r="A423" s="346"/>
      <c r="B423" s="346"/>
      <c r="C423" s="346"/>
      <c r="D423" s="346"/>
      <c r="E423" s="346"/>
      <c r="F423" s="346"/>
      <c r="G423" s="346"/>
    </row>
    <row r="424" spans="1:7" x14ac:dyDescent="0.4">
      <c r="A424" s="346"/>
      <c r="B424" s="346"/>
      <c r="C424" s="346"/>
      <c r="D424" s="346"/>
      <c r="E424" s="346"/>
      <c r="F424" s="346"/>
      <c r="G424" s="346"/>
    </row>
    <row r="425" spans="1:7" x14ac:dyDescent="0.4">
      <c r="A425" s="346"/>
      <c r="B425" s="346"/>
      <c r="C425" s="346"/>
      <c r="D425" s="346"/>
      <c r="E425" s="346"/>
      <c r="F425" s="346"/>
      <c r="G425" s="346"/>
    </row>
    <row r="426" spans="1:7" x14ac:dyDescent="0.4">
      <c r="A426" s="346"/>
      <c r="B426" s="346"/>
      <c r="C426" s="346"/>
      <c r="D426" s="346"/>
      <c r="E426" s="346"/>
      <c r="F426" s="346"/>
      <c r="G426" s="346"/>
    </row>
    <row r="427" spans="1:7" x14ac:dyDescent="0.4">
      <c r="A427" s="346"/>
      <c r="B427" s="346"/>
      <c r="C427" s="346"/>
      <c r="D427" s="346"/>
      <c r="E427" s="346"/>
      <c r="F427" s="346"/>
      <c r="G427" s="346"/>
    </row>
    <row r="428" spans="1:7" x14ac:dyDescent="0.4">
      <c r="A428" s="346"/>
      <c r="B428" s="346"/>
      <c r="C428" s="346"/>
      <c r="D428" s="346"/>
      <c r="E428" s="346"/>
      <c r="F428" s="346"/>
      <c r="G428" s="346"/>
    </row>
    <row r="429" spans="1:7" x14ac:dyDescent="0.4">
      <c r="A429" s="346"/>
      <c r="B429" s="346"/>
      <c r="C429" s="346"/>
      <c r="D429" s="346"/>
      <c r="E429" s="346"/>
      <c r="F429" s="346"/>
      <c r="G429" s="346"/>
    </row>
    <row r="430" spans="1:7" x14ac:dyDescent="0.4">
      <c r="A430" s="346"/>
      <c r="B430" s="346"/>
      <c r="C430" s="346"/>
      <c r="D430" s="346"/>
      <c r="E430" s="346"/>
      <c r="F430" s="346"/>
      <c r="G430" s="346"/>
    </row>
    <row r="431" spans="1:7" x14ac:dyDescent="0.4">
      <c r="A431" s="346"/>
      <c r="B431" s="346"/>
      <c r="C431" s="346"/>
      <c r="D431" s="346"/>
      <c r="E431" s="346"/>
      <c r="F431" s="346"/>
      <c r="G431" s="346"/>
    </row>
    <row r="432" spans="1:7" x14ac:dyDescent="0.4">
      <c r="A432" s="346"/>
      <c r="B432" s="346"/>
      <c r="C432" s="346"/>
      <c r="D432" s="346"/>
      <c r="E432" s="346"/>
      <c r="F432" s="346"/>
      <c r="G432" s="346"/>
    </row>
    <row r="433" spans="1:7" x14ac:dyDescent="0.4">
      <c r="A433" s="346"/>
      <c r="B433" s="346"/>
      <c r="C433" s="346"/>
      <c r="D433" s="346"/>
      <c r="E433" s="346"/>
      <c r="F433" s="346"/>
      <c r="G433" s="346"/>
    </row>
    <row r="434" spans="1:7" x14ac:dyDescent="0.4">
      <c r="A434" s="346"/>
      <c r="B434" s="346"/>
      <c r="C434" s="346"/>
      <c r="D434" s="346"/>
      <c r="E434" s="346"/>
      <c r="F434" s="346"/>
      <c r="G434" s="346"/>
    </row>
    <row r="435" spans="1:7" x14ac:dyDescent="0.4">
      <c r="A435" s="346"/>
      <c r="B435" s="346"/>
      <c r="C435" s="346"/>
      <c r="D435" s="346"/>
      <c r="E435" s="346"/>
      <c r="F435" s="346"/>
      <c r="G435" s="346"/>
    </row>
    <row r="436" spans="1:7" x14ac:dyDescent="0.4">
      <c r="A436" s="346"/>
      <c r="B436" s="346"/>
      <c r="C436" s="346"/>
      <c r="D436" s="346"/>
      <c r="E436" s="346"/>
      <c r="F436" s="346"/>
      <c r="G436" s="346"/>
    </row>
    <row r="437" spans="1:7" x14ac:dyDescent="0.4">
      <c r="A437" s="346"/>
      <c r="B437" s="346"/>
      <c r="C437" s="346"/>
      <c r="D437" s="346"/>
      <c r="E437" s="346"/>
      <c r="F437" s="346"/>
      <c r="G437" s="346"/>
    </row>
    <row r="438" spans="1:7" x14ac:dyDescent="0.4">
      <c r="A438" s="346"/>
      <c r="B438" s="346"/>
      <c r="C438" s="346"/>
      <c r="D438" s="346"/>
      <c r="E438" s="346"/>
      <c r="F438" s="346"/>
      <c r="G438" s="346"/>
    </row>
    <row r="439" spans="1:7" x14ac:dyDescent="0.4">
      <c r="A439" s="346"/>
      <c r="B439" s="346"/>
      <c r="C439" s="346"/>
      <c r="D439" s="346"/>
      <c r="E439" s="346"/>
      <c r="F439" s="346"/>
      <c r="G439" s="346"/>
    </row>
    <row r="440" spans="1:7" x14ac:dyDescent="0.4">
      <c r="A440" s="346"/>
      <c r="B440" s="346"/>
      <c r="C440" s="346"/>
      <c r="D440" s="346"/>
      <c r="E440" s="346"/>
      <c r="F440" s="346"/>
      <c r="G440" s="346"/>
    </row>
    <row r="441" spans="1:7" x14ac:dyDescent="0.4">
      <c r="A441" s="346"/>
      <c r="B441" s="346"/>
      <c r="C441" s="346"/>
      <c r="D441" s="346"/>
      <c r="E441" s="346"/>
      <c r="F441" s="346"/>
      <c r="G441" s="346"/>
    </row>
    <row r="442" spans="1:7" x14ac:dyDescent="0.4">
      <c r="A442" s="346"/>
      <c r="B442" s="346"/>
      <c r="C442" s="346"/>
      <c r="D442" s="346"/>
      <c r="E442" s="346"/>
      <c r="F442" s="346"/>
      <c r="G442" s="346"/>
    </row>
    <row r="443" spans="1:7" x14ac:dyDescent="0.4">
      <c r="A443" s="346"/>
      <c r="B443" s="346"/>
      <c r="C443" s="346"/>
      <c r="D443" s="346"/>
      <c r="E443" s="346"/>
      <c r="F443" s="346"/>
      <c r="G443" s="346"/>
    </row>
    <row r="444" spans="1:7" x14ac:dyDescent="0.4">
      <c r="A444" s="346"/>
      <c r="B444" s="346"/>
      <c r="C444" s="346"/>
      <c r="D444" s="346"/>
      <c r="E444" s="346"/>
      <c r="F444" s="346"/>
      <c r="G444" s="346"/>
    </row>
  </sheetData>
  <phoneticPr fontId="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1740D-FDAC-4346-99D0-AE30780DA967}">
  <sheetPr codeName="Sheet8"/>
  <dimension ref="A1:H444"/>
  <sheetViews>
    <sheetView zoomScale="80" zoomScaleNormal="80" workbookViewId="0">
      <pane ySplit="1" topLeftCell="A311" activePane="bottomLeft" state="frozen"/>
      <selection activeCell="A2" sqref="A2"/>
      <selection pane="bottomLeft" activeCell="D354" sqref="D354"/>
    </sheetView>
  </sheetViews>
  <sheetFormatPr defaultColWidth="9" defaultRowHeight="13.5" x14ac:dyDescent="0.4"/>
  <cols>
    <col min="1" max="1" width="33.75" style="345" bestFit="1" customWidth="1"/>
    <col min="2" max="2" width="11.75" style="345" customWidth="1"/>
    <col min="3" max="3" width="38.375" style="345" bestFit="1" customWidth="1"/>
    <col min="4" max="4" width="10.25" style="345" customWidth="1"/>
    <col min="5" max="5" width="15.75" style="345" customWidth="1"/>
    <col min="6" max="6" width="14" style="345" customWidth="1"/>
    <col min="7" max="7" width="12.75" style="345" customWidth="1"/>
    <col min="8" max="16384" width="9" style="345"/>
  </cols>
  <sheetData>
    <row r="1" spans="1:8" s="343" customFormat="1" ht="14.25" x14ac:dyDescent="0.4">
      <c r="A1" s="342" t="s">
        <v>3</v>
      </c>
      <c r="B1" s="342" t="s">
        <v>2</v>
      </c>
      <c r="C1" s="342" t="s">
        <v>5</v>
      </c>
      <c r="D1" s="342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44"/>
      <c r="E2" s="344"/>
      <c r="F2" s="344"/>
      <c r="G2" s="344"/>
      <c r="H2" s="345" t="s">
        <v>53</v>
      </c>
    </row>
    <row r="3" spans="1:8" x14ac:dyDescent="0.4">
      <c r="A3" s="346" t="s">
        <v>2505</v>
      </c>
      <c r="B3" s="346" t="s">
        <v>2311</v>
      </c>
      <c r="C3" s="346" t="s">
        <v>2507</v>
      </c>
      <c r="D3" s="346" t="s">
        <v>799</v>
      </c>
      <c r="E3" s="346"/>
      <c r="F3" s="346"/>
      <c r="G3" s="346"/>
      <c r="H3" s="345" t="s">
        <v>60</v>
      </c>
    </row>
    <row r="4" spans="1:8" x14ac:dyDescent="0.4">
      <c r="A4" s="346" t="s">
        <v>626</v>
      </c>
      <c r="B4" s="346"/>
      <c r="C4" s="346" t="s">
        <v>630</v>
      </c>
      <c r="D4" s="346"/>
      <c r="E4" s="346"/>
      <c r="F4" s="346"/>
      <c r="G4" s="346"/>
      <c r="H4" s="345" t="s">
        <v>64</v>
      </c>
    </row>
    <row r="5" spans="1:8" x14ac:dyDescent="0.4">
      <c r="A5" s="346" t="s">
        <v>627</v>
      </c>
      <c r="B5" s="346"/>
      <c r="C5" s="346" t="s">
        <v>631</v>
      </c>
      <c r="D5" s="346"/>
      <c r="E5" s="346"/>
      <c r="F5" s="346"/>
      <c r="G5" s="346"/>
      <c r="H5" s="345" t="s">
        <v>67</v>
      </c>
    </row>
    <row r="6" spans="1:8" x14ac:dyDescent="0.4">
      <c r="A6" s="346" t="s">
        <v>628</v>
      </c>
      <c r="B6" s="346"/>
      <c r="C6" s="346" t="s">
        <v>632</v>
      </c>
      <c r="D6" s="346"/>
      <c r="E6" s="346"/>
      <c r="F6" s="346"/>
      <c r="G6" s="346"/>
      <c r="H6" s="347" t="s">
        <v>70</v>
      </c>
    </row>
    <row r="7" spans="1:8" x14ac:dyDescent="0.4">
      <c r="A7" s="346" t="s">
        <v>624</v>
      </c>
      <c r="B7" s="346"/>
      <c r="C7" s="346" t="s">
        <v>633</v>
      </c>
      <c r="D7" s="346" t="s">
        <v>636</v>
      </c>
      <c r="E7" s="346"/>
      <c r="F7" s="346"/>
      <c r="G7" s="346"/>
      <c r="H7" s="345" t="s">
        <v>73</v>
      </c>
    </row>
    <row r="8" spans="1:8" x14ac:dyDescent="0.4">
      <c r="A8" s="346" t="s">
        <v>625</v>
      </c>
      <c r="B8" s="346"/>
      <c r="C8" s="346" t="s">
        <v>634</v>
      </c>
      <c r="D8" s="346" t="s">
        <v>637</v>
      </c>
      <c r="E8" s="346"/>
      <c r="F8" s="346"/>
      <c r="G8" s="346"/>
      <c r="H8" s="345" t="s">
        <v>77</v>
      </c>
    </row>
    <row r="9" spans="1:8" x14ac:dyDescent="0.4">
      <c r="A9" s="346" t="s">
        <v>629</v>
      </c>
      <c r="B9" s="346"/>
      <c r="C9" s="346" t="s">
        <v>635</v>
      </c>
      <c r="D9" s="346" t="s">
        <v>638</v>
      </c>
      <c r="E9" s="346"/>
      <c r="F9" s="346"/>
      <c r="G9" s="346"/>
      <c r="H9" s="345" t="s">
        <v>80</v>
      </c>
    </row>
    <row r="10" spans="1:8" x14ac:dyDescent="0.4">
      <c r="A10" s="346" t="s">
        <v>2549</v>
      </c>
      <c r="B10" s="346" t="s">
        <v>2311</v>
      </c>
      <c r="C10" s="346" t="s">
        <v>2550</v>
      </c>
      <c r="D10" s="346"/>
      <c r="E10" s="346"/>
      <c r="F10" s="346"/>
      <c r="G10" s="346"/>
      <c r="H10" s="345" t="s">
        <v>83</v>
      </c>
    </row>
    <row r="11" spans="1:8" x14ac:dyDescent="0.4">
      <c r="A11" s="346"/>
      <c r="B11" s="346"/>
      <c r="C11" s="346"/>
      <c r="D11" s="346"/>
      <c r="E11" s="346"/>
      <c r="F11" s="346"/>
      <c r="G11" s="346"/>
      <c r="H11" s="345" t="s">
        <v>87</v>
      </c>
    </row>
    <row r="12" spans="1:8" x14ac:dyDescent="0.4">
      <c r="A12" s="346"/>
      <c r="B12" s="346"/>
      <c r="C12" s="346"/>
      <c r="D12" s="346"/>
      <c r="E12" s="346"/>
      <c r="F12" s="346"/>
      <c r="G12" s="346"/>
      <c r="H12" s="345" t="s">
        <v>90</v>
      </c>
    </row>
    <row r="13" spans="1:8" x14ac:dyDescent="0.4">
      <c r="A13" s="346"/>
      <c r="B13" s="346"/>
      <c r="C13" s="346"/>
      <c r="D13" s="346"/>
      <c r="E13" s="346"/>
      <c r="F13" s="346"/>
      <c r="G13" s="346"/>
    </row>
    <row r="14" spans="1:8" x14ac:dyDescent="0.4">
      <c r="A14" s="346"/>
      <c r="B14" s="346"/>
      <c r="C14" s="346"/>
      <c r="D14" s="346"/>
      <c r="E14" s="346"/>
      <c r="F14" s="346"/>
      <c r="G14" s="346"/>
    </row>
    <row r="15" spans="1:8" x14ac:dyDescent="0.4">
      <c r="A15" s="346"/>
      <c r="B15" s="346"/>
      <c r="C15" s="346"/>
      <c r="D15" s="346"/>
      <c r="E15" s="346"/>
      <c r="F15" s="346"/>
      <c r="G15" s="346"/>
    </row>
    <row r="16" spans="1:8" x14ac:dyDescent="0.4">
      <c r="A16" s="346"/>
      <c r="B16" s="346"/>
      <c r="C16" s="346"/>
      <c r="D16" s="346"/>
      <c r="E16" s="346"/>
      <c r="F16" s="346"/>
      <c r="G16" s="346"/>
    </row>
    <row r="17" spans="1:7" x14ac:dyDescent="0.4">
      <c r="A17" s="346"/>
      <c r="B17" s="346"/>
      <c r="C17" s="346"/>
      <c r="D17" s="346"/>
      <c r="E17" s="346"/>
      <c r="F17" s="346"/>
      <c r="G17" s="346"/>
    </row>
    <row r="18" spans="1:7" x14ac:dyDescent="0.4">
      <c r="A18" s="346"/>
      <c r="B18" s="346"/>
      <c r="C18" s="346"/>
      <c r="D18" s="346"/>
      <c r="E18" s="346"/>
      <c r="F18" s="346"/>
      <c r="G18" s="346"/>
    </row>
    <row r="19" spans="1:7" x14ac:dyDescent="0.4">
      <c r="A19" s="346"/>
      <c r="B19" s="346"/>
      <c r="C19" s="346"/>
      <c r="D19" s="346"/>
      <c r="E19" s="346"/>
      <c r="F19" s="346"/>
      <c r="G19" s="346"/>
    </row>
    <row r="20" spans="1:7" x14ac:dyDescent="0.4">
      <c r="A20" s="346"/>
      <c r="B20" s="346"/>
      <c r="C20" s="346"/>
      <c r="D20" s="346"/>
      <c r="E20" s="346"/>
      <c r="F20" s="346"/>
      <c r="G20" s="346"/>
    </row>
    <row r="21" spans="1:7" x14ac:dyDescent="0.4">
      <c r="A21" s="346"/>
      <c r="B21" s="346"/>
      <c r="C21" s="346"/>
      <c r="D21" s="346"/>
      <c r="E21" s="346"/>
      <c r="F21" s="346"/>
      <c r="G21" s="346"/>
    </row>
    <row r="22" spans="1:7" x14ac:dyDescent="0.4">
      <c r="A22" s="346"/>
      <c r="B22" s="346"/>
      <c r="C22" s="346"/>
      <c r="D22" s="346"/>
      <c r="E22" s="346"/>
      <c r="F22" s="346"/>
      <c r="G22" s="346"/>
    </row>
    <row r="23" spans="1:7" x14ac:dyDescent="0.4">
      <c r="A23" s="346"/>
      <c r="B23" s="346"/>
      <c r="C23" s="346"/>
      <c r="D23" s="346"/>
      <c r="E23" s="346"/>
      <c r="F23" s="346"/>
      <c r="G23" s="346"/>
    </row>
    <row r="24" spans="1:7" x14ac:dyDescent="0.4">
      <c r="A24" s="346"/>
      <c r="B24" s="346"/>
      <c r="C24" s="346"/>
      <c r="D24" s="346"/>
      <c r="E24" s="346"/>
      <c r="F24" s="346"/>
      <c r="G24" s="346"/>
    </row>
    <row r="25" spans="1:7" x14ac:dyDescent="0.4">
      <c r="A25" s="346"/>
      <c r="B25" s="346"/>
      <c r="C25" s="346"/>
      <c r="D25" s="346"/>
      <c r="E25" s="346"/>
      <c r="F25" s="346"/>
      <c r="G25" s="346"/>
    </row>
    <row r="26" spans="1:7" x14ac:dyDescent="0.4">
      <c r="A26" s="346"/>
      <c r="B26" s="346"/>
      <c r="C26" s="346"/>
      <c r="D26" s="346"/>
      <c r="E26" s="346"/>
      <c r="F26" s="346"/>
      <c r="G26" s="346"/>
    </row>
    <row r="27" spans="1:7" x14ac:dyDescent="0.4">
      <c r="A27" s="346"/>
      <c r="B27" s="346"/>
      <c r="C27" s="346"/>
      <c r="D27" s="346"/>
      <c r="E27" s="346"/>
      <c r="F27" s="346"/>
      <c r="G27" s="346"/>
    </row>
    <row r="28" spans="1:7" x14ac:dyDescent="0.4">
      <c r="A28" s="346"/>
      <c r="B28" s="346"/>
      <c r="C28" s="346"/>
      <c r="D28" s="346"/>
      <c r="E28" s="346"/>
      <c r="F28" s="346"/>
      <c r="G28" s="346"/>
    </row>
    <row r="29" spans="1:7" x14ac:dyDescent="0.4">
      <c r="A29" s="346"/>
      <c r="B29" s="346"/>
      <c r="C29" s="346"/>
      <c r="D29" s="346"/>
      <c r="E29" s="346"/>
      <c r="F29" s="346"/>
      <c r="G29" s="346"/>
    </row>
    <row r="30" spans="1:7" x14ac:dyDescent="0.4">
      <c r="A30" s="346"/>
      <c r="B30" s="346"/>
      <c r="C30" s="346"/>
      <c r="D30" s="346"/>
      <c r="E30" s="346"/>
      <c r="F30" s="346"/>
      <c r="G30" s="346"/>
    </row>
    <row r="31" spans="1:7" x14ac:dyDescent="0.4">
      <c r="A31" s="346"/>
      <c r="B31" s="346"/>
      <c r="C31" s="346"/>
      <c r="D31" s="346"/>
      <c r="E31" s="346"/>
      <c r="F31" s="346"/>
      <c r="G31" s="346"/>
    </row>
    <row r="32" spans="1:7" x14ac:dyDescent="0.4">
      <c r="A32" s="346"/>
      <c r="B32" s="346"/>
      <c r="C32" s="346"/>
      <c r="D32" s="346"/>
      <c r="E32" s="346"/>
      <c r="F32" s="346"/>
      <c r="G32" s="346"/>
    </row>
    <row r="33" spans="1:7" x14ac:dyDescent="0.4">
      <c r="A33" s="346"/>
      <c r="B33" s="346"/>
      <c r="C33" s="346"/>
      <c r="D33" s="346"/>
      <c r="E33" s="346"/>
      <c r="F33" s="346"/>
      <c r="G33" s="346"/>
    </row>
    <row r="34" spans="1:7" x14ac:dyDescent="0.4">
      <c r="A34" s="346"/>
      <c r="B34" s="346"/>
      <c r="C34" s="346"/>
      <c r="D34" s="346"/>
      <c r="E34" s="346"/>
      <c r="F34" s="346"/>
      <c r="G34" s="346"/>
    </row>
    <row r="35" spans="1:7" x14ac:dyDescent="0.4">
      <c r="A35" s="346"/>
      <c r="B35" s="346"/>
      <c r="C35" s="346"/>
      <c r="D35" s="346"/>
      <c r="E35" s="346"/>
      <c r="F35" s="346"/>
      <c r="G35" s="346"/>
    </row>
    <row r="36" spans="1:7" x14ac:dyDescent="0.4">
      <c r="A36" s="346"/>
      <c r="B36" s="346"/>
      <c r="C36" s="346"/>
      <c r="D36" s="346"/>
      <c r="E36" s="346"/>
      <c r="F36" s="346"/>
      <c r="G36" s="346"/>
    </row>
    <row r="37" spans="1:7" x14ac:dyDescent="0.4">
      <c r="A37" s="346"/>
      <c r="B37" s="346"/>
      <c r="C37" s="346"/>
      <c r="D37" s="346"/>
      <c r="E37" s="346"/>
      <c r="F37" s="346"/>
      <c r="G37" s="346"/>
    </row>
    <row r="38" spans="1:7" x14ac:dyDescent="0.4">
      <c r="A38" s="346"/>
      <c r="B38" s="346"/>
      <c r="C38" s="346"/>
      <c r="D38" s="346"/>
      <c r="E38" s="346"/>
      <c r="F38" s="346"/>
      <c r="G38" s="346"/>
    </row>
    <row r="39" spans="1:7" x14ac:dyDescent="0.4">
      <c r="A39" s="346"/>
      <c r="B39" s="346"/>
      <c r="C39" s="346"/>
      <c r="D39" s="346"/>
      <c r="E39" s="346"/>
      <c r="F39" s="346"/>
      <c r="G39" s="346"/>
    </row>
    <row r="40" spans="1:7" x14ac:dyDescent="0.4">
      <c r="A40" s="346"/>
      <c r="B40" s="346"/>
      <c r="C40" s="346"/>
      <c r="D40" s="346"/>
      <c r="E40" s="346"/>
      <c r="F40" s="346"/>
      <c r="G40" s="346"/>
    </row>
    <row r="41" spans="1:7" x14ac:dyDescent="0.4">
      <c r="A41" s="346"/>
      <c r="B41" s="346"/>
      <c r="C41" s="346"/>
      <c r="D41" s="346"/>
      <c r="E41" s="346"/>
      <c r="F41" s="346"/>
      <c r="G41" s="346"/>
    </row>
    <row r="42" spans="1:7" x14ac:dyDescent="0.4">
      <c r="A42" s="346"/>
      <c r="B42" s="346"/>
      <c r="C42" s="346"/>
      <c r="D42" s="346"/>
      <c r="E42" s="346"/>
      <c r="F42" s="346"/>
      <c r="G42" s="346"/>
    </row>
    <row r="43" spans="1:7" x14ac:dyDescent="0.4">
      <c r="A43" s="346"/>
      <c r="B43" s="346"/>
      <c r="C43" s="346"/>
      <c r="D43" s="346"/>
      <c r="E43" s="346"/>
      <c r="F43" s="346"/>
      <c r="G43" s="346"/>
    </row>
    <row r="44" spans="1:7" x14ac:dyDescent="0.4">
      <c r="A44" s="346"/>
      <c r="B44" s="346"/>
      <c r="C44" s="346"/>
      <c r="D44" s="346"/>
      <c r="E44" s="346"/>
      <c r="F44" s="346"/>
      <c r="G44" s="346"/>
    </row>
    <row r="45" spans="1:7" x14ac:dyDescent="0.4">
      <c r="A45" s="346"/>
      <c r="B45" s="346"/>
      <c r="C45" s="346"/>
      <c r="D45" s="346"/>
      <c r="E45" s="346"/>
      <c r="F45" s="346"/>
      <c r="G45" s="346"/>
    </row>
    <row r="46" spans="1:7" x14ac:dyDescent="0.4">
      <c r="A46" s="346"/>
      <c r="B46" s="346"/>
      <c r="C46" s="346"/>
      <c r="D46" s="346"/>
      <c r="E46" s="346"/>
      <c r="F46" s="346"/>
      <c r="G46" s="346"/>
    </row>
    <row r="47" spans="1:7" x14ac:dyDescent="0.4">
      <c r="A47" s="346"/>
      <c r="B47" s="346"/>
      <c r="C47" s="346"/>
      <c r="D47" s="346"/>
      <c r="E47" s="346"/>
      <c r="F47" s="346"/>
      <c r="G47" s="346"/>
    </row>
    <row r="48" spans="1:7" x14ac:dyDescent="0.4">
      <c r="A48" s="346"/>
      <c r="B48" s="346"/>
      <c r="C48" s="346"/>
      <c r="D48" s="346"/>
      <c r="E48" s="346"/>
      <c r="F48" s="346"/>
      <c r="G48" s="346"/>
    </row>
    <row r="49" spans="1:7" x14ac:dyDescent="0.4">
      <c r="A49" s="346"/>
      <c r="B49" s="346"/>
      <c r="C49" s="346"/>
      <c r="D49" s="346"/>
      <c r="E49" s="346"/>
      <c r="F49" s="346"/>
      <c r="G49" s="346"/>
    </row>
    <row r="50" spans="1:7" x14ac:dyDescent="0.4">
      <c r="A50" s="346"/>
      <c r="B50" s="346"/>
      <c r="C50" s="346"/>
      <c r="D50" s="346"/>
      <c r="E50" s="346"/>
      <c r="F50" s="346"/>
      <c r="G50" s="346"/>
    </row>
    <row r="51" spans="1:7" x14ac:dyDescent="0.4">
      <c r="A51" s="346"/>
      <c r="B51" s="346"/>
      <c r="C51" s="346"/>
      <c r="D51" s="346"/>
      <c r="E51" s="346"/>
      <c r="F51" s="346"/>
      <c r="G51" s="346"/>
    </row>
    <row r="52" spans="1:7" x14ac:dyDescent="0.4">
      <c r="A52" s="346"/>
      <c r="B52" s="346"/>
      <c r="C52" s="346"/>
      <c r="D52" s="346"/>
      <c r="E52" s="346"/>
      <c r="F52" s="346"/>
      <c r="G52" s="346"/>
    </row>
    <row r="53" spans="1:7" x14ac:dyDescent="0.4">
      <c r="A53" s="346"/>
      <c r="B53" s="346"/>
      <c r="C53" s="346"/>
      <c r="D53" s="346"/>
      <c r="E53" s="346"/>
      <c r="F53" s="346"/>
      <c r="G53" s="346"/>
    </row>
    <row r="54" spans="1:7" x14ac:dyDescent="0.4">
      <c r="A54" s="346"/>
      <c r="B54" s="346"/>
      <c r="C54" s="346"/>
      <c r="D54" s="346"/>
      <c r="E54" s="346"/>
      <c r="F54" s="346"/>
      <c r="G54" s="346"/>
    </row>
    <row r="55" spans="1:7" x14ac:dyDescent="0.4">
      <c r="A55" s="346"/>
      <c r="B55" s="346"/>
      <c r="C55" s="346"/>
      <c r="D55" s="346"/>
      <c r="E55" s="346"/>
      <c r="F55" s="346"/>
      <c r="G55" s="346"/>
    </row>
    <row r="56" spans="1:7" x14ac:dyDescent="0.4">
      <c r="A56" s="346"/>
      <c r="B56" s="346"/>
      <c r="C56" s="346"/>
      <c r="D56" s="346"/>
      <c r="E56" s="346"/>
      <c r="F56" s="346"/>
      <c r="G56" s="346"/>
    </row>
    <row r="57" spans="1:7" x14ac:dyDescent="0.4">
      <c r="A57" s="346"/>
      <c r="B57" s="346"/>
      <c r="C57" s="346"/>
      <c r="D57" s="346"/>
      <c r="E57" s="346"/>
      <c r="F57" s="346"/>
      <c r="G57" s="346"/>
    </row>
    <row r="58" spans="1:7" x14ac:dyDescent="0.4">
      <c r="A58" s="346"/>
      <c r="B58" s="346"/>
      <c r="C58" s="346"/>
      <c r="D58" s="346"/>
      <c r="E58" s="346"/>
      <c r="F58" s="346"/>
      <c r="G58" s="346"/>
    </row>
    <row r="59" spans="1:7" x14ac:dyDescent="0.4">
      <c r="A59" s="346"/>
      <c r="B59" s="346"/>
      <c r="C59" s="346"/>
      <c r="D59" s="346"/>
      <c r="E59" s="346"/>
      <c r="F59" s="346"/>
      <c r="G59" s="346"/>
    </row>
    <row r="60" spans="1:7" x14ac:dyDescent="0.4">
      <c r="A60" s="346"/>
      <c r="B60" s="346"/>
      <c r="C60" s="346"/>
      <c r="D60" s="346"/>
      <c r="E60" s="346"/>
      <c r="F60" s="346"/>
      <c r="G60" s="346"/>
    </row>
    <row r="61" spans="1:7" x14ac:dyDescent="0.4">
      <c r="A61" s="346"/>
      <c r="B61" s="346"/>
      <c r="C61" s="346"/>
      <c r="D61" s="346"/>
      <c r="E61" s="346"/>
      <c r="F61" s="346"/>
      <c r="G61" s="346"/>
    </row>
    <row r="62" spans="1:7" x14ac:dyDescent="0.4">
      <c r="A62" s="346"/>
      <c r="B62" s="346"/>
      <c r="C62" s="346"/>
      <c r="D62" s="346"/>
      <c r="E62" s="346"/>
      <c r="F62" s="346"/>
      <c r="G62" s="346"/>
    </row>
    <row r="63" spans="1:7" x14ac:dyDescent="0.4">
      <c r="A63" s="346"/>
      <c r="B63" s="346"/>
      <c r="C63" s="346"/>
      <c r="D63" s="346"/>
      <c r="E63" s="346"/>
      <c r="F63" s="346"/>
      <c r="G63" s="346"/>
    </row>
    <row r="64" spans="1:7" x14ac:dyDescent="0.4">
      <c r="A64" s="346"/>
      <c r="B64" s="346"/>
      <c r="C64" s="346"/>
      <c r="D64" s="346"/>
      <c r="E64" s="346"/>
      <c r="F64" s="346"/>
      <c r="G64" s="346"/>
    </row>
    <row r="65" spans="1:7" x14ac:dyDescent="0.4">
      <c r="A65" s="344"/>
      <c r="B65" s="344" t="s">
        <v>60</v>
      </c>
      <c r="C65" s="344"/>
      <c r="D65" s="344"/>
      <c r="E65" s="344"/>
      <c r="F65" s="344"/>
      <c r="G65" s="344"/>
    </row>
    <row r="66" spans="1:7" x14ac:dyDescent="0.4">
      <c r="A66" s="346" t="s">
        <v>2350</v>
      </c>
      <c r="B66" s="346" t="s">
        <v>2318</v>
      </c>
      <c r="C66" s="346" t="s">
        <v>2351</v>
      </c>
      <c r="D66" s="346" t="s">
        <v>1870</v>
      </c>
      <c r="E66" s="346"/>
      <c r="F66" s="346"/>
      <c r="G66" s="346"/>
    </row>
    <row r="67" spans="1:7" x14ac:dyDescent="0.4">
      <c r="A67" s="346" t="s">
        <v>639</v>
      </c>
      <c r="B67" s="346"/>
      <c r="C67" s="346" t="s">
        <v>640</v>
      </c>
      <c r="D67" s="346" t="s">
        <v>641</v>
      </c>
      <c r="E67" s="346"/>
      <c r="F67" s="346"/>
      <c r="G67" s="346"/>
    </row>
    <row r="68" spans="1:7" x14ac:dyDescent="0.4">
      <c r="A68" s="346"/>
      <c r="B68" s="346"/>
      <c r="C68" s="346"/>
      <c r="D68" s="346"/>
      <c r="E68" s="346"/>
      <c r="F68" s="346"/>
      <c r="G68" s="346"/>
    </row>
    <row r="69" spans="1:7" x14ac:dyDescent="0.4">
      <c r="A69" s="346"/>
      <c r="B69" s="346"/>
      <c r="C69" s="346"/>
      <c r="D69" s="346"/>
      <c r="E69" s="346"/>
      <c r="F69" s="346"/>
      <c r="G69" s="346"/>
    </row>
    <row r="70" spans="1:7" x14ac:dyDescent="0.4">
      <c r="A70" s="346"/>
      <c r="B70" s="346"/>
      <c r="C70" s="346"/>
      <c r="D70" s="346"/>
      <c r="E70" s="346"/>
      <c r="F70" s="346"/>
      <c r="G70" s="346"/>
    </row>
    <row r="71" spans="1:7" x14ac:dyDescent="0.4">
      <c r="A71" s="346"/>
      <c r="B71" s="346"/>
      <c r="C71" s="346"/>
      <c r="D71" s="346"/>
      <c r="E71" s="346"/>
      <c r="F71" s="346"/>
      <c r="G71" s="346"/>
    </row>
    <row r="72" spans="1:7" x14ac:dyDescent="0.4">
      <c r="A72" s="346"/>
      <c r="B72" s="346"/>
      <c r="C72" s="346"/>
      <c r="D72" s="346"/>
      <c r="E72" s="346"/>
      <c r="F72" s="346"/>
      <c r="G72" s="346"/>
    </row>
    <row r="73" spans="1:7" x14ac:dyDescent="0.4">
      <c r="A73" s="346"/>
      <c r="B73" s="346"/>
      <c r="C73" s="346"/>
      <c r="D73" s="346"/>
      <c r="E73" s="346"/>
      <c r="F73" s="346"/>
      <c r="G73" s="346"/>
    </row>
    <row r="74" spans="1:7" x14ac:dyDescent="0.4">
      <c r="A74" s="346"/>
      <c r="B74" s="346"/>
      <c r="C74" s="346"/>
      <c r="D74" s="346"/>
      <c r="E74" s="346"/>
      <c r="F74" s="346"/>
      <c r="G74" s="346"/>
    </row>
    <row r="75" spans="1:7" x14ac:dyDescent="0.4">
      <c r="A75" s="346"/>
      <c r="B75" s="346"/>
      <c r="C75" s="346"/>
      <c r="D75" s="346"/>
      <c r="E75" s="346"/>
      <c r="F75" s="346"/>
      <c r="G75" s="346"/>
    </row>
    <row r="76" spans="1:7" x14ac:dyDescent="0.4">
      <c r="A76" s="346"/>
      <c r="B76" s="346"/>
      <c r="C76" s="346"/>
      <c r="D76" s="346"/>
      <c r="E76" s="346"/>
      <c r="F76" s="346"/>
      <c r="G76" s="346"/>
    </row>
    <row r="77" spans="1:7" x14ac:dyDescent="0.4">
      <c r="A77" s="346"/>
      <c r="B77" s="346"/>
      <c r="C77" s="346"/>
      <c r="D77" s="346"/>
      <c r="E77" s="346"/>
      <c r="F77" s="346"/>
      <c r="G77" s="346"/>
    </row>
    <row r="78" spans="1:7" x14ac:dyDescent="0.4">
      <c r="A78" s="346"/>
      <c r="B78" s="346"/>
      <c r="C78" s="346"/>
      <c r="D78" s="346"/>
      <c r="E78" s="346"/>
      <c r="F78" s="346"/>
      <c r="G78" s="346"/>
    </row>
    <row r="79" spans="1:7" x14ac:dyDescent="0.4">
      <c r="A79" s="346"/>
      <c r="B79" s="346"/>
      <c r="C79" s="346"/>
      <c r="D79" s="346"/>
      <c r="E79" s="346"/>
      <c r="F79" s="346"/>
      <c r="G79" s="346"/>
    </row>
    <row r="80" spans="1:7" x14ac:dyDescent="0.4">
      <c r="A80" s="346"/>
      <c r="B80" s="346"/>
      <c r="C80" s="346"/>
      <c r="D80" s="346"/>
      <c r="E80" s="346"/>
      <c r="F80" s="346"/>
      <c r="G80" s="346"/>
    </row>
    <row r="81" spans="1:7" x14ac:dyDescent="0.4">
      <c r="A81" s="346"/>
      <c r="B81" s="346"/>
      <c r="C81" s="346"/>
      <c r="D81" s="346"/>
      <c r="E81" s="346"/>
      <c r="F81" s="346"/>
      <c r="G81" s="346"/>
    </row>
    <row r="82" spans="1:7" x14ac:dyDescent="0.4">
      <c r="A82" s="346"/>
      <c r="B82" s="346"/>
      <c r="C82" s="346"/>
      <c r="D82" s="346"/>
      <c r="E82" s="346"/>
      <c r="F82" s="346"/>
      <c r="G82" s="346"/>
    </row>
    <row r="83" spans="1:7" x14ac:dyDescent="0.4">
      <c r="A83" s="346"/>
      <c r="B83" s="346"/>
      <c r="C83" s="346"/>
      <c r="D83" s="346"/>
      <c r="E83" s="346"/>
      <c r="F83" s="346"/>
      <c r="G83" s="346"/>
    </row>
    <row r="84" spans="1:7" x14ac:dyDescent="0.4">
      <c r="A84" s="346"/>
      <c r="B84" s="346"/>
      <c r="C84" s="346"/>
      <c r="D84" s="346"/>
      <c r="E84" s="346"/>
      <c r="F84" s="346"/>
      <c r="G84" s="346"/>
    </row>
    <row r="85" spans="1:7" x14ac:dyDescent="0.4">
      <c r="A85" s="346"/>
      <c r="B85" s="346"/>
      <c r="C85" s="346"/>
      <c r="D85" s="346"/>
      <c r="E85" s="346"/>
      <c r="F85" s="346"/>
      <c r="G85" s="346"/>
    </row>
    <row r="86" spans="1:7" x14ac:dyDescent="0.4">
      <c r="A86" s="346"/>
      <c r="B86" s="346"/>
      <c r="C86" s="346"/>
      <c r="D86" s="346"/>
      <c r="E86" s="346"/>
      <c r="F86" s="346"/>
      <c r="G86" s="346"/>
    </row>
    <row r="87" spans="1:7" x14ac:dyDescent="0.4">
      <c r="A87" s="346"/>
      <c r="B87" s="346"/>
      <c r="C87" s="346"/>
      <c r="D87" s="346"/>
      <c r="E87" s="346"/>
      <c r="F87" s="346"/>
      <c r="G87" s="346"/>
    </row>
    <row r="88" spans="1:7" x14ac:dyDescent="0.4">
      <c r="A88" s="346"/>
      <c r="B88" s="346"/>
      <c r="C88" s="346"/>
      <c r="D88" s="346"/>
      <c r="E88" s="346"/>
      <c r="F88" s="346"/>
      <c r="G88" s="346"/>
    </row>
    <row r="89" spans="1:7" x14ac:dyDescent="0.4">
      <c r="A89" s="346"/>
      <c r="B89" s="346"/>
      <c r="C89" s="346"/>
      <c r="D89" s="346"/>
      <c r="E89" s="346"/>
      <c r="F89" s="346"/>
      <c r="G89" s="346"/>
    </row>
    <row r="90" spans="1:7" x14ac:dyDescent="0.4">
      <c r="A90" s="346"/>
      <c r="B90" s="346"/>
      <c r="C90" s="346"/>
      <c r="D90" s="346"/>
      <c r="E90" s="346"/>
      <c r="F90" s="346"/>
      <c r="G90" s="346"/>
    </row>
    <row r="91" spans="1:7" x14ac:dyDescent="0.4">
      <c r="A91" s="346"/>
      <c r="B91" s="346"/>
      <c r="C91" s="346"/>
      <c r="D91" s="346"/>
      <c r="E91" s="346"/>
      <c r="F91" s="346"/>
      <c r="G91" s="346"/>
    </row>
    <row r="92" spans="1:7" x14ac:dyDescent="0.4">
      <c r="A92" s="346"/>
      <c r="B92" s="346"/>
      <c r="C92" s="346"/>
      <c r="D92" s="346"/>
      <c r="E92" s="346"/>
      <c r="F92" s="346"/>
      <c r="G92" s="346"/>
    </row>
    <row r="93" spans="1:7" x14ac:dyDescent="0.4">
      <c r="A93" s="346"/>
      <c r="B93" s="346"/>
      <c r="C93" s="346"/>
      <c r="D93" s="346"/>
      <c r="E93" s="346"/>
      <c r="F93" s="346"/>
      <c r="G93" s="346"/>
    </row>
    <row r="94" spans="1:7" x14ac:dyDescent="0.4">
      <c r="A94" s="346"/>
      <c r="B94" s="346"/>
      <c r="C94" s="346"/>
      <c r="D94" s="346"/>
      <c r="E94" s="346"/>
      <c r="F94" s="346"/>
      <c r="G94" s="346"/>
    </row>
    <row r="95" spans="1:7" x14ac:dyDescent="0.4">
      <c r="A95" s="346"/>
      <c r="B95" s="346"/>
      <c r="C95" s="346"/>
      <c r="D95" s="346"/>
      <c r="E95" s="346"/>
      <c r="F95" s="346"/>
      <c r="G95" s="346"/>
    </row>
    <row r="96" spans="1:7" x14ac:dyDescent="0.4">
      <c r="A96" s="346"/>
      <c r="B96" s="346"/>
      <c r="C96" s="346"/>
      <c r="D96" s="346"/>
      <c r="E96" s="346"/>
      <c r="F96" s="346"/>
      <c r="G96" s="346"/>
    </row>
    <row r="97" spans="1:7" x14ac:dyDescent="0.4">
      <c r="A97" s="346"/>
      <c r="B97" s="346"/>
      <c r="C97" s="346"/>
      <c r="D97" s="346"/>
      <c r="E97" s="346"/>
      <c r="F97" s="346"/>
      <c r="G97" s="346"/>
    </row>
    <row r="98" spans="1:7" x14ac:dyDescent="0.4">
      <c r="A98" s="346"/>
      <c r="B98" s="346"/>
      <c r="C98" s="346"/>
      <c r="D98" s="346"/>
      <c r="E98" s="346"/>
      <c r="F98" s="346"/>
      <c r="G98" s="346"/>
    </row>
    <row r="99" spans="1:7" x14ac:dyDescent="0.4">
      <c r="A99" s="346"/>
      <c r="B99" s="346"/>
      <c r="C99" s="346"/>
      <c r="D99" s="346"/>
      <c r="E99" s="346"/>
      <c r="F99" s="346"/>
      <c r="G99" s="346"/>
    </row>
    <row r="100" spans="1:7" x14ac:dyDescent="0.4">
      <c r="A100" s="346"/>
      <c r="B100" s="346"/>
      <c r="C100" s="346"/>
      <c r="D100" s="346"/>
      <c r="E100" s="346"/>
      <c r="F100" s="346"/>
      <c r="G100" s="346"/>
    </row>
    <row r="101" spans="1:7" x14ac:dyDescent="0.4">
      <c r="A101" s="344"/>
      <c r="B101" s="344" t="s">
        <v>64</v>
      </c>
      <c r="C101" s="344"/>
      <c r="D101" s="344"/>
      <c r="E101" s="344"/>
      <c r="F101" s="344"/>
      <c r="G101" s="344"/>
    </row>
    <row r="102" spans="1:7" x14ac:dyDescent="0.4">
      <c r="A102" s="346"/>
      <c r="B102" s="346"/>
      <c r="C102" s="346"/>
      <c r="D102" s="346"/>
      <c r="E102" s="346"/>
      <c r="F102" s="346"/>
      <c r="G102" s="346"/>
    </row>
    <row r="103" spans="1:7" x14ac:dyDescent="0.4">
      <c r="A103" s="346" t="s">
        <v>642</v>
      </c>
      <c r="B103" s="346"/>
      <c r="C103" s="346" t="s">
        <v>646</v>
      </c>
      <c r="D103" s="346"/>
      <c r="E103" s="346"/>
      <c r="F103" s="346"/>
      <c r="G103" s="346"/>
    </row>
    <row r="104" spans="1:7" x14ac:dyDescent="0.4">
      <c r="A104" s="346" t="s">
        <v>643</v>
      </c>
      <c r="B104" s="346"/>
      <c r="C104" s="346" t="s">
        <v>647</v>
      </c>
      <c r="D104" s="346"/>
      <c r="E104" s="346"/>
      <c r="F104" s="346"/>
      <c r="G104" s="346"/>
    </row>
    <row r="105" spans="1:7" x14ac:dyDescent="0.4">
      <c r="A105" s="346" t="s">
        <v>644</v>
      </c>
      <c r="B105" s="346"/>
      <c r="C105" s="346" t="s">
        <v>648</v>
      </c>
      <c r="D105" s="346" t="s">
        <v>367</v>
      </c>
      <c r="E105" s="346"/>
      <c r="F105" s="346"/>
      <c r="G105" s="346"/>
    </row>
    <row r="106" spans="1:7" x14ac:dyDescent="0.4">
      <c r="A106" s="346" t="s">
        <v>645</v>
      </c>
      <c r="B106" s="346"/>
      <c r="C106" s="346" t="s">
        <v>11</v>
      </c>
      <c r="D106" s="346"/>
      <c r="E106" s="346"/>
      <c r="F106" s="346"/>
      <c r="G106" s="346"/>
    </row>
    <row r="107" spans="1:7" x14ac:dyDescent="0.4">
      <c r="A107" s="346"/>
      <c r="B107" s="346"/>
      <c r="C107" s="346"/>
      <c r="D107" s="346"/>
      <c r="E107" s="346"/>
      <c r="F107" s="346"/>
      <c r="G107" s="346"/>
    </row>
    <row r="108" spans="1:7" x14ac:dyDescent="0.4">
      <c r="A108" s="346"/>
      <c r="B108" s="346"/>
      <c r="C108" s="346"/>
      <c r="D108" s="346"/>
      <c r="E108" s="346"/>
      <c r="F108" s="346"/>
      <c r="G108" s="346"/>
    </row>
    <row r="109" spans="1:7" x14ac:dyDescent="0.4">
      <c r="A109" s="346"/>
      <c r="B109" s="346"/>
      <c r="C109" s="346"/>
      <c r="D109" s="346"/>
      <c r="E109" s="346"/>
      <c r="F109" s="346"/>
      <c r="G109" s="346"/>
    </row>
    <row r="110" spans="1:7" x14ac:dyDescent="0.4">
      <c r="A110" s="346"/>
      <c r="B110" s="346"/>
      <c r="C110" s="346"/>
      <c r="D110" s="346"/>
      <c r="E110" s="346"/>
      <c r="F110" s="346"/>
      <c r="G110" s="346"/>
    </row>
    <row r="111" spans="1:7" x14ac:dyDescent="0.4">
      <c r="A111" s="346"/>
      <c r="B111" s="346"/>
      <c r="C111" s="346"/>
      <c r="D111" s="346"/>
      <c r="E111" s="346"/>
      <c r="F111" s="346"/>
      <c r="G111" s="346"/>
    </row>
    <row r="112" spans="1:7" x14ac:dyDescent="0.4">
      <c r="A112" s="346"/>
      <c r="B112" s="346"/>
      <c r="C112" s="346"/>
      <c r="D112" s="346"/>
      <c r="E112" s="346"/>
      <c r="F112" s="346"/>
      <c r="G112" s="346"/>
    </row>
    <row r="113" spans="1:7" x14ac:dyDescent="0.4">
      <c r="A113" s="346"/>
      <c r="B113" s="346"/>
      <c r="C113" s="346"/>
      <c r="D113" s="346"/>
      <c r="E113" s="346"/>
      <c r="F113" s="346"/>
      <c r="G113" s="346"/>
    </row>
    <row r="114" spans="1:7" x14ac:dyDescent="0.4">
      <c r="A114" s="346"/>
      <c r="B114" s="346"/>
      <c r="C114" s="346"/>
      <c r="D114" s="346"/>
      <c r="E114" s="346"/>
      <c r="F114" s="346"/>
      <c r="G114" s="346"/>
    </row>
    <row r="115" spans="1:7" x14ac:dyDescent="0.4">
      <c r="A115" s="346"/>
      <c r="B115" s="346"/>
      <c r="C115" s="346"/>
      <c r="D115" s="346"/>
      <c r="E115" s="346"/>
      <c r="F115" s="346"/>
      <c r="G115" s="346"/>
    </row>
    <row r="116" spans="1:7" x14ac:dyDescent="0.4">
      <c r="A116" s="346"/>
      <c r="B116" s="346"/>
      <c r="C116" s="346"/>
      <c r="D116" s="346"/>
      <c r="E116" s="346"/>
      <c r="F116" s="346"/>
      <c r="G116" s="346"/>
    </row>
    <row r="117" spans="1:7" x14ac:dyDescent="0.4">
      <c r="A117" s="346"/>
      <c r="B117" s="346"/>
      <c r="C117" s="346"/>
      <c r="D117" s="346"/>
      <c r="E117" s="346"/>
      <c r="F117" s="346"/>
      <c r="G117" s="346"/>
    </row>
    <row r="118" spans="1:7" x14ac:dyDescent="0.4">
      <c r="A118" s="346"/>
      <c r="B118" s="346"/>
      <c r="C118" s="346"/>
      <c r="D118" s="346"/>
      <c r="E118" s="346"/>
      <c r="F118" s="346"/>
      <c r="G118" s="346"/>
    </row>
    <row r="119" spans="1:7" x14ac:dyDescent="0.4">
      <c r="A119" s="346"/>
      <c r="B119" s="346"/>
      <c r="C119" s="346"/>
      <c r="D119" s="346"/>
      <c r="E119" s="346"/>
      <c r="F119" s="346"/>
      <c r="G119" s="346"/>
    </row>
    <row r="120" spans="1:7" x14ac:dyDescent="0.4">
      <c r="A120" s="346"/>
      <c r="B120" s="346"/>
      <c r="C120" s="346"/>
      <c r="D120" s="346"/>
      <c r="E120" s="346"/>
      <c r="F120" s="346"/>
      <c r="G120" s="346"/>
    </row>
    <row r="121" spans="1:7" x14ac:dyDescent="0.4">
      <c r="A121" s="346"/>
      <c r="B121" s="346"/>
      <c r="C121" s="346"/>
      <c r="D121" s="346"/>
      <c r="E121" s="346"/>
      <c r="F121" s="346"/>
      <c r="G121" s="346"/>
    </row>
    <row r="122" spans="1:7" x14ac:dyDescent="0.4">
      <c r="A122" s="346"/>
      <c r="B122" s="346"/>
      <c r="C122" s="346"/>
      <c r="D122" s="346"/>
      <c r="E122" s="346"/>
      <c r="F122" s="346"/>
      <c r="G122" s="346"/>
    </row>
    <row r="123" spans="1:7" x14ac:dyDescent="0.4">
      <c r="A123" s="346"/>
      <c r="B123" s="346"/>
      <c r="C123" s="346"/>
      <c r="D123" s="346"/>
      <c r="E123" s="346"/>
      <c r="F123" s="346"/>
      <c r="G123" s="346"/>
    </row>
    <row r="124" spans="1:7" x14ac:dyDescent="0.4">
      <c r="A124" s="346"/>
      <c r="B124" s="346"/>
      <c r="C124" s="346"/>
      <c r="D124" s="346"/>
      <c r="E124" s="346"/>
      <c r="F124" s="346"/>
      <c r="G124" s="346"/>
    </row>
    <row r="125" spans="1:7" x14ac:dyDescent="0.4">
      <c r="A125" s="346"/>
      <c r="B125" s="346"/>
      <c r="C125" s="346"/>
      <c r="D125" s="346"/>
      <c r="E125" s="346"/>
      <c r="F125" s="346"/>
      <c r="G125" s="346"/>
    </row>
    <row r="126" spans="1:7" x14ac:dyDescent="0.4">
      <c r="A126" s="346"/>
      <c r="B126" s="346"/>
      <c r="C126" s="346"/>
      <c r="D126" s="346"/>
      <c r="E126" s="346"/>
      <c r="F126" s="346"/>
      <c r="G126" s="346"/>
    </row>
    <row r="127" spans="1:7" x14ac:dyDescent="0.4">
      <c r="A127" s="346"/>
      <c r="B127" s="346"/>
      <c r="C127" s="346"/>
      <c r="D127" s="346"/>
      <c r="E127" s="346"/>
      <c r="F127" s="346"/>
      <c r="G127" s="346"/>
    </row>
    <row r="128" spans="1:7" x14ac:dyDescent="0.4">
      <c r="A128" s="346"/>
      <c r="B128" s="346"/>
      <c r="C128" s="346"/>
      <c r="D128" s="346"/>
      <c r="E128" s="346"/>
      <c r="F128" s="346"/>
      <c r="G128" s="346"/>
    </row>
    <row r="129" spans="1:7" x14ac:dyDescent="0.4">
      <c r="A129" s="346"/>
      <c r="B129" s="346"/>
      <c r="C129" s="346"/>
      <c r="D129" s="346"/>
      <c r="E129" s="346"/>
      <c r="F129" s="346"/>
      <c r="G129" s="346"/>
    </row>
    <row r="130" spans="1:7" x14ac:dyDescent="0.4">
      <c r="A130" s="346"/>
      <c r="B130" s="346"/>
      <c r="C130" s="346"/>
      <c r="D130" s="346"/>
      <c r="E130" s="346"/>
      <c r="F130" s="346"/>
      <c r="G130" s="346"/>
    </row>
    <row r="131" spans="1:7" x14ac:dyDescent="0.4">
      <c r="A131" s="346"/>
      <c r="B131" s="346"/>
      <c r="C131" s="346"/>
      <c r="D131" s="346"/>
      <c r="E131" s="346"/>
      <c r="F131" s="346"/>
      <c r="G131" s="346"/>
    </row>
    <row r="132" spans="1:7" x14ac:dyDescent="0.4">
      <c r="A132" s="346"/>
      <c r="B132" s="346"/>
      <c r="C132" s="346"/>
      <c r="D132" s="346"/>
      <c r="E132" s="346"/>
      <c r="F132" s="346"/>
      <c r="G132" s="346"/>
    </row>
    <row r="133" spans="1:7" x14ac:dyDescent="0.4">
      <c r="A133" s="346"/>
      <c r="B133" s="346"/>
      <c r="C133" s="346"/>
      <c r="D133" s="346"/>
      <c r="E133" s="346"/>
      <c r="F133" s="346"/>
      <c r="G133" s="346"/>
    </row>
    <row r="134" spans="1:7" x14ac:dyDescent="0.4">
      <c r="A134" s="346"/>
      <c r="B134" s="346"/>
      <c r="C134" s="346"/>
      <c r="D134" s="346"/>
      <c r="E134" s="346"/>
      <c r="F134" s="346"/>
      <c r="G134" s="346"/>
    </row>
    <row r="135" spans="1:7" x14ac:dyDescent="0.4">
      <c r="A135" s="346"/>
      <c r="B135" s="346"/>
      <c r="C135" s="346"/>
      <c r="D135" s="346"/>
      <c r="E135" s="346"/>
      <c r="F135" s="346"/>
      <c r="G135" s="346"/>
    </row>
    <row r="136" spans="1:7" x14ac:dyDescent="0.4">
      <c r="A136" s="346"/>
      <c r="B136" s="346"/>
      <c r="C136" s="346"/>
      <c r="D136" s="346"/>
      <c r="E136" s="346"/>
      <c r="F136" s="346"/>
      <c r="G136" s="346"/>
    </row>
    <row r="137" spans="1:7" x14ac:dyDescent="0.4">
      <c r="A137" s="346"/>
      <c r="B137" s="346"/>
      <c r="C137" s="346"/>
      <c r="D137" s="346"/>
      <c r="E137" s="346"/>
      <c r="F137" s="346"/>
      <c r="G137" s="346"/>
    </row>
    <row r="138" spans="1:7" x14ac:dyDescent="0.4">
      <c r="A138" s="346"/>
      <c r="B138" s="346"/>
      <c r="C138" s="346"/>
      <c r="D138" s="346"/>
      <c r="E138" s="346"/>
      <c r="F138" s="346"/>
      <c r="G138" s="346"/>
    </row>
    <row r="139" spans="1:7" x14ac:dyDescent="0.4">
      <c r="A139" s="346"/>
      <c r="B139" s="346"/>
      <c r="C139" s="346"/>
      <c r="D139" s="346"/>
      <c r="E139" s="346"/>
      <c r="F139" s="346"/>
      <c r="G139" s="346"/>
    </row>
    <row r="140" spans="1:7" x14ac:dyDescent="0.4">
      <c r="A140" s="346"/>
      <c r="B140" s="346"/>
      <c r="C140" s="346"/>
      <c r="D140" s="346"/>
      <c r="E140" s="346"/>
      <c r="F140" s="346"/>
      <c r="G140" s="346"/>
    </row>
    <row r="141" spans="1:7" x14ac:dyDescent="0.4">
      <c r="A141" s="344"/>
      <c r="B141" s="344" t="s">
        <v>67</v>
      </c>
      <c r="C141" s="344"/>
      <c r="D141" s="344"/>
      <c r="E141" s="344"/>
      <c r="F141" s="344"/>
      <c r="G141" s="344"/>
    </row>
    <row r="142" spans="1:7" x14ac:dyDescent="0.4">
      <c r="A142" s="346" t="s">
        <v>940</v>
      </c>
      <c r="B142" s="346" t="s">
        <v>2449</v>
      </c>
      <c r="C142" s="346" t="s">
        <v>2482</v>
      </c>
      <c r="D142" s="346" t="s">
        <v>2483</v>
      </c>
      <c r="E142" s="346"/>
      <c r="F142" s="346" t="s">
        <v>2455</v>
      </c>
      <c r="G142" s="346"/>
    </row>
    <row r="143" spans="1:7" x14ac:dyDescent="0.4">
      <c r="A143" s="346" t="s">
        <v>649</v>
      </c>
      <c r="B143" s="346"/>
      <c r="C143" s="346" t="s">
        <v>651</v>
      </c>
      <c r="D143" s="346"/>
      <c r="E143" s="346"/>
      <c r="F143" s="346"/>
      <c r="G143" s="346"/>
    </row>
    <row r="144" spans="1:7" x14ac:dyDescent="0.4">
      <c r="A144" s="346" t="s">
        <v>650</v>
      </c>
      <c r="B144" s="346"/>
      <c r="C144" s="346" t="s">
        <v>652</v>
      </c>
      <c r="D144" s="346" t="s">
        <v>653</v>
      </c>
      <c r="E144" s="346"/>
      <c r="F144" s="346"/>
      <c r="G144" s="346"/>
    </row>
    <row r="145" spans="1:7" x14ac:dyDescent="0.4">
      <c r="A145" s="346" t="s">
        <v>2244</v>
      </c>
      <c r="B145" s="346"/>
      <c r="C145" s="346" t="s">
        <v>2245</v>
      </c>
      <c r="D145" s="346"/>
      <c r="E145" s="346"/>
      <c r="F145" s="346"/>
      <c r="G145" s="346"/>
    </row>
    <row r="146" spans="1:7" x14ac:dyDescent="0.4">
      <c r="A146" s="346"/>
      <c r="B146" s="346"/>
      <c r="C146" s="346"/>
      <c r="D146" s="346"/>
      <c r="E146" s="346"/>
      <c r="F146" s="346"/>
      <c r="G146" s="346"/>
    </row>
    <row r="147" spans="1:7" x14ac:dyDescent="0.4">
      <c r="A147" s="346"/>
      <c r="B147" s="346"/>
      <c r="C147" s="346"/>
      <c r="D147" s="346"/>
      <c r="E147" s="346"/>
      <c r="F147" s="346"/>
      <c r="G147" s="346"/>
    </row>
    <row r="148" spans="1:7" x14ac:dyDescent="0.4">
      <c r="A148" s="346"/>
      <c r="B148" s="346"/>
      <c r="C148" s="346"/>
      <c r="D148" s="346"/>
      <c r="E148" s="346"/>
      <c r="F148" s="346"/>
      <c r="G148" s="346"/>
    </row>
    <row r="149" spans="1:7" x14ac:dyDescent="0.4">
      <c r="A149" s="346"/>
      <c r="B149" s="346"/>
      <c r="C149" s="346"/>
      <c r="D149" s="346"/>
      <c r="E149" s="346"/>
      <c r="F149" s="346"/>
      <c r="G149" s="346"/>
    </row>
    <row r="150" spans="1:7" x14ac:dyDescent="0.4">
      <c r="A150" s="346"/>
      <c r="B150" s="346"/>
      <c r="C150" s="346"/>
      <c r="D150" s="346"/>
      <c r="E150" s="346"/>
      <c r="F150" s="346"/>
      <c r="G150" s="346"/>
    </row>
    <row r="151" spans="1:7" x14ac:dyDescent="0.4">
      <c r="A151" s="346"/>
      <c r="B151" s="346"/>
      <c r="C151" s="346"/>
      <c r="D151" s="346"/>
      <c r="E151" s="346"/>
      <c r="F151" s="346"/>
      <c r="G151" s="346"/>
    </row>
    <row r="152" spans="1:7" x14ac:dyDescent="0.4">
      <c r="A152" s="346"/>
      <c r="B152" s="346"/>
      <c r="C152" s="346"/>
      <c r="D152" s="346"/>
      <c r="E152" s="346"/>
      <c r="F152" s="346"/>
      <c r="G152" s="346"/>
    </row>
    <row r="153" spans="1:7" x14ac:dyDescent="0.4">
      <c r="A153" s="346"/>
      <c r="B153" s="346"/>
      <c r="C153" s="346"/>
      <c r="D153" s="346"/>
      <c r="E153" s="346"/>
      <c r="F153" s="346"/>
      <c r="G153" s="346"/>
    </row>
    <row r="154" spans="1:7" x14ac:dyDescent="0.4">
      <c r="A154" s="346"/>
      <c r="B154" s="346"/>
      <c r="C154" s="346"/>
      <c r="D154" s="346"/>
      <c r="E154" s="346"/>
      <c r="F154" s="346"/>
      <c r="G154" s="346"/>
    </row>
    <row r="155" spans="1:7" x14ac:dyDescent="0.4">
      <c r="A155" s="346"/>
      <c r="B155" s="346"/>
      <c r="C155" s="346"/>
      <c r="D155" s="346"/>
      <c r="E155" s="346"/>
      <c r="F155" s="346"/>
      <c r="G155" s="346"/>
    </row>
    <row r="156" spans="1:7" x14ac:dyDescent="0.4">
      <c r="A156" s="346"/>
      <c r="B156" s="346"/>
      <c r="C156" s="346"/>
      <c r="D156" s="346"/>
      <c r="E156" s="346"/>
      <c r="F156" s="346"/>
      <c r="G156" s="346"/>
    </row>
    <row r="157" spans="1:7" x14ac:dyDescent="0.4">
      <c r="A157" s="346"/>
      <c r="B157" s="346"/>
      <c r="C157" s="346"/>
      <c r="D157" s="346"/>
      <c r="E157" s="346"/>
      <c r="F157" s="346"/>
      <c r="G157" s="346"/>
    </row>
    <row r="158" spans="1:7" x14ac:dyDescent="0.4">
      <c r="A158" s="346"/>
      <c r="B158" s="346"/>
      <c r="C158" s="346"/>
      <c r="D158" s="346"/>
      <c r="E158" s="346"/>
      <c r="F158" s="346"/>
      <c r="G158" s="346"/>
    </row>
    <row r="159" spans="1:7" x14ac:dyDescent="0.4">
      <c r="A159" s="346"/>
      <c r="B159" s="346"/>
      <c r="C159" s="346"/>
      <c r="D159" s="346"/>
      <c r="E159" s="346"/>
      <c r="F159" s="346"/>
      <c r="G159" s="346"/>
    </row>
    <row r="160" spans="1:7" x14ac:dyDescent="0.4">
      <c r="A160" s="346"/>
      <c r="B160" s="346"/>
      <c r="C160" s="346"/>
      <c r="D160" s="346"/>
      <c r="E160" s="346"/>
      <c r="F160" s="346"/>
      <c r="G160" s="346"/>
    </row>
    <row r="161" spans="1:7" x14ac:dyDescent="0.4">
      <c r="A161" s="346"/>
      <c r="B161" s="346"/>
      <c r="C161" s="346"/>
      <c r="D161" s="346"/>
      <c r="E161" s="346"/>
      <c r="F161" s="346"/>
      <c r="G161" s="346"/>
    </row>
    <row r="162" spans="1:7" x14ac:dyDescent="0.4">
      <c r="A162" s="346"/>
      <c r="B162" s="346"/>
      <c r="C162" s="346"/>
      <c r="D162" s="346"/>
      <c r="E162" s="346"/>
      <c r="F162" s="346"/>
      <c r="G162" s="346"/>
    </row>
    <row r="163" spans="1:7" x14ac:dyDescent="0.4">
      <c r="A163" s="346"/>
      <c r="B163" s="346"/>
      <c r="C163" s="346"/>
      <c r="D163" s="346"/>
      <c r="E163" s="346"/>
      <c r="F163" s="346"/>
      <c r="G163" s="346"/>
    </row>
    <row r="164" spans="1:7" x14ac:dyDescent="0.4">
      <c r="A164" s="346"/>
      <c r="B164" s="346"/>
      <c r="C164" s="346"/>
      <c r="D164" s="346"/>
      <c r="E164" s="346"/>
      <c r="F164" s="346"/>
      <c r="G164" s="346"/>
    </row>
    <row r="165" spans="1:7" x14ac:dyDescent="0.4">
      <c r="A165" s="346"/>
      <c r="B165" s="346"/>
      <c r="C165" s="346"/>
      <c r="D165" s="346"/>
      <c r="E165" s="346"/>
      <c r="F165" s="346"/>
      <c r="G165" s="346"/>
    </row>
    <row r="166" spans="1:7" x14ac:dyDescent="0.4">
      <c r="A166" s="346"/>
      <c r="B166" s="346"/>
      <c r="C166" s="346"/>
      <c r="D166" s="346"/>
      <c r="E166" s="346"/>
      <c r="F166" s="346"/>
      <c r="G166" s="346"/>
    </row>
    <row r="167" spans="1:7" x14ac:dyDescent="0.4">
      <c r="A167" s="346"/>
      <c r="B167" s="346"/>
      <c r="C167" s="346"/>
      <c r="D167" s="346"/>
      <c r="E167" s="346"/>
      <c r="F167" s="346"/>
      <c r="G167" s="346"/>
    </row>
    <row r="168" spans="1:7" x14ac:dyDescent="0.4">
      <c r="A168" s="346"/>
      <c r="B168" s="346"/>
      <c r="C168" s="346"/>
      <c r="D168" s="346"/>
      <c r="E168" s="346"/>
      <c r="F168" s="346"/>
      <c r="G168" s="346"/>
    </row>
    <row r="169" spans="1:7" x14ac:dyDescent="0.4">
      <c r="A169" s="346"/>
      <c r="B169" s="346"/>
      <c r="C169" s="346"/>
      <c r="D169" s="346"/>
      <c r="E169" s="346"/>
      <c r="F169" s="346"/>
      <c r="G169" s="346"/>
    </row>
    <row r="170" spans="1:7" x14ac:dyDescent="0.4">
      <c r="A170" s="346"/>
      <c r="B170" s="346"/>
      <c r="C170" s="346"/>
      <c r="D170" s="346"/>
      <c r="E170" s="346"/>
      <c r="F170" s="346"/>
      <c r="G170" s="346"/>
    </row>
    <row r="171" spans="1:7" x14ac:dyDescent="0.4">
      <c r="A171" s="346"/>
      <c r="B171" s="346"/>
      <c r="C171" s="346"/>
      <c r="D171" s="346"/>
      <c r="E171" s="346"/>
      <c r="F171" s="346"/>
      <c r="G171" s="346"/>
    </row>
    <row r="172" spans="1:7" x14ac:dyDescent="0.4">
      <c r="A172" s="346"/>
      <c r="B172" s="346"/>
      <c r="C172" s="346"/>
      <c r="D172" s="346"/>
      <c r="E172" s="346"/>
      <c r="F172" s="346"/>
      <c r="G172" s="346"/>
    </row>
    <row r="173" spans="1:7" x14ac:dyDescent="0.4">
      <c r="A173" s="346"/>
      <c r="B173" s="346"/>
      <c r="C173" s="346"/>
      <c r="D173" s="346"/>
      <c r="E173" s="346"/>
      <c r="F173" s="346"/>
      <c r="G173" s="346"/>
    </row>
    <row r="174" spans="1:7" x14ac:dyDescent="0.4">
      <c r="A174" s="346"/>
      <c r="B174" s="346"/>
      <c r="C174" s="346"/>
      <c r="D174" s="346"/>
      <c r="E174" s="346"/>
      <c r="F174" s="346"/>
      <c r="G174" s="346"/>
    </row>
    <row r="175" spans="1:7" x14ac:dyDescent="0.4">
      <c r="A175" s="346"/>
      <c r="B175" s="346"/>
      <c r="C175" s="346"/>
      <c r="D175" s="346"/>
      <c r="E175" s="346"/>
      <c r="F175" s="346"/>
      <c r="G175" s="346"/>
    </row>
    <row r="176" spans="1:7" x14ac:dyDescent="0.4">
      <c r="A176" s="346"/>
      <c r="B176" s="346"/>
      <c r="C176" s="346"/>
      <c r="D176" s="346"/>
      <c r="E176" s="346"/>
      <c r="F176" s="346"/>
      <c r="G176" s="346"/>
    </row>
    <row r="177" spans="1:7" x14ac:dyDescent="0.4">
      <c r="A177" s="346"/>
      <c r="B177" s="346"/>
      <c r="C177" s="346"/>
      <c r="D177" s="346"/>
      <c r="E177" s="346"/>
      <c r="F177" s="346"/>
      <c r="G177" s="346"/>
    </row>
    <row r="178" spans="1:7" x14ac:dyDescent="0.4">
      <c r="A178" s="346"/>
      <c r="B178" s="346"/>
      <c r="C178" s="346"/>
      <c r="D178" s="346"/>
      <c r="E178" s="346"/>
      <c r="F178" s="346"/>
      <c r="G178" s="346"/>
    </row>
    <row r="179" spans="1:7" x14ac:dyDescent="0.4">
      <c r="A179" s="346"/>
      <c r="B179" s="346"/>
      <c r="C179" s="346"/>
      <c r="D179" s="346"/>
      <c r="E179" s="346"/>
      <c r="F179" s="346"/>
      <c r="G179" s="346"/>
    </row>
    <row r="180" spans="1:7" x14ac:dyDescent="0.4">
      <c r="A180" s="346"/>
      <c r="B180" s="346"/>
      <c r="C180" s="346"/>
      <c r="D180" s="346"/>
      <c r="E180" s="346"/>
      <c r="F180" s="346"/>
      <c r="G180" s="346"/>
    </row>
    <row r="181" spans="1:7" x14ac:dyDescent="0.4">
      <c r="A181" s="346"/>
      <c r="B181" s="346"/>
      <c r="C181" s="346"/>
      <c r="D181" s="346"/>
      <c r="E181" s="346"/>
      <c r="F181" s="346"/>
      <c r="G181" s="346"/>
    </row>
    <row r="182" spans="1:7" x14ac:dyDescent="0.4">
      <c r="A182" s="346"/>
      <c r="B182" s="346"/>
      <c r="C182" s="346"/>
      <c r="D182" s="346"/>
      <c r="E182" s="346"/>
      <c r="F182" s="346"/>
      <c r="G182" s="346"/>
    </row>
    <row r="183" spans="1:7" x14ac:dyDescent="0.4">
      <c r="A183" s="346"/>
      <c r="B183" s="346"/>
      <c r="C183" s="346"/>
      <c r="D183" s="346"/>
      <c r="E183" s="346"/>
      <c r="F183" s="346"/>
      <c r="G183" s="346"/>
    </row>
    <row r="184" spans="1:7" x14ac:dyDescent="0.4">
      <c r="A184" s="346"/>
      <c r="B184" s="346"/>
      <c r="C184" s="346"/>
      <c r="D184" s="346"/>
      <c r="E184" s="346"/>
      <c r="F184" s="346"/>
      <c r="G184" s="346"/>
    </row>
    <row r="185" spans="1:7" x14ac:dyDescent="0.4">
      <c r="A185" s="346"/>
      <c r="B185" s="346"/>
      <c r="C185" s="346"/>
      <c r="D185" s="346"/>
      <c r="E185" s="346"/>
      <c r="F185" s="346"/>
      <c r="G185" s="346"/>
    </row>
    <row r="186" spans="1:7" x14ac:dyDescent="0.4">
      <c r="A186" s="346"/>
      <c r="B186" s="346"/>
      <c r="C186" s="346"/>
      <c r="D186" s="346"/>
      <c r="E186" s="346"/>
      <c r="F186" s="346"/>
      <c r="G186" s="346"/>
    </row>
    <row r="187" spans="1:7" x14ac:dyDescent="0.4">
      <c r="A187" s="346"/>
      <c r="B187" s="346"/>
      <c r="C187" s="346"/>
      <c r="D187" s="346"/>
      <c r="E187" s="346"/>
      <c r="F187" s="346"/>
      <c r="G187" s="346"/>
    </row>
    <row r="188" spans="1:7" x14ac:dyDescent="0.4">
      <c r="A188" s="346"/>
      <c r="B188" s="346"/>
      <c r="C188" s="346"/>
      <c r="D188" s="346"/>
      <c r="E188" s="346"/>
      <c r="F188" s="346"/>
      <c r="G188" s="346"/>
    </row>
    <row r="189" spans="1:7" x14ac:dyDescent="0.4">
      <c r="A189" s="346"/>
      <c r="B189" s="346"/>
      <c r="C189" s="346"/>
      <c r="D189" s="346"/>
      <c r="E189" s="346"/>
      <c r="F189" s="346"/>
      <c r="G189" s="346"/>
    </row>
    <row r="190" spans="1:7" x14ac:dyDescent="0.4">
      <c r="A190" s="346"/>
      <c r="B190" s="346"/>
      <c r="C190" s="346"/>
      <c r="D190" s="346"/>
      <c r="E190" s="346"/>
      <c r="F190" s="346"/>
      <c r="G190" s="346"/>
    </row>
    <row r="191" spans="1:7" x14ac:dyDescent="0.4">
      <c r="A191" s="346"/>
      <c r="B191" s="346"/>
      <c r="C191" s="346"/>
      <c r="D191" s="346"/>
      <c r="E191" s="346"/>
      <c r="F191" s="346"/>
      <c r="G191" s="346"/>
    </row>
    <row r="192" spans="1:7" x14ac:dyDescent="0.4">
      <c r="A192" s="346"/>
      <c r="B192" s="346"/>
      <c r="C192" s="346"/>
      <c r="D192" s="346"/>
      <c r="E192" s="346"/>
      <c r="F192" s="346"/>
      <c r="G192" s="346"/>
    </row>
    <row r="193" spans="1:7" x14ac:dyDescent="0.4">
      <c r="A193" s="346"/>
      <c r="B193" s="346"/>
      <c r="C193" s="346"/>
      <c r="D193" s="346"/>
      <c r="E193" s="346"/>
      <c r="F193" s="346"/>
      <c r="G193" s="346"/>
    </row>
    <row r="194" spans="1:7" x14ac:dyDescent="0.4">
      <c r="A194" s="346"/>
      <c r="B194" s="346"/>
      <c r="C194" s="346"/>
      <c r="D194" s="346"/>
      <c r="E194" s="346"/>
      <c r="F194" s="346"/>
      <c r="G194" s="346"/>
    </row>
    <row r="195" spans="1:7" x14ac:dyDescent="0.4">
      <c r="A195" s="346"/>
      <c r="B195" s="346"/>
      <c r="C195" s="346"/>
      <c r="D195" s="346"/>
      <c r="E195" s="346"/>
      <c r="F195" s="346"/>
      <c r="G195" s="346"/>
    </row>
    <row r="196" spans="1:7" x14ac:dyDescent="0.4">
      <c r="A196" s="346"/>
      <c r="B196" s="346"/>
      <c r="C196" s="346"/>
      <c r="D196" s="346"/>
      <c r="E196" s="346"/>
      <c r="F196" s="346"/>
      <c r="G196" s="346"/>
    </row>
    <row r="197" spans="1:7" x14ac:dyDescent="0.4">
      <c r="A197" s="346"/>
      <c r="B197" s="346"/>
      <c r="C197" s="346"/>
      <c r="D197" s="346"/>
      <c r="E197" s="346"/>
      <c r="F197" s="346"/>
      <c r="G197" s="346"/>
    </row>
    <row r="198" spans="1:7" x14ac:dyDescent="0.4">
      <c r="A198" s="346"/>
      <c r="B198" s="346"/>
      <c r="C198" s="346"/>
      <c r="D198" s="346"/>
      <c r="E198" s="346"/>
      <c r="F198" s="346"/>
      <c r="G198" s="346"/>
    </row>
    <row r="199" spans="1:7" x14ac:dyDescent="0.4">
      <c r="A199" s="346"/>
      <c r="B199" s="346"/>
      <c r="C199" s="346"/>
      <c r="D199" s="346"/>
      <c r="E199" s="346"/>
      <c r="F199" s="346"/>
      <c r="G199" s="346"/>
    </row>
    <row r="200" spans="1:7" ht="12.75" customHeight="1" x14ac:dyDescent="0.4">
      <c r="A200" s="346"/>
      <c r="B200" s="346"/>
      <c r="C200" s="346"/>
      <c r="D200" s="346"/>
      <c r="E200" s="346"/>
      <c r="F200" s="346"/>
      <c r="G200" s="346"/>
    </row>
    <row r="201" spans="1:7" x14ac:dyDescent="0.4">
      <c r="A201" s="344"/>
      <c r="B201" s="344" t="s">
        <v>70</v>
      </c>
      <c r="C201" s="344"/>
      <c r="D201" s="344"/>
      <c r="E201" s="344"/>
      <c r="F201" s="344"/>
      <c r="G201" s="344"/>
    </row>
    <row r="202" spans="1:7" x14ac:dyDescent="0.4">
      <c r="A202" s="346"/>
      <c r="B202" s="346"/>
      <c r="C202" s="346"/>
      <c r="D202" s="346"/>
      <c r="E202" s="346"/>
      <c r="F202" s="346"/>
      <c r="G202" s="346"/>
    </row>
    <row r="203" spans="1:7" x14ac:dyDescent="0.4">
      <c r="A203" s="346" t="s">
        <v>654</v>
      </c>
      <c r="B203" s="346"/>
      <c r="C203" s="346" t="s">
        <v>656</v>
      </c>
      <c r="D203" s="346" t="s">
        <v>657</v>
      </c>
      <c r="E203" s="346"/>
      <c r="F203" s="346"/>
      <c r="G203" s="346"/>
    </row>
    <row r="204" spans="1:7" x14ac:dyDescent="0.4">
      <c r="A204" s="346" t="s">
        <v>655</v>
      </c>
      <c r="B204" s="346"/>
      <c r="C204" s="346" t="s">
        <v>658</v>
      </c>
      <c r="D204" s="346"/>
      <c r="E204" s="346"/>
      <c r="F204" s="346"/>
      <c r="G204" s="346"/>
    </row>
    <row r="205" spans="1:7" x14ac:dyDescent="0.4">
      <c r="A205" s="346"/>
      <c r="B205" s="346"/>
      <c r="C205" s="346"/>
      <c r="D205" s="346"/>
      <c r="E205" s="346"/>
      <c r="F205" s="346"/>
      <c r="G205" s="346"/>
    </row>
    <row r="206" spans="1:7" x14ac:dyDescent="0.4">
      <c r="A206" s="346"/>
      <c r="B206" s="346"/>
      <c r="C206" s="346"/>
      <c r="D206" s="346"/>
      <c r="E206" s="346"/>
      <c r="F206" s="346"/>
      <c r="G206" s="346"/>
    </row>
    <row r="207" spans="1:7" x14ac:dyDescent="0.4">
      <c r="A207" s="346"/>
      <c r="B207" s="346"/>
      <c r="C207" s="346"/>
      <c r="D207" s="346"/>
      <c r="E207" s="346"/>
      <c r="F207" s="346"/>
      <c r="G207" s="346"/>
    </row>
    <row r="208" spans="1:7" x14ac:dyDescent="0.4">
      <c r="A208" s="346"/>
      <c r="B208" s="346"/>
      <c r="C208" s="346"/>
      <c r="D208" s="346"/>
      <c r="E208" s="346"/>
      <c r="F208" s="346"/>
      <c r="G208" s="346"/>
    </row>
    <row r="209" spans="1:7" x14ac:dyDescent="0.4">
      <c r="A209" s="346"/>
      <c r="B209" s="346"/>
      <c r="C209" s="346"/>
      <c r="D209" s="346"/>
      <c r="E209" s="346"/>
      <c r="F209" s="346"/>
      <c r="G209" s="346"/>
    </row>
    <row r="210" spans="1:7" x14ac:dyDescent="0.4">
      <c r="A210" s="346"/>
      <c r="B210" s="346"/>
      <c r="C210" s="346"/>
      <c r="D210" s="346"/>
      <c r="E210" s="346"/>
      <c r="F210" s="346"/>
      <c r="G210" s="346"/>
    </row>
    <row r="211" spans="1:7" x14ac:dyDescent="0.4">
      <c r="A211" s="346"/>
      <c r="B211" s="346"/>
      <c r="C211" s="346"/>
      <c r="D211" s="346"/>
      <c r="E211" s="346"/>
      <c r="F211" s="346"/>
      <c r="G211" s="346"/>
    </row>
    <row r="212" spans="1:7" x14ac:dyDescent="0.4">
      <c r="A212" s="346"/>
      <c r="B212" s="346"/>
      <c r="C212" s="346"/>
      <c r="D212" s="346"/>
      <c r="E212" s="346"/>
      <c r="F212" s="346"/>
      <c r="G212" s="346"/>
    </row>
    <row r="213" spans="1:7" x14ac:dyDescent="0.4">
      <c r="A213" s="346"/>
      <c r="B213" s="346"/>
      <c r="C213" s="346"/>
      <c r="D213" s="346"/>
      <c r="E213" s="346"/>
      <c r="F213" s="346"/>
      <c r="G213" s="346"/>
    </row>
    <row r="214" spans="1:7" x14ac:dyDescent="0.4">
      <c r="A214" s="346"/>
      <c r="B214" s="346"/>
      <c r="C214" s="346"/>
      <c r="D214" s="346"/>
      <c r="E214" s="346"/>
      <c r="F214" s="346"/>
      <c r="G214" s="346"/>
    </row>
    <row r="215" spans="1:7" x14ac:dyDescent="0.4">
      <c r="A215" s="346"/>
      <c r="B215" s="346"/>
      <c r="C215" s="346"/>
      <c r="D215" s="346"/>
      <c r="E215" s="346"/>
      <c r="F215" s="346"/>
      <c r="G215" s="346"/>
    </row>
    <row r="216" spans="1:7" x14ac:dyDescent="0.4">
      <c r="A216" s="346"/>
      <c r="B216" s="346"/>
      <c r="C216" s="346"/>
      <c r="D216" s="346"/>
      <c r="E216" s="346"/>
      <c r="F216" s="346"/>
      <c r="G216" s="346"/>
    </row>
    <row r="217" spans="1:7" x14ac:dyDescent="0.4">
      <c r="A217" s="346"/>
      <c r="B217" s="346"/>
      <c r="C217" s="346"/>
      <c r="D217" s="346"/>
      <c r="E217" s="346"/>
      <c r="F217" s="346"/>
      <c r="G217" s="346"/>
    </row>
    <row r="218" spans="1:7" x14ac:dyDescent="0.4">
      <c r="A218" s="346"/>
      <c r="B218" s="346"/>
      <c r="C218" s="346"/>
      <c r="D218" s="346"/>
      <c r="E218" s="346"/>
      <c r="F218" s="346"/>
      <c r="G218" s="346"/>
    </row>
    <row r="219" spans="1:7" x14ac:dyDescent="0.4">
      <c r="A219" s="346"/>
      <c r="B219" s="346"/>
      <c r="C219" s="346"/>
      <c r="D219" s="346"/>
      <c r="E219" s="346"/>
      <c r="F219" s="346"/>
      <c r="G219" s="346"/>
    </row>
    <row r="220" spans="1:7" x14ac:dyDescent="0.4">
      <c r="A220" s="346"/>
      <c r="B220" s="346"/>
      <c r="C220" s="346"/>
      <c r="D220" s="346"/>
      <c r="E220" s="346"/>
      <c r="F220" s="346"/>
      <c r="G220" s="346"/>
    </row>
    <row r="221" spans="1:7" x14ac:dyDescent="0.4">
      <c r="A221" s="346"/>
      <c r="B221" s="346"/>
      <c r="C221" s="346"/>
      <c r="D221" s="346"/>
      <c r="E221" s="346"/>
      <c r="F221" s="346"/>
      <c r="G221" s="346"/>
    </row>
    <row r="222" spans="1:7" x14ac:dyDescent="0.4">
      <c r="A222" s="346"/>
      <c r="B222" s="346"/>
      <c r="C222" s="346"/>
      <c r="D222" s="346"/>
      <c r="E222" s="346"/>
      <c r="F222" s="346"/>
      <c r="G222" s="346"/>
    </row>
    <row r="223" spans="1:7" x14ac:dyDescent="0.4">
      <c r="A223" s="346"/>
      <c r="B223" s="346"/>
      <c r="C223" s="346"/>
      <c r="D223" s="346"/>
      <c r="E223" s="346"/>
      <c r="F223" s="346"/>
      <c r="G223" s="346"/>
    </row>
    <row r="224" spans="1:7" x14ac:dyDescent="0.4">
      <c r="A224" s="346"/>
      <c r="B224" s="346"/>
      <c r="C224" s="346"/>
      <c r="D224" s="346"/>
      <c r="E224" s="346"/>
      <c r="F224" s="346"/>
      <c r="G224" s="346"/>
    </row>
    <row r="225" spans="1:8" x14ac:dyDescent="0.4">
      <c r="A225" s="346"/>
      <c r="B225" s="346"/>
      <c r="C225" s="346"/>
      <c r="D225" s="346"/>
      <c r="E225" s="346"/>
      <c r="F225" s="346"/>
      <c r="G225" s="346"/>
    </row>
    <row r="226" spans="1:8" x14ac:dyDescent="0.4">
      <c r="A226" s="346"/>
      <c r="B226" s="346"/>
      <c r="C226" s="346"/>
      <c r="D226" s="346"/>
      <c r="E226" s="346"/>
      <c r="F226" s="346"/>
      <c r="G226" s="346"/>
    </row>
    <row r="227" spans="1:8" x14ac:dyDescent="0.4">
      <c r="A227" s="346"/>
      <c r="B227" s="346"/>
      <c r="C227" s="346"/>
      <c r="D227" s="346"/>
      <c r="E227" s="346"/>
      <c r="F227" s="346"/>
      <c r="G227" s="346"/>
    </row>
    <row r="228" spans="1:8" x14ac:dyDescent="0.4">
      <c r="A228" s="346"/>
      <c r="B228" s="346"/>
      <c r="C228" s="346"/>
      <c r="D228" s="346"/>
      <c r="E228" s="346"/>
      <c r="F228" s="346"/>
      <c r="G228" s="346"/>
    </row>
    <row r="229" spans="1:8" x14ac:dyDescent="0.4">
      <c r="A229" s="346"/>
      <c r="B229" s="346"/>
      <c r="C229" s="346"/>
      <c r="D229" s="346"/>
      <c r="E229" s="346"/>
      <c r="F229" s="346"/>
      <c r="G229" s="346"/>
    </row>
    <row r="230" spans="1:8" x14ac:dyDescent="0.4">
      <c r="A230" s="346"/>
      <c r="B230" s="346"/>
      <c r="C230" s="346"/>
      <c r="D230" s="346"/>
      <c r="E230" s="346"/>
      <c r="F230" s="346"/>
      <c r="G230" s="346"/>
    </row>
    <row r="231" spans="1:8" x14ac:dyDescent="0.4">
      <c r="A231" s="344"/>
      <c r="B231" s="344" t="s">
        <v>73</v>
      </c>
      <c r="C231" s="344"/>
      <c r="D231" s="344"/>
      <c r="E231" s="344"/>
      <c r="F231" s="344"/>
      <c r="G231" s="344"/>
    </row>
    <row r="232" spans="1:8" x14ac:dyDescent="0.4">
      <c r="A232" s="346"/>
      <c r="B232" s="346"/>
      <c r="C232" s="346"/>
      <c r="D232" s="346"/>
      <c r="E232" s="346"/>
      <c r="F232" s="346"/>
      <c r="G232" s="346"/>
    </row>
    <row r="233" spans="1:8" x14ac:dyDescent="0.4">
      <c r="A233" s="346" t="s">
        <v>659</v>
      </c>
      <c r="B233" s="346"/>
      <c r="C233" s="346" t="s">
        <v>661</v>
      </c>
      <c r="D233" s="346" t="s">
        <v>664</v>
      </c>
      <c r="E233" s="346"/>
      <c r="F233" s="346"/>
      <c r="G233" s="346"/>
      <c r="H233" s="345">
        <v>8451</v>
      </c>
    </row>
    <row r="234" spans="1:8" x14ac:dyDescent="0.4">
      <c r="A234" s="346" t="s">
        <v>660</v>
      </c>
      <c r="B234" s="346"/>
      <c r="C234" s="346" t="s">
        <v>662</v>
      </c>
      <c r="D234" s="346" t="s">
        <v>663</v>
      </c>
      <c r="E234" s="346"/>
      <c r="F234" s="346"/>
      <c r="G234" s="346"/>
    </row>
    <row r="235" spans="1:8" x14ac:dyDescent="0.4">
      <c r="A235" s="346"/>
      <c r="B235" s="346"/>
      <c r="C235" s="346"/>
      <c r="D235" s="346"/>
      <c r="E235" s="346"/>
      <c r="F235" s="346"/>
      <c r="G235" s="346"/>
    </row>
    <row r="236" spans="1:8" x14ac:dyDescent="0.4">
      <c r="A236" s="346"/>
      <c r="B236" s="346"/>
      <c r="C236" s="346"/>
      <c r="D236" s="346"/>
      <c r="E236" s="346"/>
      <c r="F236" s="346"/>
      <c r="G236" s="346"/>
    </row>
    <row r="237" spans="1:8" x14ac:dyDescent="0.4">
      <c r="A237" s="346"/>
      <c r="B237" s="346"/>
      <c r="C237" s="346"/>
      <c r="D237" s="346"/>
      <c r="E237" s="346"/>
      <c r="F237" s="346"/>
      <c r="G237" s="346"/>
    </row>
    <row r="238" spans="1:8" x14ac:dyDescent="0.4">
      <c r="A238" s="346"/>
      <c r="B238" s="346"/>
      <c r="C238" s="346"/>
      <c r="D238" s="346"/>
      <c r="E238" s="346"/>
      <c r="F238" s="346"/>
      <c r="G238" s="346"/>
    </row>
    <row r="239" spans="1:8" x14ac:dyDescent="0.4">
      <c r="A239" s="346"/>
      <c r="B239" s="346"/>
      <c r="C239" s="346"/>
      <c r="D239" s="346"/>
      <c r="E239" s="346"/>
      <c r="F239" s="346"/>
      <c r="G239" s="346"/>
    </row>
    <row r="240" spans="1:8" x14ac:dyDescent="0.4">
      <c r="A240" s="346"/>
      <c r="B240" s="346"/>
      <c r="C240" s="346"/>
      <c r="D240" s="346"/>
      <c r="E240" s="346"/>
      <c r="F240" s="346"/>
      <c r="G240" s="346"/>
    </row>
    <row r="241" spans="1:7" x14ac:dyDescent="0.4">
      <c r="A241" s="346"/>
      <c r="B241" s="346"/>
      <c r="C241" s="346"/>
      <c r="D241" s="346"/>
      <c r="E241" s="346"/>
      <c r="F241" s="346"/>
      <c r="G241" s="346"/>
    </row>
    <row r="242" spans="1:7" x14ac:dyDescent="0.4">
      <c r="A242" s="346"/>
      <c r="B242" s="346"/>
      <c r="C242" s="346"/>
      <c r="D242" s="346"/>
      <c r="E242" s="346"/>
      <c r="F242" s="346"/>
      <c r="G242" s="346"/>
    </row>
    <row r="243" spans="1:7" x14ac:dyDescent="0.4">
      <c r="A243" s="346"/>
      <c r="B243" s="346"/>
      <c r="C243" s="346"/>
      <c r="D243" s="346"/>
      <c r="E243" s="346"/>
      <c r="F243" s="346"/>
      <c r="G243" s="346"/>
    </row>
    <row r="244" spans="1:7" x14ac:dyDescent="0.4">
      <c r="A244" s="346"/>
      <c r="B244" s="346"/>
      <c r="C244" s="346"/>
      <c r="D244" s="346"/>
      <c r="E244" s="346"/>
      <c r="F244" s="346"/>
      <c r="G244" s="346"/>
    </row>
    <row r="245" spans="1:7" x14ac:dyDescent="0.4">
      <c r="A245" s="346"/>
      <c r="B245" s="346"/>
      <c r="C245" s="346"/>
      <c r="D245" s="346"/>
      <c r="E245" s="346"/>
      <c r="F245" s="346"/>
      <c r="G245" s="346"/>
    </row>
    <row r="246" spans="1:7" x14ac:dyDescent="0.4">
      <c r="A246" s="346"/>
      <c r="B246" s="346"/>
      <c r="C246" s="346"/>
      <c r="D246" s="346"/>
      <c r="E246" s="346"/>
      <c r="F246" s="346"/>
      <c r="G246" s="346"/>
    </row>
    <row r="247" spans="1:7" x14ac:dyDescent="0.4">
      <c r="A247" s="346"/>
      <c r="B247" s="346"/>
      <c r="C247" s="346"/>
      <c r="D247" s="346"/>
      <c r="E247" s="346"/>
      <c r="F247" s="346"/>
      <c r="G247" s="346"/>
    </row>
    <row r="248" spans="1:7" x14ac:dyDescent="0.4">
      <c r="A248" s="346"/>
      <c r="B248" s="346"/>
      <c r="C248" s="346"/>
      <c r="D248" s="346"/>
      <c r="E248" s="346"/>
      <c r="F248" s="346"/>
      <c r="G248" s="346"/>
    </row>
    <row r="249" spans="1:7" x14ac:dyDescent="0.4">
      <c r="A249" s="346"/>
      <c r="B249" s="346"/>
      <c r="C249" s="346"/>
      <c r="D249" s="346"/>
      <c r="E249" s="346"/>
      <c r="F249" s="346"/>
      <c r="G249" s="346"/>
    </row>
    <row r="250" spans="1:7" x14ac:dyDescent="0.4">
      <c r="A250" s="346"/>
      <c r="B250" s="346"/>
      <c r="C250" s="346"/>
      <c r="D250" s="346"/>
      <c r="E250" s="346"/>
      <c r="F250" s="346"/>
      <c r="G250" s="346"/>
    </row>
    <row r="251" spans="1:7" x14ac:dyDescent="0.4">
      <c r="A251" s="346"/>
      <c r="B251" s="346"/>
      <c r="C251" s="346"/>
      <c r="D251" s="346"/>
      <c r="E251" s="346"/>
      <c r="F251" s="346"/>
      <c r="G251" s="346"/>
    </row>
    <row r="252" spans="1:7" x14ac:dyDescent="0.4">
      <c r="A252" s="346"/>
      <c r="B252" s="346"/>
      <c r="C252" s="346"/>
      <c r="D252" s="346"/>
      <c r="E252" s="346"/>
      <c r="F252" s="346"/>
      <c r="G252" s="346"/>
    </row>
    <row r="253" spans="1:7" x14ac:dyDescent="0.4">
      <c r="A253" s="346"/>
      <c r="B253" s="346"/>
      <c r="C253" s="346"/>
      <c r="D253" s="346"/>
      <c r="E253" s="346"/>
      <c r="F253" s="346"/>
      <c r="G253" s="346"/>
    </row>
    <row r="254" spans="1:7" x14ac:dyDescent="0.4">
      <c r="A254" s="346"/>
      <c r="B254" s="346"/>
      <c r="C254" s="346"/>
      <c r="D254" s="346"/>
      <c r="E254" s="346"/>
      <c r="F254" s="346"/>
      <c r="G254" s="346"/>
    </row>
    <row r="255" spans="1:7" x14ac:dyDescent="0.4">
      <c r="A255" s="346"/>
      <c r="B255" s="346"/>
      <c r="C255" s="346"/>
      <c r="D255" s="346"/>
      <c r="E255" s="346"/>
      <c r="F255" s="346"/>
      <c r="G255" s="346"/>
    </row>
    <row r="256" spans="1:7" x14ac:dyDescent="0.4">
      <c r="A256" s="346"/>
      <c r="B256" s="346"/>
      <c r="C256" s="346"/>
      <c r="D256" s="346"/>
      <c r="E256" s="346"/>
      <c r="F256" s="346"/>
      <c r="G256" s="346"/>
    </row>
    <row r="257" spans="1:7" x14ac:dyDescent="0.4">
      <c r="A257" s="346"/>
      <c r="B257" s="346"/>
      <c r="C257" s="346"/>
      <c r="D257" s="346"/>
      <c r="E257" s="346"/>
      <c r="F257" s="346"/>
      <c r="G257" s="346"/>
    </row>
    <row r="258" spans="1:7" x14ac:dyDescent="0.4">
      <c r="A258" s="346"/>
      <c r="B258" s="346"/>
      <c r="C258" s="346"/>
      <c r="D258" s="346"/>
      <c r="E258" s="346"/>
      <c r="F258" s="346"/>
      <c r="G258" s="346"/>
    </row>
    <row r="259" spans="1:7" x14ac:dyDescent="0.4">
      <c r="A259" s="346"/>
      <c r="B259" s="346"/>
      <c r="C259" s="346"/>
      <c r="D259" s="346"/>
      <c r="E259" s="346"/>
      <c r="F259" s="346"/>
      <c r="G259" s="346"/>
    </row>
    <row r="260" spans="1:7" x14ac:dyDescent="0.4">
      <c r="A260" s="346"/>
      <c r="B260" s="346"/>
      <c r="C260" s="346"/>
      <c r="D260" s="346"/>
      <c r="E260" s="346"/>
      <c r="F260" s="346"/>
      <c r="G260" s="346"/>
    </row>
    <row r="261" spans="1:7" x14ac:dyDescent="0.4">
      <c r="A261" s="346"/>
      <c r="B261" s="346"/>
      <c r="C261" s="346"/>
      <c r="D261" s="346"/>
      <c r="E261" s="346"/>
      <c r="F261" s="346"/>
      <c r="G261" s="346"/>
    </row>
    <row r="262" spans="1:7" x14ac:dyDescent="0.4">
      <c r="A262" s="346"/>
      <c r="B262" s="346"/>
      <c r="C262" s="346"/>
      <c r="D262" s="346"/>
      <c r="E262" s="346"/>
      <c r="F262" s="346"/>
      <c r="G262" s="346"/>
    </row>
    <row r="263" spans="1:7" x14ac:dyDescent="0.4">
      <c r="A263" s="346"/>
      <c r="B263" s="346"/>
      <c r="C263" s="346"/>
      <c r="D263" s="346"/>
      <c r="E263" s="346"/>
      <c r="F263" s="346"/>
      <c r="G263" s="346"/>
    </row>
    <row r="264" spans="1:7" x14ac:dyDescent="0.4">
      <c r="A264" s="346"/>
      <c r="B264" s="346"/>
      <c r="C264" s="346"/>
      <c r="D264" s="346"/>
      <c r="E264" s="346"/>
      <c r="F264" s="346"/>
      <c r="G264" s="346"/>
    </row>
    <row r="265" spans="1:7" x14ac:dyDescent="0.4">
      <c r="A265" s="346"/>
      <c r="B265" s="346"/>
      <c r="C265" s="346"/>
      <c r="D265" s="346"/>
      <c r="E265" s="346"/>
      <c r="F265" s="346"/>
      <c r="G265" s="346"/>
    </row>
    <row r="266" spans="1:7" x14ac:dyDescent="0.4">
      <c r="A266" s="346"/>
      <c r="B266" s="346"/>
      <c r="C266" s="346"/>
      <c r="D266" s="346"/>
      <c r="E266" s="346"/>
      <c r="F266" s="346"/>
      <c r="G266" s="346"/>
    </row>
    <row r="267" spans="1:7" x14ac:dyDescent="0.4">
      <c r="A267" s="346"/>
      <c r="B267" s="346"/>
      <c r="C267" s="346"/>
      <c r="D267" s="346"/>
      <c r="E267" s="346"/>
      <c r="F267" s="346"/>
      <c r="G267" s="346"/>
    </row>
    <row r="268" spans="1:7" x14ac:dyDescent="0.4">
      <c r="A268" s="346"/>
      <c r="B268" s="346"/>
      <c r="C268" s="346"/>
      <c r="D268" s="346"/>
      <c r="E268" s="346"/>
      <c r="F268" s="346"/>
      <c r="G268" s="346"/>
    </row>
    <row r="269" spans="1:7" x14ac:dyDescent="0.4">
      <c r="A269" s="346"/>
      <c r="B269" s="346"/>
      <c r="C269" s="346"/>
      <c r="D269" s="346"/>
      <c r="E269" s="346"/>
      <c r="F269" s="346"/>
      <c r="G269" s="346"/>
    </row>
    <row r="270" spans="1:7" x14ac:dyDescent="0.4">
      <c r="A270" s="346"/>
      <c r="B270" s="346"/>
      <c r="C270" s="346"/>
      <c r="D270" s="346"/>
      <c r="E270" s="346"/>
      <c r="F270" s="346"/>
      <c r="G270" s="346"/>
    </row>
    <row r="271" spans="1:7" x14ac:dyDescent="0.4">
      <c r="A271" s="346"/>
      <c r="B271" s="346"/>
      <c r="C271" s="346"/>
      <c r="D271" s="346"/>
      <c r="E271" s="346"/>
      <c r="F271" s="346"/>
      <c r="G271" s="346"/>
    </row>
    <row r="272" spans="1:7" x14ac:dyDescent="0.4">
      <c r="A272" s="346"/>
      <c r="B272" s="346"/>
      <c r="C272" s="346"/>
      <c r="D272" s="346"/>
      <c r="E272" s="346"/>
      <c r="F272" s="346"/>
      <c r="G272" s="346"/>
    </row>
    <row r="273" spans="1:7" x14ac:dyDescent="0.4">
      <c r="A273" s="346"/>
      <c r="B273" s="346"/>
      <c r="C273" s="346"/>
      <c r="D273" s="346"/>
      <c r="E273" s="346"/>
      <c r="F273" s="346"/>
      <c r="G273" s="346"/>
    </row>
    <row r="274" spans="1:7" x14ac:dyDescent="0.4">
      <c r="A274" s="346"/>
      <c r="B274" s="346"/>
      <c r="C274" s="346"/>
      <c r="D274" s="346"/>
      <c r="E274" s="346"/>
      <c r="F274" s="346"/>
      <c r="G274" s="346"/>
    </row>
    <row r="275" spans="1:7" x14ac:dyDescent="0.4">
      <c r="A275" s="346"/>
      <c r="B275" s="346"/>
      <c r="C275" s="346"/>
      <c r="D275" s="346"/>
      <c r="E275" s="346"/>
      <c r="F275" s="346"/>
      <c r="G275" s="346"/>
    </row>
    <row r="276" spans="1:7" x14ac:dyDescent="0.4">
      <c r="A276" s="346"/>
      <c r="B276" s="346"/>
      <c r="C276" s="346"/>
      <c r="D276" s="346"/>
      <c r="E276" s="346"/>
      <c r="F276" s="346"/>
      <c r="G276" s="346"/>
    </row>
    <row r="277" spans="1:7" x14ac:dyDescent="0.4">
      <c r="A277" s="346"/>
      <c r="B277" s="346"/>
      <c r="C277" s="346"/>
      <c r="D277" s="346"/>
      <c r="E277" s="346"/>
      <c r="F277" s="346"/>
      <c r="G277" s="346"/>
    </row>
    <row r="278" spans="1:7" x14ac:dyDescent="0.4">
      <c r="A278" s="346"/>
      <c r="B278" s="346"/>
      <c r="C278" s="346"/>
      <c r="D278" s="346"/>
      <c r="E278" s="346"/>
      <c r="F278" s="346"/>
      <c r="G278" s="346"/>
    </row>
    <row r="279" spans="1:7" x14ac:dyDescent="0.4">
      <c r="A279" s="346"/>
      <c r="B279" s="346"/>
      <c r="C279" s="346"/>
      <c r="D279" s="346"/>
      <c r="E279" s="346"/>
      <c r="F279" s="346"/>
      <c r="G279" s="346"/>
    </row>
    <row r="280" spans="1:7" x14ac:dyDescent="0.4">
      <c r="A280" s="346"/>
      <c r="B280" s="346"/>
      <c r="C280" s="346"/>
      <c r="D280" s="346"/>
      <c r="E280" s="346"/>
      <c r="F280" s="346"/>
      <c r="G280" s="346"/>
    </row>
    <row r="281" spans="1:7" x14ac:dyDescent="0.4">
      <c r="A281" s="346"/>
      <c r="B281" s="346"/>
      <c r="C281" s="346"/>
      <c r="D281" s="346"/>
      <c r="E281" s="346"/>
      <c r="F281" s="346"/>
      <c r="G281" s="346"/>
    </row>
    <row r="282" spans="1:7" x14ac:dyDescent="0.4">
      <c r="A282" s="346"/>
      <c r="B282" s="346"/>
      <c r="C282" s="346"/>
      <c r="D282" s="346"/>
      <c r="E282" s="346"/>
      <c r="F282" s="346"/>
      <c r="G282" s="346"/>
    </row>
    <row r="283" spans="1:7" x14ac:dyDescent="0.4">
      <c r="A283" s="346"/>
      <c r="B283" s="346"/>
      <c r="C283" s="346"/>
      <c r="D283" s="346"/>
      <c r="E283" s="346"/>
      <c r="F283" s="346"/>
      <c r="G283" s="346"/>
    </row>
    <row r="284" spans="1:7" x14ac:dyDescent="0.4">
      <c r="A284" s="346"/>
      <c r="B284" s="346"/>
      <c r="C284" s="346"/>
      <c r="D284" s="346"/>
      <c r="E284" s="346"/>
      <c r="F284" s="346"/>
      <c r="G284" s="346"/>
    </row>
    <row r="285" spans="1:7" x14ac:dyDescent="0.4">
      <c r="A285" s="346"/>
      <c r="B285" s="346"/>
      <c r="C285" s="346"/>
      <c r="D285" s="346"/>
      <c r="E285" s="346"/>
      <c r="F285" s="346"/>
      <c r="G285" s="346"/>
    </row>
    <row r="286" spans="1:7" x14ac:dyDescent="0.4">
      <c r="A286" s="346"/>
      <c r="B286" s="346"/>
      <c r="C286" s="346"/>
      <c r="D286" s="346"/>
      <c r="E286" s="346"/>
      <c r="F286" s="346"/>
      <c r="G286" s="346"/>
    </row>
    <row r="287" spans="1:7" x14ac:dyDescent="0.4">
      <c r="A287" s="346"/>
      <c r="B287" s="346"/>
      <c r="C287" s="346"/>
      <c r="D287" s="346"/>
      <c r="E287" s="346"/>
      <c r="F287" s="346"/>
      <c r="G287" s="346"/>
    </row>
    <row r="288" spans="1:7" x14ac:dyDescent="0.4">
      <c r="A288" s="346"/>
      <c r="B288" s="346"/>
      <c r="C288" s="346"/>
      <c r="D288" s="346"/>
      <c r="E288" s="346"/>
      <c r="F288" s="346"/>
      <c r="G288" s="346"/>
    </row>
    <row r="289" spans="1:7" x14ac:dyDescent="0.4">
      <c r="A289" s="344"/>
      <c r="B289" s="344" t="s">
        <v>77</v>
      </c>
      <c r="C289" s="344"/>
      <c r="D289" s="344"/>
      <c r="E289" s="344"/>
      <c r="F289" s="344"/>
      <c r="G289" s="344"/>
    </row>
    <row r="290" spans="1:7" x14ac:dyDescent="0.4">
      <c r="A290" s="346" t="s">
        <v>2548</v>
      </c>
      <c r="B290" s="346" t="s">
        <v>2314</v>
      </c>
      <c r="C290" s="346" t="s">
        <v>2547</v>
      </c>
      <c r="D290" s="346"/>
      <c r="E290" s="346"/>
      <c r="F290" s="346"/>
      <c r="G290" s="346"/>
    </row>
    <row r="291" spans="1:7" x14ac:dyDescent="0.4">
      <c r="A291" s="346" t="s">
        <v>665</v>
      </c>
      <c r="B291" s="346"/>
      <c r="C291" s="346" t="s">
        <v>672</v>
      </c>
      <c r="D291" s="346" t="s">
        <v>673</v>
      </c>
      <c r="E291" s="346"/>
      <c r="F291" s="346"/>
      <c r="G291" s="346"/>
    </row>
    <row r="292" spans="1:7" x14ac:dyDescent="0.4">
      <c r="A292" s="346" t="s">
        <v>666</v>
      </c>
      <c r="B292" s="346"/>
      <c r="C292" s="346" t="s">
        <v>674</v>
      </c>
      <c r="D292" s="346"/>
      <c r="E292" s="346"/>
      <c r="F292" s="346"/>
      <c r="G292" s="346"/>
    </row>
    <row r="293" spans="1:7" x14ac:dyDescent="0.4">
      <c r="A293" s="346" t="s">
        <v>667</v>
      </c>
      <c r="B293" s="346"/>
      <c r="C293" s="346" t="s">
        <v>675</v>
      </c>
      <c r="D293" s="346" t="s">
        <v>676</v>
      </c>
      <c r="E293" s="346"/>
      <c r="F293" s="346"/>
      <c r="G293" s="346"/>
    </row>
    <row r="294" spans="1:7" x14ac:dyDescent="0.4">
      <c r="A294" s="346" t="s">
        <v>668</v>
      </c>
      <c r="B294" s="346"/>
      <c r="C294" s="346" t="s">
        <v>677</v>
      </c>
      <c r="D294" s="346"/>
      <c r="E294" s="346"/>
      <c r="F294" s="346"/>
      <c r="G294" s="346"/>
    </row>
    <row r="295" spans="1:7" x14ac:dyDescent="0.4">
      <c r="A295" s="346" t="s">
        <v>669</v>
      </c>
      <c r="B295" s="346"/>
      <c r="C295" s="346" t="s">
        <v>678</v>
      </c>
      <c r="D295" s="346" t="s">
        <v>638</v>
      </c>
      <c r="E295" s="346"/>
      <c r="F295" s="346"/>
      <c r="G295" s="346"/>
    </row>
    <row r="296" spans="1:7" x14ac:dyDescent="0.4">
      <c r="A296" s="346" t="s">
        <v>670</v>
      </c>
      <c r="B296" s="346"/>
      <c r="C296" s="346" t="s">
        <v>679</v>
      </c>
      <c r="D296" s="346" t="s">
        <v>680</v>
      </c>
      <c r="E296" s="346"/>
      <c r="F296" s="346"/>
      <c r="G296" s="346"/>
    </row>
    <row r="297" spans="1:7" x14ac:dyDescent="0.4">
      <c r="A297" s="346" t="s">
        <v>671</v>
      </c>
      <c r="B297" s="346"/>
      <c r="C297" s="346" t="s">
        <v>681</v>
      </c>
      <c r="D297" s="346" t="s">
        <v>638</v>
      </c>
      <c r="E297" s="346"/>
      <c r="F297" s="346"/>
      <c r="G297" s="346"/>
    </row>
    <row r="298" spans="1:7" x14ac:dyDescent="0.4">
      <c r="A298" s="346"/>
      <c r="B298" s="346"/>
      <c r="C298" s="346"/>
      <c r="D298" s="346"/>
      <c r="E298" s="346"/>
      <c r="F298" s="346"/>
      <c r="G298" s="346"/>
    </row>
    <row r="299" spans="1:7" x14ac:dyDescent="0.4">
      <c r="A299" s="346"/>
      <c r="B299" s="346"/>
      <c r="C299" s="346"/>
      <c r="D299" s="346"/>
      <c r="E299" s="346"/>
      <c r="F299" s="346"/>
      <c r="G299" s="346"/>
    </row>
    <row r="300" spans="1:7" x14ac:dyDescent="0.4">
      <c r="A300" s="346"/>
      <c r="B300" s="346"/>
      <c r="C300" s="346"/>
      <c r="D300" s="346"/>
      <c r="E300" s="346"/>
      <c r="F300" s="346"/>
      <c r="G300" s="346"/>
    </row>
    <row r="301" spans="1:7" x14ac:dyDescent="0.4">
      <c r="A301" s="346"/>
      <c r="B301" s="346"/>
      <c r="C301" s="346"/>
      <c r="D301" s="346"/>
      <c r="E301" s="346"/>
      <c r="F301" s="346"/>
      <c r="G301" s="346"/>
    </row>
    <row r="302" spans="1:7" x14ac:dyDescent="0.4">
      <c r="A302" s="346"/>
      <c r="B302" s="346"/>
      <c r="C302" s="346"/>
      <c r="D302" s="346"/>
      <c r="E302" s="346"/>
      <c r="F302" s="346"/>
      <c r="G302" s="346"/>
    </row>
    <row r="303" spans="1:7" x14ac:dyDescent="0.4">
      <c r="A303" s="346"/>
      <c r="B303" s="346"/>
      <c r="C303" s="346"/>
      <c r="D303" s="346"/>
      <c r="E303" s="346"/>
      <c r="F303" s="346"/>
      <c r="G303" s="346"/>
    </row>
    <row r="304" spans="1:7" x14ac:dyDescent="0.4">
      <c r="A304" s="346"/>
      <c r="B304" s="346"/>
      <c r="C304" s="346"/>
      <c r="D304" s="346"/>
      <c r="E304" s="346"/>
      <c r="F304" s="346"/>
      <c r="G304" s="346"/>
    </row>
    <row r="305" spans="1:7" x14ac:dyDescent="0.4">
      <c r="A305" s="346"/>
      <c r="B305" s="346"/>
      <c r="C305" s="346"/>
      <c r="D305" s="346"/>
      <c r="E305" s="346"/>
      <c r="F305" s="346"/>
      <c r="G305" s="346"/>
    </row>
    <row r="306" spans="1:7" x14ac:dyDescent="0.4">
      <c r="A306" s="346"/>
      <c r="B306" s="346"/>
      <c r="C306" s="346"/>
      <c r="D306" s="346"/>
      <c r="E306" s="346"/>
      <c r="F306" s="346"/>
      <c r="G306" s="346"/>
    </row>
    <row r="307" spans="1:7" x14ac:dyDescent="0.4">
      <c r="A307" s="346"/>
      <c r="B307" s="346"/>
      <c r="C307" s="346"/>
      <c r="D307" s="346"/>
      <c r="E307" s="346"/>
      <c r="F307" s="346"/>
      <c r="G307" s="346"/>
    </row>
    <row r="308" spans="1:7" x14ac:dyDescent="0.4">
      <c r="A308" s="346"/>
      <c r="B308" s="346"/>
      <c r="C308" s="346"/>
      <c r="D308" s="346"/>
      <c r="E308" s="346"/>
      <c r="F308" s="346"/>
      <c r="G308" s="346"/>
    </row>
    <row r="309" spans="1:7" x14ac:dyDescent="0.4">
      <c r="A309" s="346"/>
      <c r="B309" s="346"/>
      <c r="C309" s="346"/>
      <c r="D309" s="346"/>
      <c r="E309" s="346"/>
      <c r="F309" s="346"/>
      <c r="G309" s="346"/>
    </row>
    <row r="310" spans="1:7" x14ac:dyDescent="0.4">
      <c r="A310" s="346"/>
      <c r="B310" s="346"/>
      <c r="C310" s="346"/>
      <c r="D310" s="346"/>
      <c r="E310" s="346"/>
      <c r="F310" s="346"/>
      <c r="G310" s="346"/>
    </row>
    <row r="311" spans="1:7" x14ac:dyDescent="0.4">
      <c r="A311" s="346"/>
      <c r="B311" s="346"/>
      <c r="C311" s="346"/>
      <c r="D311" s="346"/>
      <c r="E311" s="346"/>
      <c r="F311" s="346"/>
      <c r="G311" s="346"/>
    </row>
    <row r="312" spans="1:7" x14ac:dyDescent="0.4">
      <c r="A312" s="346"/>
      <c r="B312" s="346"/>
      <c r="C312" s="346"/>
      <c r="D312" s="346"/>
      <c r="E312" s="346"/>
      <c r="F312" s="346"/>
      <c r="G312" s="346"/>
    </row>
    <row r="313" spans="1:7" x14ac:dyDescent="0.4">
      <c r="A313" s="346"/>
      <c r="B313" s="346"/>
      <c r="C313" s="346"/>
      <c r="D313" s="346"/>
      <c r="E313" s="346"/>
      <c r="F313" s="346"/>
      <c r="G313" s="346"/>
    </row>
    <row r="314" spans="1:7" x14ac:dyDescent="0.4">
      <c r="A314" s="346"/>
      <c r="B314" s="346"/>
      <c r="C314" s="346"/>
      <c r="D314" s="346"/>
      <c r="E314" s="346"/>
      <c r="F314" s="346"/>
      <c r="G314" s="346"/>
    </row>
    <row r="315" spans="1:7" x14ac:dyDescent="0.4">
      <c r="A315" s="346"/>
      <c r="B315" s="346"/>
      <c r="C315" s="346"/>
      <c r="D315" s="346"/>
      <c r="E315" s="346"/>
      <c r="F315" s="346"/>
      <c r="G315" s="346"/>
    </row>
    <row r="316" spans="1:7" x14ac:dyDescent="0.4">
      <c r="A316" s="346"/>
      <c r="B316" s="346"/>
      <c r="C316" s="346"/>
      <c r="D316" s="346"/>
      <c r="E316" s="346"/>
      <c r="F316" s="346"/>
      <c r="G316" s="346"/>
    </row>
    <row r="317" spans="1:7" x14ac:dyDescent="0.4">
      <c r="A317" s="346"/>
      <c r="B317" s="346"/>
      <c r="C317" s="346"/>
      <c r="D317" s="346"/>
      <c r="E317" s="346"/>
      <c r="F317" s="346"/>
      <c r="G317" s="346"/>
    </row>
    <row r="318" spans="1:7" x14ac:dyDescent="0.4">
      <c r="A318" s="346"/>
      <c r="B318" s="346"/>
      <c r="C318" s="346"/>
      <c r="D318" s="346"/>
      <c r="E318" s="346"/>
      <c r="F318" s="346"/>
      <c r="G318" s="346"/>
    </row>
    <row r="319" spans="1:7" x14ac:dyDescent="0.4">
      <c r="A319" s="346"/>
      <c r="B319" s="346"/>
      <c r="C319" s="346"/>
      <c r="D319" s="346"/>
      <c r="E319" s="346"/>
      <c r="F319" s="346"/>
      <c r="G319" s="346"/>
    </row>
    <row r="320" spans="1:7" x14ac:dyDescent="0.4">
      <c r="A320" s="346"/>
      <c r="B320" s="346"/>
      <c r="C320" s="346"/>
      <c r="D320" s="346"/>
      <c r="E320" s="346"/>
      <c r="F320" s="346"/>
      <c r="G320" s="346"/>
    </row>
    <row r="321" spans="1:7" x14ac:dyDescent="0.4">
      <c r="A321" s="346"/>
      <c r="B321" s="346"/>
      <c r="C321" s="346"/>
      <c r="D321" s="346"/>
      <c r="E321" s="346"/>
      <c r="F321" s="346"/>
      <c r="G321" s="346"/>
    </row>
    <row r="322" spans="1:7" x14ac:dyDescent="0.4">
      <c r="A322" s="344"/>
      <c r="B322" s="344" t="s">
        <v>80</v>
      </c>
      <c r="C322" s="344"/>
      <c r="D322" s="344"/>
      <c r="E322" s="344"/>
      <c r="F322" s="344"/>
      <c r="G322" s="344"/>
    </row>
    <row r="323" spans="1:7" x14ac:dyDescent="0.4">
      <c r="A323" s="346"/>
      <c r="B323" s="346"/>
      <c r="C323" s="346"/>
      <c r="D323" s="346"/>
      <c r="E323" s="346"/>
      <c r="F323" s="346"/>
      <c r="G323" s="346"/>
    </row>
    <row r="324" spans="1:7" x14ac:dyDescent="0.4">
      <c r="A324" s="346" t="s">
        <v>2225</v>
      </c>
      <c r="B324" s="346"/>
      <c r="C324" s="346" t="s">
        <v>2226</v>
      </c>
      <c r="D324" s="346"/>
      <c r="E324" s="346"/>
      <c r="F324" s="346"/>
      <c r="G324" s="346"/>
    </row>
    <row r="325" spans="1:7" x14ac:dyDescent="0.4">
      <c r="A325" s="346"/>
      <c r="B325" s="346"/>
      <c r="C325" s="346"/>
      <c r="D325" s="346"/>
      <c r="E325" s="346"/>
      <c r="F325" s="346"/>
      <c r="G325" s="346"/>
    </row>
    <row r="326" spans="1:7" x14ac:dyDescent="0.4">
      <c r="A326" s="346"/>
      <c r="B326" s="346"/>
      <c r="C326" s="346"/>
      <c r="D326" s="346"/>
      <c r="E326" s="346"/>
      <c r="F326" s="346"/>
      <c r="G326" s="346"/>
    </row>
    <row r="327" spans="1:7" x14ac:dyDescent="0.4">
      <c r="A327" s="346"/>
      <c r="B327" s="346"/>
      <c r="C327" s="346"/>
      <c r="D327" s="346"/>
      <c r="E327" s="346"/>
      <c r="F327" s="346"/>
      <c r="G327" s="346"/>
    </row>
    <row r="328" spans="1:7" x14ac:dyDescent="0.4">
      <c r="A328" s="346"/>
      <c r="B328" s="346"/>
      <c r="C328" s="346"/>
      <c r="D328" s="346"/>
      <c r="E328" s="346"/>
      <c r="F328" s="346"/>
      <c r="G328" s="346"/>
    </row>
    <row r="329" spans="1:7" x14ac:dyDescent="0.4">
      <c r="A329" s="346"/>
      <c r="B329" s="346"/>
      <c r="C329" s="346"/>
      <c r="D329" s="346"/>
      <c r="E329" s="346"/>
      <c r="F329" s="346"/>
      <c r="G329" s="346"/>
    </row>
    <row r="330" spans="1:7" x14ac:dyDescent="0.4">
      <c r="A330" s="346"/>
      <c r="B330" s="346"/>
      <c r="C330" s="346"/>
      <c r="D330" s="346"/>
      <c r="E330" s="346"/>
      <c r="F330" s="346"/>
      <c r="G330" s="346"/>
    </row>
    <row r="331" spans="1:7" x14ac:dyDescent="0.4">
      <c r="A331" s="346"/>
      <c r="B331" s="346"/>
      <c r="C331" s="346"/>
      <c r="D331" s="346"/>
      <c r="E331" s="346"/>
      <c r="F331" s="346"/>
      <c r="G331" s="346"/>
    </row>
    <row r="332" spans="1:7" x14ac:dyDescent="0.4">
      <c r="A332" s="346"/>
      <c r="B332" s="346"/>
      <c r="C332" s="346"/>
      <c r="D332" s="346"/>
      <c r="E332" s="346"/>
      <c r="F332" s="346"/>
      <c r="G332" s="346"/>
    </row>
    <row r="333" spans="1:7" x14ac:dyDescent="0.4">
      <c r="A333" s="346"/>
      <c r="B333" s="346"/>
      <c r="C333" s="346"/>
      <c r="D333" s="346"/>
      <c r="E333" s="346"/>
      <c r="F333" s="346"/>
      <c r="G333" s="346"/>
    </row>
    <row r="334" spans="1:7" x14ac:dyDescent="0.4">
      <c r="A334" s="346"/>
      <c r="B334" s="346"/>
      <c r="C334" s="346"/>
      <c r="D334" s="346"/>
      <c r="E334" s="346"/>
      <c r="F334" s="346"/>
      <c r="G334" s="346"/>
    </row>
    <row r="335" spans="1:7" x14ac:dyDescent="0.4">
      <c r="A335" s="346"/>
      <c r="B335" s="346"/>
      <c r="C335" s="346"/>
      <c r="D335" s="346"/>
      <c r="E335" s="346"/>
      <c r="F335" s="346"/>
      <c r="G335" s="346"/>
    </row>
    <row r="336" spans="1:7" x14ac:dyDescent="0.4">
      <c r="A336" s="346"/>
      <c r="B336" s="346"/>
      <c r="C336" s="346"/>
      <c r="D336" s="346"/>
      <c r="E336" s="346"/>
      <c r="F336" s="346"/>
      <c r="G336" s="346"/>
    </row>
    <row r="337" spans="1:7" x14ac:dyDescent="0.4">
      <c r="A337" s="346"/>
      <c r="B337" s="346"/>
      <c r="C337" s="346"/>
      <c r="D337" s="346"/>
      <c r="E337" s="346"/>
      <c r="F337" s="346"/>
      <c r="G337" s="346"/>
    </row>
    <row r="338" spans="1:7" x14ac:dyDescent="0.4">
      <c r="A338" s="346"/>
      <c r="B338" s="346"/>
      <c r="C338" s="346"/>
      <c r="D338" s="346"/>
      <c r="E338" s="346"/>
      <c r="F338" s="346"/>
      <c r="G338" s="346"/>
    </row>
    <row r="339" spans="1:7" x14ac:dyDescent="0.4">
      <c r="A339" s="346"/>
      <c r="B339" s="346"/>
      <c r="C339" s="346"/>
      <c r="D339" s="346"/>
      <c r="E339" s="346"/>
      <c r="F339" s="346"/>
      <c r="G339" s="346"/>
    </row>
    <row r="340" spans="1:7" x14ac:dyDescent="0.4">
      <c r="A340" s="346"/>
      <c r="B340" s="346"/>
      <c r="C340" s="346"/>
      <c r="D340" s="346"/>
      <c r="E340" s="346"/>
      <c r="F340" s="346"/>
      <c r="G340" s="346"/>
    </row>
    <row r="341" spans="1:7" x14ac:dyDescent="0.4">
      <c r="A341" s="346"/>
      <c r="B341" s="346"/>
      <c r="C341" s="346"/>
      <c r="D341" s="346"/>
      <c r="E341" s="346"/>
      <c r="F341" s="346"/>
      <c r="G341" s="346"/>
    </row>
    <row r="342" spans="1:7" x14ac:dyDescent="0.4">
      <c r="A342" s="346"/>
      <c r="B342" s="346"/>
      <c r="C342" s="346"/>
      <c r="D342" s="346"/>
      <c r="E342" s="346"/>
      <c r="F342" s="346"/>
      <c r="G342" s="346"/>
    </row>
    <row r="343" spans="1:7" x14ac:dyDescent="0.4">
      <c r="A343" s="346"/>
      <c r="B343" s="346"/>
      <c r="C343" s="346"/>
      <c r="D343" s="346"/>
      <c r="E343" s="346"/>
      <c r="F343" s="346"/>
      <c r="G343" s="346"/>
    </row>
    <row r="344" spans="1:7" x14ac:dyDescent="0.4">
      <c r="A344" s="346"/>
      <c r="B344" s="346"/>
      <c r="C344" s="346"/>
      <c r="D344" s="346"/>
      <c r="E344" s="346"/>
      <c r="F344" s="346"/>
      <c r="G344" s="346"/>
    </row>
    <row r="345" spans="1:7" x14ac:dyDescent="0.4">
      <c r="A345" s="346"/>
      <c r="B345" s="346"/>
      <c r="C345" s="346"/>
      <c r="D345" s="346"/>
      <c r="E345" s="346"/>
      <c r="F345" s="346"/>
      <c r="G345" s="346"/>
    </row>
    <row r="346" spans="1:7" x14ac:dyDescent="0.4">
      <c r="A346" s="346"/>
      <c r="B346" s="346"/>
      <c r="C346" s="346"/>
      <c r="D346" s="346"/>
      <c r="E346" s="346"/>
      <c r="F346" s="346"/>
      <c r="G346" s="346"/>
    </row>
    <row r="347" spans="1:7" x14ac:dyDescent="0.4">
      <c r="A347" s="346"/>
      <c r="B347" s="346"/>
      <c r="C347" s="346"/>
      <c r="D347" s="346"/>
      <c r="E347" s="346"/>
      <c r="F347" s="346"/>
      <c r="G347" s="346"/>
    </row>
    <row r="348" spans="1:7" x14ac:dyDescent="0.4">
      <c r="A348" s="346"/>
      <c r="B348" s="346"/>
      <c r="C348" s="346"/>
      <c r="D348" s="346"/>
      <c r="E348" s="346"/>
      <c r="F348" s="346"/>
      <c r="G348" s="346"/>
    </row>
    <row r="349" spans="1:7" x14ac:dyDescent="0.4">
      <c r="A349" s="344"/>
      <c r="B349" s="344" t="s">
        <v>83</v>
      </c>
      <c r="C349" s="344"/>
      <c r="D349" s="344"/>
      <c r="E349" s="344"/>
      <c r="F349" s="344"/>
      <c r="G349" s="344"/>
    </row>
    <row r="350" spans="1:7" x14ac:dyDescent="0.4">
      <c r="A350" s="346"/>
      <c r="B350" s="346"/>
      <c r="C350" s="346"/>
      <c r="D350" s="346"/>
      <c r="E350" s="346"/>
      <c r="F350" s="346"/>
      <c r="G350" s="346"/>
    </row>
    <row r="351" spans="1:7" x14ac:dyDescent="0.4">
      <c r="A351" s="346" t="s">
        <v>682</v>
      </c>
      <c r="B351" s="346"/>
      <c r="C351" s="346" t="s">
        <v>684</v>
      </c>
      <c r="D351" s="346"/>
      <c r="E351" s="346"/>
      <c r="F351" s="346"/>
      <c r="G351" s="346"/>
    </row>
    <row r="352" spans="1:7" x14ac:dyDescent="0.4">
      <c r="A352" s="346" t="s">
        <v>683</v>
      </c>
      <c r="B352" s="346"/>
      <c r="C352" s="346" t="s">
        <v>685</v>
      </c>
      <c r="D352" s="346"/>
      <c r="E352" s="346"/>
      <c r="F352" s="346"/>
      <c r="G352" s="346"/>
    </row>
    <row r="353" spans="1:7" x14ac:dyDescent="0.4">
      <c r="A353" s="346" t="s">
        <v>2509</v>
      </c>
      <c r="B353" s="346"/>
      <c r="C353" s="346" t="s">
        <v>2510</v>
      </c>
      <c r="D353" s="346" t="s">
        <v>2508</v>
      </c>
      <c r="E353" s="346"/>
      <c r="F353" s="346"/>
      <c r="G353" s="346"/>
    </row>
    <row r="354" spans="1:7" x14ac:dyDescent="0.4">
      <c r="A354" s="346"/>
      <c r="B354" s="346"/>
      <c r="C354" s="346"/>
      <c r="D354" s="346"/>
      <c r="E354" s="346"/>
      <c r="F354" s="346"/>
      <c r="G354" s="346"/>
    </row>
    <row r="355" spans="1:7" x14ac:dyDescent="0.4">
      <c r="A355" s="346"/>
      <c r="B355" s="346"/>
      <c r="C355" s="346"/>
      <c r="D355" s="346"/>
      <c r="E355" s="346"/>
      <c r="F355" s="346"/>
      <c r="G355" s="346"/>
    </row>
    <row r="356" spans="1:7" x14ac:dyDescent="0.4">
      <c r="A356" s="346"/>
      <c r="B356" s="346"/>
      <c r="C356" s="346"/>
      <c r="D356" s="346"/>
      <c r="E356" s="346"/>
      <c r="F356" s="346"/>
      <c r="G356" s="346"/>
    </row>
    <row r="357" spans="1:7" x14ac:dyDescent="0.4">
      <c r="A357" s="346"/>
      <c r="B357" s="346"/>
      <c r="C357" s="346"/>
      <c r="D357" s="346"/>
      <c r="E357" s="346"/>
      <c r="F357" s="346"/>
      <c r="G357" s="346"/>
    </row>
    <row r="358" spans="1:7" x14ac:dyDescent="0.4">
      <c r="A358" s="346"/>
      <c r="B358" s="346"/>
      <c r="C358" s="346"/>
      <c r="D358" s="346"/>
      <c r="E358" s="346"/>
      <c r="F358" s="346"/>
      <c r="G358" s="346"/>
    </row>
    <row r="359" spans="1:7" x14ac:dyDescent="0.4">
      <c r="A359" s="346"/>
      <c r="B359" s="346"/>
      <c r="C359" s="346"/>
      <c r="D359" s="346"/>
      <c r="E359" s="346"/>
      <c r="F359" s="346"/>
      <c r="G359" s="346"/>
    </row>
    <row r="360" spans="1:7" x14ac:dyDescent="0.4">
      <c r="A360" s="346"/>
      <c r="B360" s="346"/>
      <c r="C360" s="346"/>
      <c r="D360" s="346"/>
      <c r="E360" s="346"/>
      <c r="F360" s="346"/>
      <c r="G360" s="346"/>
    </row>
    <row r="361" spans="1:7" x14ac:dyDescent="0.4">
      <c r="A361" s="346"/>
      <c r="B361" s="346"/>
      <c r="C361" s="346"/>
      <c r="D361" s="346"/>
      <c r="E361" s="346"/>
      <c r="F361" s="346"/>
      <c r="G361" s="346"/>
    </row>
    <row r="362" spans="1:7" x14ac:dyDescent="0.4">
      <c r="A362" s="346"/>
      <c r="B362" s="346"/>
      <c r="C362" s="346"/>
      <c r="D362" s="346"/>
      <c r="E362" s="346"/>
      <c r="F362" s="346"/>
      <c r="G362" s="346"/>
    </row>
    <row r="363" spans="1:7" x14ac:dyDescent="0.4">
      <c r="A363" s="346"/>
      <c r="B363" s="346"/>
      <c r="C363" s="346"/>
      <c r="D363" s="346"/>
      <c r="E363" s="346"/>
      <c r="F363" s="346"/>
      <c r="G363" s="346"/>
    </row>
    <row r="364" spans="1:7" x14ac:dyDescent="0.4">
      <c r="A364" s="346"/>
      <c r="B364" s="346"/>
      <c r="C364" s="346"/>
      <c r="D364" s="346"/>
      <c r="E364" s="346"/>
      <c r="F364" s="346"/>
      <c r="G364" s="346"/>
    </row>
    <row r="365" spans="1:7" x14ac:dyDescent="0.4">
      <c r="A365" s="346"/>
      <c r="B365" s="346"/>
      <c r="C365" s="346"/>
      <c r="D365" s="346"/>
      <c r="E365" s="346"/>
      <c r="F365" s="346"/>
      <c r="G365" s="346"/>
    </row>
    <row r="366" spans="1:7" x14ac:dyDescent="0.4">
      <c r="A366" s="346"/>
      <c r="B366" s="346"/>
      <c r="C366" s="346"/>
      <c r="D366" s="346"/>
      <c r="E366" s="346"/>
      <c r="F366" s="346"/>
      <c r="G366" s="346"/>
    </row>
    <row r="367" spans="1:7" x14ac:dyDescent="0.4">
      <c r="A367" s="346"/>
      <c r="B367" s="346"/>
      <c r="C367" s="346"/>
      <c r="D367" s="346"/>
      <c r="E367" s="346"/>
      <c r="F367" s="346"/>
      <c r="G367" s="346"/>
    </row>
    <row r="368" spans="1:7" x14ac:dyDescent="0.4">
      <c r="A368" s="346"/>
      <c r="B368" s="346"/>
      <c r="C368" s="346"/>
      <c r="D368" s="346"/>
      <c r="E368" s="346"/>
      <c r="F368" s="346"/>
      <c r="G368" s="346"/>
    </row>
    <row r="369" spans="1:7" x14ac:dyDescent="0.4">
      <c r="A369" s="346"/>
      <c r="B369" s="346"/>
      <c r="C369" s="346"/>
      <c r="D369" s="346"/>
      <c r="E369" s="346"/>
      <c r="F369" s="346"/>
      <c r="G369" s="346"/>
    </row>
    <row r="370" spans="1:7" x14ac:dyDescent="0.4">
      <c r="A370" s="346"/>
      <c r="B370" s="346"/>
      <c r="C370" s="346"/>
      <c r="D370" s="346"/>
      <c r="E370" s="346"/>
      <c r="F370" s="346"/>
      <c r="G370" s="346"/>
    </row>
    <row r="371" spans="1:7" x14ac:dyDescent="0.4">
      <c r="A371" s="346"/>
      <c r="B371" s="346"/>
      <c r="C371" s="346"/>
      <c r="D371" s="346"/>
      <c r="E371" s="346"/>
      <c r="F371" s="346"/>
      <c r="G371" s="346"/>
    </row>
    <row r="372" spans="1:7" x14ac:dyDescent="0.4">
      <c r="A372" s="346"/>
      <c r="B372" s="346"/>
      <c r="C372" s="346"/>
      <c r="D372" s="346"/>
      <c r="E372" s="346"/>
      <c r="F372" s="346"/>
      <c r="G372" s="346"/>
    </row>
    <row r="373" spans="1:7" x14ac:dyDescent="0.4">
      <c r="A373" s="346"/>
      <c r="B373" s="346"/>
      <c r="C373" s="346"/>
      <c r="D373" s="346"/>
      <c r="E373" s="346"/>
      <c r="F373" s="346"/>
      <c r="G373" s="346"/>
    </row>
    <row r="374" spans="1:7" x14ac:dyDescent="0.4">
      <c r="A374" s="346"/>
      <c r="B374" s="346"/>
      <c r="C374" s="346"/>
      <c r="D374" s="346"/>
      <c r="E374" s="346"/>
      <c r="F374" s="346"/>
      <c r="G374" s="346"/>
    </row>
    <row r="375" spans="1:7" x14ac:dyDescent="0.4">
      <c r="A375" s="346"/>
      <c r="B375" s="346"/>
      <c r="C375" s="346"/>
      <c r="D375" s="346"/>
      <c r="E375" s="346"/>
      <c r="F375" s="346"/>
      <c r="G375" s="346"/>
    </row>
    <row r="376" spans="1:7" x14ac:dyDescent="0.4">
      <c r="A376" s="346"/>
      <c r="B376" s="346"/>
      <c r="C376" s="346"/>
      <c r="D376" s="346"/>
      <c r="E376" s="346"/>
      <c r="F376" s="346"/>
      <c r="G376" s="346"/>
    </row>
    <row r="377" spans="1:7" x14ac:dyDescent="0.4">
      <c r="A377" s="346"/>
      <c r="B377" s="346"/>
      <c r="C377" s="346"/>
      <c r="D377" s="346"/>
      <c r="E377" s="346"/>
      <c r="F377" s="346"/>
      <c r="G377" s="346"/>
    </row>
    <row r="378" spans="1:7" x14ac:dyDescent="0.4">
      <c r="A378" s="346"/>
      <c r="B378" s="346"/>
      <c r="C378" s="346"/>
      <c r="D378" s="346"/>
      <c r="E378" s="346"/>
      <c r="F378" s="346"/>
      <c r="G378" s="346"/>
    </row>
    <row r="379" spans="1:7" x14ac:dyDescent="0.4">
      <c r="A379" s="346"/>
      <c r="B379" s="346"/>
      <c r="C379" s="346"/>
      <c r="D379" s="346"/>
      <c r="E379" s="346"/>
      <c r="F379" s="346"/>
      <c r="G379" s="346"/>
    </row>
    <row r="380" spans="1:7" x14ac:dyDescent="0.4">
      <c r="A380" s="346"/>
      <c r="B380" s="346"/>
      <c r="C380" s="346"/>
      <c r="D380" s="346"/>
      <c r="E380" s="346"/>
      <c r="F380" s="346"/>
      <c r="G380" s="346"/>
    </row>
    <row r="381" spans="1:7" x14ac:dyDescent="0.4">
      <c r="A381" s="344"/>
      <c r="B381" s="344" t="s">
        <v>87</v>
      </c>
      <c r="C381" s="344"/>
      <c r="D381" s="344"/>
      <c r="E381" s="344"/>
      <c r="F381" s="344"/>
      <c r="G381" s="344"/>
    </row>
    <row r="382" spans="1:7" x14ac:dyDescent="0.4">
      <c r="A382" s="346"/>
      <c r="B382" s="346"/>
      <c r="C382" s="346"/>
      <c r="D382" s="346"/>
      <c r="E382" s="346"/>
      <c r="F382" s="346"/>
      <c r="G382" s="346"/>
    </row>
    <row r="383" spans="1:7" x14ac:dyDescent="0.4">
      <c r="A383" s="346"/>
      <c r="B383" s="346"/>
      <c r="C383" s="346"/>
      <c r="D383" s="346"/>
      <c r="E383" s="346"/>
      <c r="F383" s="346"/>
      <c r="G383" s="346"/>
    </row>
    <row r="384" spans="1:7" x14ac:dyDescent="0.4">
      <c r="A384" s="346"/>
      <c r="B384" s="346"/>
      <c r="C384" s="346"/>
      <c r="D384" s="346"/>
      <c r="E384" s="346"/>
      <c r="F384" s="346"/>
      <c r="G384" s="346"/>
    </row>
    <row r="385" spans="1:7" x14ac:dyDescent="0.4">
      <c r="A385" s="346"/>
      <c r="B385" s="346"/>
      <c r="C385" s="346"/>
      <c r="D385" s="346"/>
      <c r="E385" s="346"/>
      <c r="F385" s="346"/>
      <c r="G385" s="346"/>
    </row>
    <row r="386" spans="1:7" x14ac:dyDescent="0.4">
      <c r="A386" s="346"/>
      <c r="B386" s="346"/>
      <c r="C386" s="346"/>
      <c r="D386" s="346"/>
      <c r="E386" s="346"/>
      <c r="F386" s="346"/>
      <c r="G386" s="346"/>
    </row>
    <row r="387" spans="1:7" x14ac:dyDescent="0.4">
      <c r="A387" s="346"/>
      <c r="B387" s="346"/>
      <c r="C387" s="346"/>
      <c r="D387" s="346"/>
      <c r="E387" s="346"/>
      <c r="F387" s="346"/>
      <c r="G387" s="346"/>
    </row>
    <row r="388" spans="1:7" x14ac:dyDescent="0.4">
      <c r="A388" s="346"/>
      <c r="B388" s="346"/>
      <c r="C388" s="346"/>
      <c r="D388" s="346"/>
      <c r="E388" s="346"/>
      <c r="F388" s="346"/>
      <c r="G388" s="346"/>
    </row>
    <row r="389" spans="1:7" x14ac:dyDescent="0.4">
      <c r="A389" s="346"/>
      <c r="B389" s="346"/>
      <c r="C389" s="346"/>
      <c r="D389" s="346"/>
      <c r="E389" s="346"/>
      <c r="F389" s="346"/>
      <c r="G389" s="346"/>
    </row>
    <row r="390" spans="1:7" x14ac:dyDescent="0.4">
      <c r="A390" s="346"/>
      <c r="B390" s="346"/>
      <c r="C390" s="346"/>
      <c r="D390" s="346"/>
      <c r="E390" s="346"/>
      <c r="F390" s="346"/>
      <c r="G390" s="346"/>
    </row>
    <row r="391" spans="1:7" x14ac:dyDescent="0.4">
      <c r="A391" s="346"/>
      <c r="B391" s="346"/>
      <c r="C391" s="346"/>
      <c r="D391" s="346"/>
      <c r="E391" s="346"/>
      <c r="F391" s="346"/>
      <c r="G391" s="346"/>
    </row>
    <row r="392" spans="1:7" x14ac:dyDescent="0.4">
      <c r="A392" s="346"/>
      <c r="B392" s="346"/>
      <c r="C392" s="346"/>
      <c r="D392" s="346"/>
      <c r="E392" s="346"/>
      <c r="F392" s="346"/>
      <c r="G392" s="346"/>
    </row>
    <row r="393" spans="1:7" x14ac:dyDescent="0.4">
      <c r="A393" s="346"/>
      <c r="B393" s="346"/>
      <c r="C393" s="346"/>
      <c r="D393" s="346"/>
      <c r="E393" s="346"/>
      <c r="F393" s="346"/>
      <c r="G393" s="346"/>
    </row>
    <row r="394" spans="1:7" x14ac:dyDescent="0.4">
      <c r="A394" s="346"/>
      <c r="B394" s="346"/>
      <c r="C394" s="346"/>
      <c r="D394" s="346"/>
      <c r="E394" s="346"/>
      <c r="F394" s="346"/>
      <c r="G394" s="346"/>
    </row>
    <row r="395" spans="1:7" x14ac:dyDescent="0.4">
      <c r="A395" s="346"/>
      <c r="B395" s="346"/>
      <c r="C395" s="346"/>
      <c r="D395" s="346"/>
      <c r="E395" s="346"/>
      <c r="F395" s="346"/>
      <c r="G395" s="346"/>
    </row>
    <row r="396" spans="1:7" x14ac:dyDescent="0.4">
      <c r="A396" s="346"/>
      <c r="B396" s="346"/>
      <c r="C396" s="346"/>
      <c r="D396" s="346"/>
      <c r="E396" s="346"/>
      <c r="F396" s="346"/>
      <c r="G396" s="346"/>
    </row>
    <row r="397" spans="1:7" x14ac:dyDescent="0.4">
      <c r="A397" s="346"/>
      <c r="B397" s="346"/>
      <c r="C397" s="346"/>
      <c r="D397" s="346"/>
      <c r="E397" s="346"/>
      <c r="F397" s="346"/>
      <c r="G397" s="346"/>
    </row>
    <row r="398" spans="1:7" x14ac:dyDescent="0.4">
      <c r="A398" s="346"/>
      <c r="B398" s="346"/>
      <c r="C398" s="346"/>
      <c r="D398" s="346"/>
      <c r="E398" s="346"/>
      <c r="F398" s="346"/>
      <c r="G398" s="346"/>
    </row>
    <row r="399" spans="1:7" x14ac:dyDescent="0.4">
      <c r="A399" s="346"/>
      <c r="B399" s="346"/>
      <c r="C399" s="346"/>
      <c r="D399" s="346"/>
      <c r="E399" s="346"/>
      <c r="F399" s="346"/>
      <c r="G399" s="346"/>
    </row>
    <row r="400" spans="1:7" x14ac:dyDescent="0.4">
      <c r="A400" s="346"/>
      <c r="B400" s="346"/>
      <c r="C400" s="346"/>
      <c r="D400" s="346"/>
      <c r="E400" s="346"/>
      <c r="F400" s="346"/>
      <c r="G400" s="346"/>
    </row>
    <row r="401" spans="1:7" x14ac:dyDescent="0.4">
      <c r="A401" s="344"/>
      <c r="B401" s="344" t="s">
        <v>90</v>
      </c>
      <c r="C401" s="344"/>
      <c r="D401" s="344"/>
      <c r="E401" s="344"/>
      <c r="F401" s="344"/>
      <c r="G401" s="344"/>
    </row>
    <row r="402" spans="1:7" x14ac:dyDescent="0.4">
      <c r="A402" s="346"/>
      <c r="B402" s="346"/>
      <c r="C402" s="346"/>
      <c r="D402" s="346"/>
      <c r="E402" s="346"/>
      <c r="F402" s="346"/>
      <c r="G402" s="346"/>
    </row>
    <row r="403" spans="1:7" x14ac:dyDescent="0.4">
      <c r="A403" s="346"/>
      <c r="B403" s="346"/>
      <c r="C403" s="346"/>
      <c r="D403" s="346"/>
      <c r="E403" s="346"/>
      <c r="F403" s="346"/>
      <c r="G403" s="346"/>
    </row>
    <row r="404" spans="1:7" x14ac:dyDescent="0.4">
      <c r="A404" s="346"/>
      <c r="B404" s="346"/>
      <c r="C404" s="346"/>
      <c r="D404" s="346"/>
      <c r="E404" s="346"/>
      <c r="F404" s="346"/>
      <c r="G404" s="346"/>
    </row>
    <row r="405" spans="1:7" x14ac:dyDescent="0.4">
      <c r="A405" s="346"/>
      <c r="B405" s="346"/>
      <c r="C405" s="346"/>
      <c r="D405" s="346"/>
      <c r="E405" s="346"/>
      <c r="F405" s="346"/>
      <c r="G405" s="346"/>
    </row>
    <row r="406" spans="1:7" x14ac:dyDescent="0.4">
      <c r="A406" s="346"/>
      <c r="B406" s="346"/>
      <c r="C406" s="346"/>
      <c r="D406" s="346"/>
      <c r="E406" s="346"/>
      <c r="F406" s="346"/>
      <c r="G406" s="346"/>
    </row>
    <row r="407" spans="1:7" x14ac:dyDescent="0.4">
      <c r="A407" s="346"/>
      <c r="B407" s="346"/>
      <c r="C407" s="346"/>
      <c r="D407" s="346"/>
      <c r="E407" s="346"/>
      <c r="F407" s="346"/>
      <c r="G407" s="346"/>
    </row>
    <row r="408" spans="1:7" x14ac:dyDescent="0.4">
      <c r="A408" s="346"/>
      <c r="B408" s="346"/>
      <c r="C408" s="346"/>
      <c r="D408" s="346"/>
      <c r="E408" s="346"/>
      <c r="F408" s="346"/>
      <c r="G408" s="346"/>
    </row>
    <row r="409" spans="1:7" x14ac:dyDescent="0.4">
      <c r="A409" s="346"/>
      <c r="B409" s="346"/>
      <c r="C409" s="346"/>
      <c r="D409" s="346"/>
      <c r="E409" s="346"/>
      <c r="F409" s="346"/>
      <c r="G409" s="346"/>
    </row>
    <row r="410" spans="1:7" x14ac:dyDescent="0.4">
      <c r="A410" s="346"/>
      <c r="B410" s="346"/>
      <c r="C410" s="346"/>
      <c r="D410" s="346"/>
      <c r="E410" s="346"/>
      <c r="F410" s="346"/>
      <c r="G410" s="346"/>
    </row>
    <row r="411" spans="1:7" x14ac:dyDescent="0.4">
      <c r="A411" s="346"/>
      <c r="B411" s="346"/>
      <c r="C411" s="346"/>
      <c r="D411" s="346"/>
      <c r="E411" s="346"/>
      <c r="F411" s="346"/>
      <c r="G411" s="346"/>
    </row>
    <row r="412" spans="1:7" x14ac:dyDescent="0.4">
      <c r="A412" s="346"/>
      <c r="B412" s="346"/>
      <c r="C412" s="346"/>
      <c r="D412" s="346"/>
      <c r="E412" s="346"/>
      <c r="F412" s="346"/>
      <c r="G412" s="346"/>
    </row>
    <row r="413" spans="1:7" x14ac:dyDescent="0.4">
      <c r="A413" s="346"/>
      <c r="B413" s="346"/>
      <c r="C413" s="346"/>
      <c r="D413" s="346"/>
      <c r="E413" s="346"/>
      <c r="F413" s="346"/>
      <c r="G413" s="346"/>
    </row>
    <row r="414" spans="1:7" x14ac:dyDescent="0.4">
      <c r="A414" s="346"/>
      <c r="B414" s="346"/>
      <c r="C414" s="346"/>
      <c r="D414" s="346"/>
      <c r="E414" s="346"/>
      <c r="F414" s="346"/>
      <c r="G414" s="346"/>
    </row>
    <row r="415" spans="1:7" x14ac:dyDescent="0.4">
      <c r="A415" s="346"/>
      <c r="B415" s="346"/>
      <c r="C415" s="346"/>
      <c r="D415" s="346"/>
      <c r="E415" s="346"/>
      <c r="F415" s="346"/>
      <c r="G415" s="346"/>
    </row>
    <row r="416" spans="1:7" x14ac:dyDescent="0.4">
      <c r="A416" s="346"/>
      <c r="B416" s="346"/>
      <c r="C416" s="346"/>
      <c r="D416" s="346"/>
      <c r="E416" s="346"/>
      <c r="F416" s="346"/>
      <c r="G416" s="346"/>
    </row>
    <row r="417" spans="1:7" x14ac:dyDescent="0.4">
      <c r="A417" s="346"/>
      <c r="B417" s="346"/>
      <c r="C417" s="346"/>
      <c r="D417" s="346"/>
      <c r="E417" s="346"/>
      <c r="F417" s="346"/>
      <c r="G417" s="346"/>
    </row>
    <row r="418" spans="1:7" x14ac:dyDescent="0.4">
      <c r="A418" s="346"/>
      <c r="B418" s="346"/>
      <c r="C418" s="346"/>
      <c r="D418" s="346"/>
      <c r="E418" s="346"/>
      <c r="F418" s="346"/>
      <c r="G418" s="346"/>
    </row>
    <row r="419" spans="1:7" x14ac:dyDescent="0.4">
      <c r="A419" s="346"/>
      <c r="B419" s="346"/>
      <c r="C419" s="346"/>
      <c r="D419" s="346"/>
      <c r="E419" s="346"/>
      <c r="F419" s="346"/>
      <c r="G419" s="346"/>
    </row>
    <row r="420" spans="1:7" x14ac:dyDescent="0.4">
      <c r="A420" s="346"/>
      <c r="B420" s="346"/>
      <c r="C420" s="346"/>
      <c r="D420" s="346"/>
      <c r="E420" s="346"/>
      <c r="F420" s="346"/>
      <c r="G420" s="346"/>
    </row>
    <row r="421" spans="1:7" x14ac:dyDescent="0.4">
      <c r="A421" s="346"/>
      <c r="B421" s="346"/>
      <c r="C421" s="346"/>
      <c r="D421" s="346"/>
      <c r="E421" s="346"/>
      <c r="F421" s="346"/>
      <c r="G421" s="346"/>
    </row>
    <row r="422" spans="1:7" x14ac:dyDescent="0.4">
      <c r="A422" s="346"/>
      <c r="B422" s="346"/>
      <c r="C422" s="346"/>
      <c r="D422" s="346"/>
      <c r="E422" s="346"/>
      <c r="F422" s="346"/>
      <c r="G422" s="346"/>
    </row>
    <row r="423" spans="1:7" x14ac:dyDescent="0.4">
      <c r="A423" s="346"/>
      <c r="B423" s="346"/>
      <c r="C423" s="346"/>
      <c r="D423" s="346"/>
      <c r="E423" s="346"/>
      <c r="F423" s="346"/>
      <c r="G423" s="346"/>
    </row>
    <row r="424" spans="1:7" x14ac:dyDescent="0.4">
      <c r="A424" s="346"/>
      <c r="B424" s="346"/>
      <c r="C424" s="346"/>
      <c r="D424" s="346"/>
      <c r="E424" s="346"/>
      <c r="F424" s="346"/>
      <c r="G424" s="346"/>
    </row>
    <row r="425" spans="1:7" x14ac:dyDescent="0.4">
      <c r="A425" s="346"/>
      <c r="B425" s="346"/>
      <c r="C425" s="346"/>
      <c r="D425" s="346"/>
      <c r="E425" s="346"/>
      <c r="F425" s="346"/>
      <c r="G425" s="346"/>
    </row>
    <row r="426" spans="1:7" x14ac:dyDescent="0.4">
      <c r="A426" s="346"/>
      <c r="B426" s="346"/>
      <c r="C426" s="346"/>
      <c r="D426" s="346"/>
      <c r="E426" s="346"/>
      <c r="F426" s="346"/>
      <c r="G426" s="346"/>
    </row>
    <row r="427" spans="1:7" x14ac:dyDescent="0.4">
      <c r="A427" s="346"/>
      <c r="B427" s="346"/>
      <c r="C427" s="346"/>
      <c r="D427" s="346"/>
      <c r="E427" s="346"/>
      <c r="F427" s="346"/>
      <c r="G427" s="346"/>
    </row>
    <row r="428" spans="1:7" x14ac:dyDescent="0.4">
      <c r="A428" s="346"/>
      <c r="B428" s="346"/>
      <c r="C428" s="346"/>
      <c r="D428" s="346"/>
      <c r="E428" s="346"/>
      <c r="F428" s="346"/>
      <c r="G428" s="346"/>
    </row>
    <row r="429" spans="1:7" x14ac:dyDescent="0.4">
      <c r="A429" s="346"/>
      <c r="B429" s="346"/>
      <c r="C429" s="346"/>
      <c r="D429" s="346"/>
      <c r="E429" s="346"/>
      <c r="F429" s="346"/>
      <c r="G429" s="346"/>
    </row>
    <row r="430" spans="1:7" x14ac:dyDescent="0.4">
      <c r="A430" s="346"/>
      <c r="B430" s="346"/>
      <c r="C430" s="346"/>
      <c r="D430" s="346"/>
      <c r="E430" s="346"/>
      <c r="F430" s="346"/>
      <c r="G430" s="346"/>
    </row>
    <row r="431" spans="1:7" x14ac:dyDescent="0.4">
      <c r="A431" s="346"/>
      <c r="B431" s="346"/>
      <c r="C431" s="346"/>
      <c r="D431" s="346"/>
      <c r="E431" s="346"/>
      <c r="F431" s="346"/>
      <c r="G431" s="346"/>
    </row>
    <row r="432" spans="1:7" x14ac:dyDescent="0.4">
      <c r="A432" s="346"/>
      <c r="B432" s="346"/>
      <c r="C432" s="346"/>
      <c r="D432" s="346"/>
      <c r="E432" s="346"/>
      <c r="F432" s="346"/>
      <c r="G432" s="346"/>
    </row>
    <row r="433" spans="1:7" x14ac:dyDescent="0.4">
      <c r="A433" s="346"/>
      <c r="B433" s="346"/>
      <c r="C433" s="346"/>
      <c r="D433" s="346"/>
      <c r="E433" s="346"/>
      <c r="F433" s="346"/>
      <c r="G433" s="346"/>
    </row>
    <row r="434" spans="1:7" x14ac:dyDescent="0.4">
      <c r="A434" s="346"/>
      <c r="B434" s="346"/>
      <c r="C434" s="346"/>
      <c r="D434" s="346"/>
      <c r="E434" s="346"/>
      <c r="F434" s="346"/>
      <c r="G434" s="346"/>
    </row>
    <row r="435" spans="1:7" x14ac:dyDescent="0.4">
      <c r="A435" s="346"/>
      <c r="B435" s="346"/>
      <c r="C435" s="346"/>
      <c r="D435" s="346"/>
      <c r="E435" s="346"/>
      <c r="F435" s="346"/>
      <c r="G435" s="346"/>
    </row>
    <row r="436" spans="1:7" x14ac:dyDescent="0.4">
      <c r="A436" s="346"/>
      <c r="B436" s="346"/>
      <c r="C436" s="346"/>
      <c r="D436" s="346"/>
      <c r="E436" s="346"/>
      <c r="F436" s="346"/>
      <c r="G436" s="346"/>
    </row>
    <row r="437" spans="1:7" x14ac:dyDescent="0.4">
      <c r="A437" s="346"/>
      <c r="B437" s="346"/>
      <c r="C437" s="346"/>
      <c r="D437" s="346"/>
      <c r="E437" s="346"/>
      <c r="F437" s="346"/>
      <c r="G437" s="346"/>
    </row>
    <row r="438" spans="1:7" x14ac:dyDescent="0.4">
      <c r="A438" s="346"/>
      <c r="B438" s="346"/>
      <c r="C438" s="346"/>
      <c r="D438" s="346"/>
      <c r="E438" s="346"/>
      <c r="F438" s="346"/>
      <c r="G438" s="346"/>
    </row>
    <row r="439" spans="1:7" x14ac:dyDescent="0.4">
      <c r="A439" s="346"/>
      <c r="B439" s="346"/>
      <c r="C439" s="346"/>
      <c r="D439" s="346"/>
      <c r="E439" s="346"/>
      <c r="F439" s="346"/>
      <c r="G439" s="346"/>
    </row>
    <row r="440" spans="1:7" x14ac:dyDescent="0.4">
      <c r="A440" s="346"/>
      <c r="B440" s="346"/>
      <c r="C440" s="346"/>
      <c r="D440" s="346"/>
      <c r="E440" s="346"/>
      <c r="F440" s="346"/>
      <c r="G440" s="346"/>
    </row>
    <row r="441" spans="1:7" x14ac:dyDescent="0.4">
      <c r="A441" s="346"/>
      <c r="B441" s="346"/>
      <c r="C441" s="346"/>
      <c r="D441" s="346"/>
      <c r="E441" s="346"/>
      <c r="F441" s="346"/>
      <c r="G441" s="346"/>
    </row>
    <row r="442" spans="1:7" x14ac:dyDescent="0.4">
      <c r="A442" s="346"/>
      <c r="B442" s="346"/>
      <c r="C442" s="346"/>
      <c r="D442" s="346"/>
      <c r="E442" s="346"/>
      <c r="F442" s="346"/>
      <c r="G442" s="346"/>
    </row>
    <row r="443" spans="1:7" x14ac:dyDescent="0.4">
      <c r="A443" s="346"/>
      <c r="B443" s="346"/>
      <c r="C443" s="346"/>
      <c r="D443" s="346"/>
      <c r="E443" s="346"/>
      <c r="F443" s="346"/>
      <c r="G443" s="346"/>
    </row>
    <row r="444" spans="1:7" x14ac:dyDescent="0.4">
      <c r="A444" s="346"/>
      <c r="B444" s="346"/>
      <c r="C444" s="346"/>
      <c r="D444" s="346"/>
      <c r="E444" s="346"/>
      <c r="F444" s="346"/>
      <c r="G444" s="346"/>
    </row>
  </sheetData>
  <phoneticPr fontId="3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77D5-713E-4443-91A9-168E67AA77A8}">
  <sheetPr codeName="Sheet9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7.75" style="189" bestFit="1" customWidth="1"/>
    <col min="2" max="2" width="7.375" style="189" bestFit="1" customWidth="1"/>
    <col min="3" max="3" width="46.5" style="189" bestFit="1" customWidth="1"/>
    <col min="4" max="4" width="10" style="355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44"/>
      <c r="F2" s="344"/>
      <c r="G2" s="344"/>
      <c r="H2" s="345" t="s">
        <v>53</v>
      </c>
    </row>
    <row r="3" spans="1:8" x14ac:dyDescent="0.4">
      <c r="A3" s="346" t="s">
        <v>2501</v>
      </c>
      <c r="B3" s="346" t="s">
        <v>2311</v>
      </c>
      <c r="C3" s="346" t="s">
        <v>2502</v>
      </c>
      <c r="D3" s="354"/>
      <c r="E3" s="346"/>
      <c r="F3" s="346">
        <v>924</v>
      </c>
      <c r="G3" s="346"/>
      <c r="H3" s="345" t="s">
        <v>60</v>
      </c>
    </row>
    <row r="4" spans="1:8" x14ac:dyDescent="0.4">
      <c r="A4" s="346" t="s">
        <v>758</v>
      </c>
      <c r="B4" s="346"/>
      <c r="C4" s="346" t="s">
        <v>770</v>
      </c>
      <c r="D4" s="354"/>
      <c r="E4" s="346"/>
      <c r="F4" s="346"/>
      <c r="G4" s="346"/>
      <c r="H4" s="345" t="s">
        <v>64</v>
      </c>
    </row>
    <row r="5" spans="1:8" x14ac:dyDescent="0.4">
      <c r="A5" s="346" t="s">
        <v>759</v>
      </c>
      <c r="B5" s="346"/>
      <c r="C5" s="346" t="s">
        <v>771</v>
      </c>
      <c r="D5" s="354"/>
      <c r="E5" s="346"/>
      <c r="F5" s="346"/>
      <c r="G5" s="346"/>
      <c r="H5" s="345" t="s">
        <v>67</v>
      </c>
    </row>
    <row r="6" spans="1:8" x14ac:dyDescent="0.4">
      <c r="A6" s="346" t="s">
        <v>760</v>
      </c>
      <c r="B6" s="346"/>
      <c r="C6" s="346" t="s">
        <v>772</v>
      </c>
      <c r="D6" s="354" t="s">
        <v>56</v>
      </c>
      <c r="E6" s="346"/>
      <c r="F6" s="346"/>
      <c r="G6" s="346"/>
      <c r="H6" s="347" t="s">
        <v>70</v>
      </c>
    </row>
    <row r="7" spans="1:8" x14ac:dyDescent="0.4">
      <c r="A7" s="346" t="s">
        <v>761</v>
      </c>
      <c r="B7" s="346"/>
      <c r="C7" s="346" t="s">
        <v>773</v>
      </c>
      <c r="D7" s="354"/>
      <c r="E7" s="346"/>
      <c r="F7" s="346"/>
      <c r="G7" s="346"/>
      <c r="H7" s="345" t="s">
        <v>73</v>
      </c>
    </row>
    <row r="8" spans="1:8" x14ac:dyDescent="0.4">
      <c r="A8" s="346" t="s">
        <v>762</v>
      </c>
      <c r="B8" s="346"/>
      <c r="C8" s="346" t="s">
        <v>774</v>
      </c>
      <c r="D8" s="354" t="s">
        <v>782</v>
      </c>
      <c r="E8" s="346"/>
      <c r="F8" s="346"/>
      <c r="G8" s="346"/>
      <c r="H8" s="345" t="s">
        <v>77</v>
      </c>
    </row>
    <row r="9" spans="1:8" x14ac:dyDescent="0.4">
      <c r="A9" s="346" t="s">
        <v>763</v>
      </c>
      <c r="B9" s="346"/>
      <c r="C9" s="346" t="s">
        <v>775</v>
      </c>
      <c r="D9" s="354" t="s">
        <v>783</v>
      </c>
      <c r="E9" s="346"/>
      <c r="F9" s="346"/>
      <c r="G9" s="346"/>
      <c r="H9" s="345" t="s">
        <v>80</v>
      </c>
    </row>
    <row r="10" spans="1:8" x14ac:dyDescent="0.4">
      <c r="A10" s="346" t="s">
        <v>764</v>
      </c>
      <c r="B10" s="346"/>
      <c r="C10" s="346" t="s">
        <v>776</v>
      </c>
      <c r="D10" s="354" t="s">
        <v>784</v>
      </c>
      <c r="E10" s="346"/>
      <c r="F10" s="346"/>
      <c r="G10" s="346"/>
      <c r="H10" s="345" t="s">
        <v>83</v>
      </c>
    </row>
    <row r="11" spans="1:8" x14ac:dyDescent="0.4">
      <c r="A11" s="346" t="s">
        <v>765</v>
      </c>
      <c r="B11" s="346"/>
      <c r="C11" s="346" t="s">
        <v>777</v>
      </c>
      <c r="D11" s="354"/>
      <c r="E11" s="346"/>
      <c r="F11" s="346"/>
      <c r="G11" s="346"/>
      <c r="H11" s="345" t="s">
        <v>87</v>
      </c>
    </row>
    <row r="12" spans="1:8" x14ac:dyDescent="0.4">
      <c r="A12" s="346" t="s">
        <v>766</v>
      </c>
      <c r="B12" s="346"/>
      <c r="C12" s="346" t="s">
        <v>778</v>
      </c>
      <c r="D12" s="354" t="s">
        <v>785</v>
      </c>
      <c r="E12" s="346"/>
      <c r="F12" s="346"/>
      <c r="G12" s="346"/>
      <c r="H12" s="345" t="s">
        <v>90</v>
      </c>
    </row>
    <row r="13" spans="1:8" x14ac:dyDescent="0.4">
      <c r="A13" s="346" t="s">
        <v>767</v>
      </c>
      <c r="B13" s="346"/>
      <c r="C13" s="346" t="s">
        <v>779</v>
      </c>
      <c r="D13" s="354"/>
      <c r="E13" s="346"/>
      <c r="F13" s="346"/>
      <c r="G13" s="346"/>
      <c r="H13" s="345"/>
    </row>
    <row r="14" spans="1:8" x14ac:dyDescent="0.4">
      <c r="A14" s="346" t="s">
        <v>768</v>
      </c>
      <c r="B14" s="346"/>
      <c r="C14" s="346" t="s">
        <v>780</v>
      </c>
      <c r="D14" s="354" t="s">
        <v>786</v>
      </c>
      <c r="E14" s="346"/>
      <c r="F14" s="346"/>
      <c r="G14" s="346"/>
      <c r="H14" s="345"/>
    </row>
    <row r="15" spans="1:8" x14ac:dyDescent="0.4">
      <c r="A15" s="346" t="s">
        <v>769</v>
      </c>
      <c r="B15" s="346"/>
      <c r="C15" s="346" t="s">
        <v>781</v>
      </c>
      <c r="D15" s="354"/>
      <c r="E15" s="346"/>
      <c r="F15" s="346"/>
      <c r="G15" s="346"/>
      <c r="H15" s="345"/>
    </row>
    <row r="16" spans="1:8" x14ac:dyDescent="0.4">
      <c r="A16" s="346" t="s">
        <v>1057</v>
      </c>
      <c r="B16" s="346"/>
      <c r="C16" s="346" t="s">
        <v>1058</v>
      </c>
      <c r="D16" s="354"/>
      <c r="E16" s="346"/>
      <c r="F16" s="346"/>
      <c r="G16" s="346"/>
      <c r="H16" s="345"/>
    </row>
    <row r="17" spans="1:8" x14ac:dyDescent="0.4">
      <c r="A17" s="346"/>
      <c r="B17" s="346"/>
      <c r="C17" s="346"/>
      <c r="D17" s="354"/>
      <c r="E17" s="346"/>
      <c r="F17" s="346"/>
      <c r="G17" s="346"/>
      <c r="H17" s="345"/>
    </row>
    <row r="18" spans="1:8" x14ac:dyDescent="0.4">
      <c r="A18" s="346"/>
      <c r="B18" s="346"/>
      <c r="C18" s="346"/>
      <c r="D18" s="354"/>
      <c r="E18" s="346"/>
      <c r="F18" s="346"/>
      <c r="G18" s="346"/>
      <c r="H18" s="345"/>
    </row>
    <row r="19" spans="1:8" x14ac:dyDescent="0.4">
      <c r="A19" s="346"/>
      <c r="B19" s="346"/>
      <c r="C19" s="346"/>
      <c r="D19" s="354"/>
      <c r="E19" s="346"/>
      <c r="F19" s="346"/>
      <c r="G19" s="346"/>
      <c r="H19" s="345"/>
    </row>
    <row r="20" spans="1:8" x14ac:dyDescent="0.4">
      <c r="A20" s="346"/>
      <c r="B20" s="346"/>
      <c r="C20" s="346"/>
      <c r="D20" s="354"/>
      <c r="E20" s="346"/>
      <c r="F20" s="346"/>
      <c r="G20" s="346"/>
      <c r="H20" s="345"/>
    </row>
    <row r="21" spans="1:8" x14ac:dyDescent="0.4">
      <c r="A21" s="346"/>
      <c r="B21" s="346"/>
      <c r="C21" s="346"/>
      <c r="D21" s="354"/>
      <c r="E21" s="346"/>
      <c r="F21" s="346"/>
      <c r="G21" s="346"/>
      <c r="H21" s="345"/>
    </row>
    <row r="22" spans="1:8" x14ac:dyDescent="0.4">
      <c r="A22" s="346"/>
      <c r="B22" s="346"/>
      <c r="C22" s="346"/>
      <c r="D22" s="354"/>
      <c r="E22" s="346"/>
      <c r="F22" s="346"/>
      <c r="G22" s="346"/>
      <c r="H22" s="345"/>
    </row>
    <row r="23" spans="1:8" x14ac:dyDescent="0.4">
      <c r="A23" s="346"/>
      <c r="B23" s="346"/>
      <c r="C23" s="346"/>
      <c r="D23" s="354"/>
      <c r="E23" s="346"/>
      <c r="F23" s="346"/>
      <c r="G23" s="346"/>
      <c r="H23" s="345"/>
    </row>
    <row r="24" spans="1:8" x14ac:dyDescent="0.4">
      <c r="A24" s="346"/>
      <c r="B24" s="346"/>
      <c r="C24" s="346"/>
      <c r="D24" s="354"/>
      <c r="E24" s="346"/>
      <c r="F24" s="346"/>
      <c r="G24" s="346"/>
      <c r="H24" s="345"/>
    </row>
    <row r="25" spans="1:8" x14ac:dyDescent="0.4">
      <c r="A25" s="346"/>
      <c r="B25" s="346"/>
      <c r="C25" s="346"/>
      <c r="D25" s="354"/>
      <c r="E25" s="346"/>
      <c r="F25" s="346"/>
      <c r="G25" s="346"/>
      <c r="H25" s="345"/>
    </row>
    <row r="26" spans="1:8" x14ac:dyDescent="0.4">
      <c r="A26" s="346"/>
      <c r="B26" s="346"/>
      <c r="C26" s="346"/>
      <c r="D26" s="354"/>
      <c r="E26" s="346"/>
      <c r="F26" s="346"/>
      <c r="G26" s="346"/>
      <c r="H26" s="345"/>
    </row>
    <row r="27" spans="1:8" x14ac:dyDescent="0.4">
      <c r="A27" s="346"/>
      <c r="B27" s="346"/>
      <c r="C27" s="346"/>
      <c r="D27" s="354"/>
      <c r="E27" s="346"/>
      <c r="F27" s="346"/>
      <c r="G27" s="346"/>
      <c r="H27" s="345"/>
    </row>
    <row r="28" spans="1:8" x14ac:dyDescent="0.4">
      <c r="A28" s="346"/>
      <c r="B28" s="346"/>
      <c r="C28" s="346"/>
      <c r="D28" s="354"/>
      <c r="E28" s="346"/>
      <c r="F28" s="346"/>
      <c r="G28" s="346"/>
      <c r="H28" s="345"/>
    </row>
    <row r="29" spans="1:8" x14ac:dyDescent="0.4">
      <c r="A29" s="346"/>
      <c r="B29" s="346"/>
      <c r="C29" s="346"/>
      <c r="D29" s="354"/>
      <c r="E29" s="346"/>
      <c r="F29" s="346"/>
      <c r="G29" s="346"/>
      <c r="H29" s="345"/>
    </row>
    <row r="30" spans="1:8" x14ac:dyDescent="0.4">
      <c r="A30" s="346"/>
      <c r="B30" s="346"/>
      <c r="C30" s="346"/>
      <c r="D30" s="354"/>
      <c r="E30" s="346"/>
      <c r="F30" s="346"/>
      <c r="G30" s="346"/>
      <c r="H30" s="345"/>
    </row>
    <row r="31" spans="1:8" x14ac:dyDescent="0.4">
      <c r="A31" s="346"/>
      <c r="B31" s="346"/>
      <c r="C31" s="346"/>
      <c r="D31" s="354"/>
      <c r="E31" s="346"/>
      <c r="F31" s="346"/>
      <c r="G31" s="346"/>
      <c r="H31" s="345"/>
    </row>
    <row r="32" spans="1:8" x14ac:dyDescent="0.4">
      <c r="A32" s="346"/>
      <c r="B32" s="346"/>
      <c r="C32" s="346"/>
      <c r="D32" s="354"/>
      <c r="E32" s="346"/>
      <c r="F32" s="346"/>
      <c r="G32" s="346"/>
      <c r="H32" s="345"/>
    </row>
    <row r="33" spans="1:8" x14ac:dyDescent="0.4">
      <c r="A33" s="346"/>
      <c r="B33" s="346"/>
      <c r="C33" s="346"/>
      <c r="D33" s="354"/>
      <c r="E33" s="346"/>
      <c r="F33" s="346"/>
      <c r="G33" s="346"/>
      <c r="H33" s="345"/>
    </row>
    <row r="34" spans="1:8" x14ac:dyDescent="0.4">
      <c r="A34" s="346"/>
      <c r="B34" s="346"/>
      <c r="C34" s="346"/>
      <c r="D34" s="354"/>
      <c r="E34" s="346"/>
      <c r="F34" s="346"/>
      <c r="G34" s="346"/>
      <c r="H34" s="345"/>
    </row>
    <row r="35" spans="1:8" x14ac:dyDescent="0.4">
      <c r="A35" s="346"/>
      <c r="B35" s="346"/>
      <c r="C35" s="346"/>
      <c r="D35" s="354"/>
      <c r="E35" s="346"/>
      <c r="F35" s="346"/>
      <c r="G35" s="346"/>
      <c r="H35" s="345"/>
    </row>
    <row r="36" spans="1:8" x14ac:dyDescent="0.4">
      <c r="A36" s="346"/>
      <c r="B36" s="346"/>
      <c r="C36" s="346"/>
      <c r="D36" s="354"/>
      <c r="E36" s="346"/>
      <c r="F36" s="346"/>
      <c r="G36" s="346"/>
      <c r="H36" s="345"/>
    </row>
    <row r="37" spans="1:8" x14ac:dyDescent="0.4">
      <c r="A37" s="346"/>
      <c r="B37" s="346"/>
      <c r="C37" s="346"/>
      <c r="D37" s="354"/>
      <c r="E37" s="346"/>
      <c r="F37" s="346"/>
      <c r="G37" s="346"/>
      <c r="H37" s="345"/>
    </row>
    <row r="38" spans="1:8" x14ac:dyDescent="0.4">
      <c r="A38" s="346"/>
      <c r="B38" s="346"/>
      <c r="C38" s="346"/>
      <c r="D38" s="354"/>
      <c r="E38" s="346"/>
      <c r="F38" s="346"/>
      <c r="G38" s="346"/>
      <c r="H38" s="345"/>
    </row>
    <row r="39" spans="1:8" x14ac:dyDescent="0.4">
      <c r="A39" s="346"/>
      <c r="B39" s="346"/>
      <c r="C39" s="346"/>
      <c r="D39" s="354"/>
      <c r="E39" s="346"/>
      <c r="F39" s="346"/>
      <c r="G39" s="346"/>
      <c r="H39" s="345"/>
    </row>
    <row r="40" spans="1:8" x14ac:dyDescent="0.4">
      <c r="A40" s="346"/>
      <c r="B40" s="346"/>
      <c r="C40" s="346"/>
      <c r="D40" s="354"/>
      <c r="E40" s="346"/>
      <c r="F40" s="346"/>
      <c r="G40" s="346"/>
      <c r="H40" s="345"/>
    </row>
    <row r="41" spans="1:8" x14ac:dyDescent="0.4">
      <c r="A41" s="346"/>
      <c r="B41" s="346"/>
      <c r="C41" s="346"/>
      <c r="D41" s="354"/>
      <c r="E41" s="346"/>
      <c r="F41" s="346"/>
      <c r="G41" s="346"/>
      <c r="H41" s="345"/>
    </row>
    <row r="42" spans="1:8" x14ac:dyDescent="0.4">
      <c r="A42" s="346"/>
      <c r="B42" s="346"/>
      <c r="C42" s="346"/>
      <c r="D42" s="354"/>
      <c r="E42" s="346"/>
      <c r="F42" s="346"/>
      <c r="G42" s="346"/>
      <c r="H42" s="345"/>
    </row>
    <row r="43" spans="1:8" x14ac:dyDescent="0.4">
      <c r="A43" s="346"/>
      <c r="B43" s="346"/>
      <c r="C43" s="346"/>
      <c r="D43" s="354"/>
      <c r="E43" s="346"/>
      <c r="F43" s="346"/>
      <c r="G43" s="346"/>
      <c r="H43" s="345"/>
    </row>
    <row r="44" spans="1:8" x14ac:dyDescent="0.4">
      <c r="A44" s="346"/>
      <c r="B44" s="346"/>
      <c r="C44" s="346"/>
      <c r="D44" s="354"/>
      <c r="E44" s="346"/>
      <c r="F44" s="346"/>
      <c r="G44" s="346"/>
      <c r="H44" s="345"/>
    </row>
    <row r="45" spans="1:8" x14ac:dyDescent="0.4">
      <c r="A45" s="346"/>
      <c r="B45" s="346"/>
      <c r="C45" s="346"/>
      <c r="D45" s="354"/>
      <c r="E45" s="346"/>
      <c r="F45" s="346"/>
      <c r="G45" s="346"/>
      <c r="H45" s="345"/>
    </row>
    <row r="46" spans="1:8" x14ac:dyDescent="0.4">
      <c r="A46" s="346"/>
      <c r="B46" s="346"/>
      <c r="C46" s="346"/>
      <c r="D46" s="354"/>
      <c r="E46" s="346"/>
      <c r="F46" s="346"/>
      <c r="G46" s="346"/>
      <c r="H46" s="345"/>
    </row>
    <row r="47" spans="1:8" x14ac:dyDescent="0.4">
      <c r="A47" s="346"/>
      <c r="B47" s="346"/>
      <c r="C47" s="346"/>
      <c r="D47" s="354"/>
      <c r="E47" s="346"/>
      <c r="F47" s="346"/>
      <c r="G47" s="346"/>
      <c r="H47" s="345"/>
    </row>
    <row r="48" spans="1:8" x14ac:dyDescent="0.4">
      <c r="A48" s="346"/>
      <c r="B48" s="346"/>
      <c r="C48" s="346"/>
      <c r="D48" s="354"/>
      <c r="E48" s="346"/>
      <c r="F48" s="346"/>
      <c r="G48" s="346"/>
      <c r="H48" s="345"/>
    </row>
    <row r="49" spans="1:8" x14ac:dyDescent="0.4">
      <c r="A49" s="346"/>
      <c r="B49" s="346"/>
      <c r="C49" s="346"/>
      <c r="D49" s="354"/>
      <c r="E49" s="346"/>
      <c r="F49" s="346"/>
      <c r="G49" s="346"/>
      <c r="H49" s="345"/>
    </row>
    <row r="50" spans="1:8" x14ac:dyDescent="0.4">
      <c r="A50" s="346"/>
      <c r="B50" s="346"/>
      <c r="C50" s="346"/>
      <c r="D50" s="354"/>
      <c r="E50" s="346"/>
      <c r="F50" s="346"/>
      <c r="G50" s="346"/>
      <c r="H50" s="345"/>
    </row>
    <row r="51" spans="1:8" x14ac:dyDescent="0.4">
      <c r="A51" s="346"/>
      <c r="B51" s="346"/>
      <c r="C51" s="346"/>
      <c r="D51" s="354"/>
      <c r="E51" s="346"/>
      <c r="F51" s="346"/>
      <c r="G51" s="346"/>
      <c r="H51" s="345"/>
    </row>
    <row r="52" spans="1:8" x14ac:dyDescent="0.4">
      <c r="A52" s="346"/>
      <c r="B52" s="346"/>
      <c r="C52" s="346"/>
      <c r="D52" s="354"/>
      <c r="E52" s="346"/>
      <c r="F52" s="346"/>
      <c r="G52" s="346"/>
      <c r="H52" s="345"/>
    </row>
    <row r="53" spans="1:8" x14ac:dyDescent="0.4">
      <c r="A53" s="346"/>
      <c r="B53" s="346"/>
      <c r="C53" s="346"/>
      <c r="D53" s="354"/>
      <c r="E53" s="346"/>
      <c r="F53" s="346"/>
      <c r="G53" s="346"/>
      <c r="H53" s="345"/>
    </row>
    <row r="54" spans="1:8" x14ac:dyDescent="0.4">
      <c r="A54" s="346"/>
      <c r="B54" s="346"/>
      <c r="C54" s="346"/>
      <c r="D54" s="354"/>
      <c r="E54" s="346"/>
      <c r="F54" s="346"/>
      <c r="G54" s="346"/>
      <c r="H54" s="345"/>
    </row>
    <row r="55" spans="1:8" x14ac:dyDescent="0.4">
      <c r="A55" s="346"/>
      <c r="B55" s="346"/>
      <c r="C55" s="346"/>
      <c r="D55" s="354"/>
      <c r="E55" s="346"/>
      <c r="F55" s="346"/>
      <c r="G55" s="346"/>
      <c r="H55" s="345"/>
    </row>
    <row r="56" spans="1:8" x14ac:dyDescent="0.4">
      <c r="A56" s="346"/>
      <c r="B56" s="346"/>
      <c r="C56" s="346"/>
      <c r="D56" s="354"/>
      <c r="E56" s="346"/>
      <c r="F56" s="346"/>
      <c r="G56" s="346"/>
      <c r="H56" s="345"/>
    </row>
    <row r="57" spans="1:8" x14ac:dyDescent="0.4">
      <c r="A57" s="346"/>
      <c r="B57" s="346"/>
      <c r="C57" s="346"/>
      <c r="D57" s="354"/>
      <c r="E57" s="346"/>
      <c r="F57" s="346"/>
      <c r="G57" s="346"/>
      <c r="H57" s="345"/>
    </row>
    <row r="58" spans="1:8" x14ac:dyDescent="0.4">
      <c r="A58" s="346"/>
      <c r="B58" s="346"/>
      <c r="C58" s="346"/>
      <c r="D58" s="354"/>
      <c r="E58" s="346"/>
      <c r="F58" s="346"/>
      <c r="G58" s="346"/>
      <c r="H58" s="345"/>
    </row>
    <row r="59" spans="1:8" x14ac:dyDescent="0.4">
      <c r="A59" s="346"/>
      <c r="B59" s="346"/>
      <c r="C59" s="346"/>
      <c r="D59" s="354"/>
      <c r="E59" s="346"/>
      <c r="F59" s="346"/>
      <c r="G59" s="346"/>
      <c r="H59" s="345"/>
    </row>
    <row r="60" spans="1:8" x14ac:dyDescent="0.4">
      <c r="A60" s="346"/>
      <c r="B60" s="346"/>
      <c r="C60" s="346"/>
      <c r="D60" s="354"/>
      <c r="E60" s="346"/>
      <c r="F60" s="346"/>
      <c r="G60" s="346"/>
      <c r="H60" s="345"/>
    </row>
    <row r="61" spans="1:8" x14ac:dyDescent="0.4">
      <c r="A61" s="346"/>
      <c r="B61" s="346"/>
      <c r="C61" s="346"/>
      <c r="D61" s="354"/>
      <c r="E61" s="346"/>
      <c r="F61" s="346"/>
      <c r="G61" s="346"/>
      <c r="H61" s="345"/>
    </row>
    <row r="62" spans="1:8" x14ac:dyDescent="0.4">
      <c r="A62" s="346"/>
      <c r="B62" s="346"/>
      <c r="C62" s="346"/>
      <c r="D62" s="354"/>
      <c r="E62" s="346"/>
      <c r="F62" s="346"/>
      <c r="G62" s="346"/>
      <c r="H62" s="345"/>
    </row>
    <row r="63" spans="1:8" x14ac:dyDescent="0.4">
      <c r="A63" s="346"/>
      <c r="B63" s="346"/>
      <c r="C63" s="346"/>
      <c r="D63" s="354"/>
      <c r="E63" s="346"/>
      <c r="F63" s="346"/>
      <c r="G63" s="346"/>
      <c r="H63" s="345"/>
    </row>
    <row r="64" spans="1:8" x14ac:dyDescent="0.4">
      <c r="A64" s="346"/>
      <c r="B64" s="346"/>
      <c r="C64" s="346"/>
      <c r="D64" s="354"/>
      <c r="E64" s="346"/>
      <c r="F64" s="346"/>
      <c r="G64" s="346"/>
      <c r="H64" s="345"/>
    </row>
    <row r="65" spans="1:8" x14ac:dyDescent="0.4">
      <c r="A65" s="344"/>
      <c r="B65" s="344" t="s">
        <v>60</v>
      </c>
      <c r="C65" s="344"/>
      <c r="D65" s="353"/>
      <c r="E65" s="344"/>
      <c r="F65" s="344"/>
      <c r="G65" s="344"/>
      <c r="H65" s="345"/>
    </row>
    <row r="66" spans="1:8" x14ac:dyDescent="0.4">
      <c r="A66" s="346" t="s">
        <v>2486</v>
      </c>
      <c r="B66" s="346" t="s">
        <v>2318</v>
      </c>
      <c r="C66" s="346" t="s">
        <v>2487</v>
      </c>
      <c r="D66" s="354" t="s">
        <v>2488</v>
      </c>
      <c r="E66" s="346"/>
      <c r="F66" s="346"/>
      <c r="G66" s="346"/>
      <c r="H66" s="345"/>
    </row>
    <row r="67" spans="1:8" x14ac:dyDescent="0.4">
      <c r="A67" s="346" t="s">
        <v>787</v>
      </c>
      <c r="B67" s="346"/>
      <c r="C67" s="346" t="s">
        <v>794</v>
      </c>
      <c r="D67" s="354"/>
      <c r="E67" s="346"/>
      <c r="F67" s="346"/>
      <c r="G67" s="346"/>
      <c r="H67" s="345"/>
    </row>
    <row r="68" spans="1:8" x14ac:dyDescent="0.4">
      <c r="A68" s="346" t="s">
        <v>788</v>
      </c>
      <c r="B68" s="346"/>
      <c r="C68" s="346" t="s">
        <v>795</v>
      </c>
      <c r="D68" s="354" t="s">
        <v>796</v>
      </c>
      <c r="E68" s="346"/>
      <c r="F68" s="346"/>
      <c r="G68" s="346"/>
      <c r="H68" s="345"/>
    </row>
    <row r="69" spans="1:8" x14ac:dyDescent="0.4">
      <c r="A69" s="346" t="s">
        <v>789</v>
      </c>
      <c r="B69" s="346"/>
      <c r="C69" s="346" t="s">
        <v>797</v>
      </c>
      <c r="D69" s="354"/>
      <c r="E69" s="346"/>
      <c r="F69" s="346"/>
      <c r="G69" s="346"/>
      <c r="H69" s="345"/>
    </row>
    <row r="70" spans="1:8" x14ac:dyDescent="0.4">
      <c r="A70" s="346" t="s">
        <v>790</v>
      </c>
      <c r="B70" s="346"/>
      <c r="C70" s="346" t="s">
        <v>798</v>
      </c>
      <c r="D70" s="354" t="s">
        <v>799</v>
      </c>
      <c r="E70" s="346"/>
      <c r="F70" s="346"/>
      <c r="G70" s="346"/>
      <c r="H70" s="345"/>
    </row>
    <row r="71" spans="1:8" x14ac:dyDescent="0.4">
      <c r="A71" s="346" t="s">
        <v>791</v>
      </c>
      <c r="B71" s="346"/>
      <c r="C71" s="346" t="s">
        <v>800</v>
      </c>
      <c r="D71" s="354"/>
      <c r="E71" s="346"/>
      <c r="F71" s="346"/>
      <c r="G71" s="346"/>
      <c r="H71" s="345"/>
    </row>
    <row r="72" spans="1:8" x14ac:dyDescent="0.4">
      <c r="A72" s="346" t="s">
        <v>792</v>
      </c>
      <c r="B72" s="346"/>
      <c r="C72" s="346"/>
      <c r="D72" s="354"/>
      <c r="E72" s="346"/>
      <c r="F72" s="346"/>
      <c r="G72" s="346"/>
      <c r="H72" s="345"/>
    </row>
    <row r="73" spans="1:8" x14ac:dyDescent="0.4">
      <c r="A73" s="346" t="s">
        <v>793</v>
      </c>
      <c r="B73" s="346"/>
      <c r="C73" s="346" t="s">
        <v>801</v>
      </c>
      <c r="D73" s="354"/>
      <c r="E73" s="346"/>
      <c r="F73" s="346"/>
      <c r="G73" s="346"/>
      <c r="H73" s="345"/>
    </row>
    <row r="74" spans="1:8" x14ac:dyDescent="0.4">
      <c r="A74" s="346" t="s">
        <v>2489</v>
      </c>
      <c r="B74" s="346" t="s">
        <v>2318</v>
      </c>
      <c r="C74" s="346" t="s">
        <v>2487</v>
      </c>
      <c r="D74" s="354" t="s">
        <v>2488</v>
      </c>
      <c r="E74" s="346"/>
      <c r="F74" s="346"/>
      <c r="G74" s="346"/>
      <c r="H74" s="345"/>
    </row>
    <row r="75" spans="1:8" x14ac:dyDescent="0.4">
      <c r="A75" s="346"/>
      <c r="B75" s="346"/>
      <c r="C75" s="346"/>
      <c r="D75" s="354"/>
      <c r="E75" s="346"/>
      <c r="F75" s="346"/>
      <c r="G75" s="346"/>
      <c r="H75" s="345"/>
    </row>
    <row r="76" spans="1:8" x14ac:dyDescent="0.4">
      <c r="A76" s="346"/>
      <c r="B76" s="346"/>
      <c r="C76" s="346"/>
      <c r="D76" s="354"/>
      <c r="E76" s="346"/>
      <c r="F76" s="346"/>
      <c r="G76" s="346"/>
      <c r="H76" s="345"/>
    </row>
    <row r="77" spans="1:8" x14ac:dyDescent="0.4">
      <c r="A77" s="346"/>
      <c r="B77" s="346"/>
      <c r="C77" s="346"/>
      <c r="D77" s="354"/>
      <c r="E77" s="346"/>
      <c r="F77" s="346"/>
      <c r="G77" s="346"/>
      <c r="H77" s="345"/>
    </row>
    <row r="78" spans="1:8" x14ac:dyDescent="0.4">
      <c r="A78" s="346"/>
      <c r="B78" s="346"/>
      <c r="C78" s="346"/>
      <c r="D78" s="354"/>
      <c r="E78" s="346"/>
      <c r="F78" s="346"/>
      <c r="G78" s="346"/>
      <c r="H78" s="345"/>
    </row>
    <row r="79" spans="1:8" x14ac:dyDescent="0.4">
      <c r="A79" s="346"/>
      <c r="B79" s="346"/>
      <c r="C79" s="346"/>
      <c r="D79" s="354"/>
      <c r="E79" s="346"/>
      <c r="F79" s="346"/>
      <c r="G79" s="346"/>
      <c r="H79" s="345"/>
    </row>
    <row r="80" spans="1:8" x14ac:dyDescent="0.4">
      <c r="A80" s="346"/>
      <c r="B80" s="346"/>
      <c r="C80" s="346"/>
      <c r="D80" s="354"/>
      <c r="E80" s="346"/>
      <c r="F80" s="346"/>
      <c r="G80" s="346"/>
      <c r="H80" s="345"/>
    </row>
    <row r="81" spans="1:8" x14ac:dyDescent="0.4">
      <c r="A81" s="346"/>
      <c r="B81" s="346"/>
      <c r="C81" s="346"/>
      <c r="D81" s="354"/>
      <c r="E81" s="346"/>
      <c r="F81" s="346"/>
      <c r="G81" s="346"/>
      <c r="H81" s="345"/>
    </row>
    <row r="82" spans="1:8" x14ac:dyDescent="0.4">
      <c r="A82" s="346"/>
      <c r="B82" s="346"/>
      <c r="C82" s="346"/>
      <c r="D82" s="354"/>
      <c r="E82" s="346"/>
      <c r="F82" s="346"/>
      <c r="G82" s="346"/>
      <c r="H82" s="345"/>
    </row>
    <row r="83" spans="1:8" x14ac:dyDescent="0.4">
      <c r="A83" s="346"/>
      <c r="B83" s="346"/>
      <c r="C83" s="346"/>
      <c r="D83" s="354"/>
      <c r="E83" s="346"/>
      <c r="F83" s="346"/>
      <c r="G83" s="346"/>
      <c r="H83" s="345"/>
    </row>
    <row r="84" spans="1:8" x14ac:dyDescent="0.4">
      <c r="A84" s="346"/>
      <c r="B84" s="346"/>
      <c r="C84" s="346"/>
      <c r="D84" s="354"/>
      <c r="E84" s="346"/>
      <c r="F84" s="346"/>
      <c r="G84" s="346"/>
      <c r="H84" s="345"/>
    </row>
    <row r="85" spans="1:8" x14ac:dyDescent="0.4">
      <c r="A85" s="346"/>
      <c r="B85" s="346"/>
      <c r="C85" s="346"/>
      <c r="D85" s="354"/>
      <c r="E85" s="346"/>
      <c r="F85" s="346"/>
      <c r="G85" s="346"/>
      <c r="H85" s="345"/>
    </row>
    <row r="86" spans="1:8" x14ac:dyDescent="0.4">
      <c r="A86" s="346"/>
      <c r="B86" s="346"/>
      <c r="C86" s="346"/>
      <c r="D86" s="354"/>
      <c r="E86" s="346"/>
      <c r="F86" s="346"/>
      <c r="G86" s="346"/>
      <c r="H86" s="345"/>
    </row>
    <row r="87" spans="1:8" x14ac:dyDescent="0.4">
      <c r="A87" s="346"/>
      <c r="B87" s="346"/>
      <c r="C87" s="346"/>
      <c r="D87" s="354"/>
      <c r="E87" s="346"/>
      <c r="F87" s="346"/>
      <c r="G87" s="346"/>
      <c r="H87" s="345"/>
    </row>
    <row r="88" spans="1:8" x14ac:dyDescent="0.4">
      <c r="A88" s="346"/>
      <c r="B88" s="346"/>
      <c r="C88" s="346"/>
      <c r="D88" s="354"/>
      <c r="E88" s="346"/>
      <c r="F88" s="346"/>
      <c r="G88" s="346"/>
      <c r="H88" s="345"/>
    </row>
    <row r="89" spans="1:8" x14ac:dyDescent="0.4">
      <c r="A89" s="346"/>
      <c r="B89" s="346"/>
      <c r="C89" s="346"/>
      <c r="D89" s="354"/>
      <c r="E89" s="346"/>
      <c r="F89" s="346"/>
      <c r="G89" s="346"/>
      <c r="H89" s="345"/>
    </row>
    <row r="90" spans="1:8" x14ac:dyDescent="0.4">
      <c r="A90" s="346"/>
      <c r="B90" s="346"/>
      <c r="C90" s="346"/>
      <c r="D90" s="354"/>
      <c r="E90" s="346"/>
      <c r="F90" s="346"/>
      <c r="G90" s="346"/>
      <c r="H90" s="345"/>
    </row>
    <row r="91" spans="1:8" x14ac:dyDescent="0.4">
      <c r="A91" s="346"/>
      <c r="B91" s="346"/>
      <c r="C91" s="346"/>
      <c r="D91" s="354"/>
      <c r="E91" s="346"/>
      <c r="F91" s="346"/>
      <c r="G91" s="346"/>
      <c r="H91" s="345"/>
    </row>
    <row r="92" spans="1:8" x14ac:dyDescent="0.4">
      <c r="A92" s="346"/>
      <c r="B92" s="346"/>
      <c r="C92" s="346"/>
      <c r="D92" s="354"/>
      <c r="E92" s="346"/>
      <c r="F92" s="346"/>
      <c r="G92" s="346"/>
      <c r="H92" s="345"/>
    </row>
    <row r="93" spans="1:8" x14ac:dyDescent="0.4">
      <c r="A93" s="346"/>
      <c r="B93" s="346"/>
      <c r="C93" s="346"/>
      <c r="D93" s="354"/>
      <c r="E93" s="346"/>
      <c r="F93" s="346"/>
      <c r="G93" s="346"/>
      <c r="H93" s="345"/>
    </row>
    <row r="94" spans="1:8" x14ac:dyDescent="0.4">
      <c r="A94" s="346"/>
      <c r="B94" s="346"/>
      <c r="C94" s="346"/>
      <c r="D94" s="354"/>
      <c r="E94" s="346"/>
      <c r="F94" s="346"/>
      <c r="G94" s="346"/>
      <c r="H94" s="345"/>
    </row>
    <row r="95" spans="1:8" x14ac:dyDescent="0.4">
      <c r="A95" s="346"/>
      <c r="B95" s="346"/>
      <c r="C95" s="346"/>
      <c r="D95" s="354"/>
      <c r="E95" s="346"/>
      <c r="F95" s="346"/>
      <c r="G95" s="346"/>
      <c r="H95" s="345"/>
    </row>
    <row r="96" spans="1:8" x14ac:dyDescent="0.4">
      <c r="A96" s="346"/>
      <c r="B96" s="346"/>
      <c r="C96" s="346"/>
      <c r="D96" s="354"/>
      <c r="E96" s="346"/>
      <c r="F96" s="346"/>
      <c r="G96" s="346"/>
      <c r="H96" s="345"/>
    </row>
    <row r="97" spans="1:8" x14ac:dyDescent="0.4">
      <c r="A97" s="346"/>
      <c r="B97" s="346"/>
      <c r="C97" s="346"/>
      <c r="D97" s="354"/>
      <c r="E97" s="346"/>
      <c r="F97" s="346"/>
      <c r="G97" s="346"/>
      <c r="H97" s="345"/>
    </row>
    <row r="98" spans="1:8" x14ac:dyDescent="0.4">
      <c r="A98" s="346"/>
      <c r="B98" s="346"/>
      <c r="C98" s="346"/>
      <c r="D98" s="354"/>
      <c r="E98" s="346"/>
      <c r="F98" s="346"/>
      <c r="G98" s="346"/>
      <c r="H98" s="345"/>
    </row>
    <row r="99" spans="1:8" x14ac:dyDescent="0.4">
      <c r="A99" s="346"/>
      <c r="B99" s="346"/>
      <c r="C99" s="346"/>
      <c r="D99" s="354"/>
      <c r="E99" s="346"/>
      <c r="F99" s="346"/>
      <c r="G99" s="346"/>
      <c r="H99" s="345"/>
    </row>
    <row r="100" spans="1:8" x14ac:dyDescent="0.4">
      <c r="A100" s="346"/>
      <c r="B100" s="346"/>
      <c r="C100" s="346"/>
      <c r="D100" s="354"/>
      <c r="E100" s="346"/>
      <c r="F100" s="346"/>
      <c r="G100" s="346"/>
      <c r="H100" s="345"/>
    </row>
    <row r="101" spans="1:8" x14ac:dyDescent="0.4">
      <c r="A101" s="344"/>
      <c r="B101" s="344" t="s">
        <v>64</v>
      </c>
      <c r="C101" s="344"/>
      <c r="D101" s="353"/>
      <c r="E101" s="344"/>
      <c r="F101" s="344"/>
      <c r="G101" s="344"/>
      <c r="H101" s="345"/>
    </row>
    <row r="102" spans="1:8" x14ac:dyDescent="0.4">
      <c r="A102" s="346" t="s">
        <v>2810</v>
      </c>
      <c r="B102" s="346" t="s">
        <v>2312</v>
      </c>
      <c r="C102" s="346" t="s">
        <v>2811</v>
      </c>
      <c r="D102" s="354" t="s">
        <v>2455</v>
      </c>
      <c r="E102" s="346"/>
      <c r="F102" s="346"/>
      <c r="G102" s="346"/>
      <c r="H102" s="345"/>
    </row>
    <row r="103" spans="1:8" x14ac:dyDescent="0.4">
      <c r="A103" s="346" t="s">
        <v>802</v>
      </c>
      <c r="B103" s="346"/>
      <c r="C103" s="346" t="s">
        <v>806</v>
      </c>
      <c r="D103" s="354"/>
      <c r="E103" s="346"/>
      <c r="F103" s="346"/>
      <c r="G103" s="346"/>
      <c r="H103" s="345"/>
    </row>
    <row r="104" spans="1:8" x14ac:dyDescent="0.4">
      <c r="A104" s="346" t="s">
        <v>803</v>
      </c>
      <c r="B104" s="346"/>
      <c r="C104" s="346" t="s">
        <v>807</v>
      </c>
      <c r="D104" s="354"/>
      <c r="E104" s="346"/>
      <c r="F104" s="346"/>
      <c r="G104" s="346"/>
      <c r="H104" s="345"/>
    </row>
    <row r="105" spans="1:8" x14ac:dyDescent="0.4">
      <c r="A105" s="346" t="s">
        <v>804</v>
      </c>
      <c r="B105" s="346"/>
      <c r="C105" s="346" t="s">
        <v>808</v>
      </c>
      <c r="D105" s="354" t="s">
        <v>809</v>
      </c>
      <c r="E105" s="346"/>
      <c r="F105" s="346"/>
      <c r="G105" s="346"/>
      <c r="H105" s="345"/>
    </row>
    <row r="106" spans="1:8" x14ac:dyDescent="0.4">
      <c r="A106" s="346" t="s">
        <v>805</v>
      </c>
      <c r="B106" s="346"/>
      <c r="C106" s="346" t="s">
        <v>810</v>
      </c>
      <c r="D106" s="354"/>
      <c r="E106" s="346"/>
      <c r="F106" s="346"/>
      <c r="G106" s="346"/>
      <c r="H106" s="345"/>
    </row>
    <row r="107" spans="1:8" x14ac:dyDescent="0.4">
      <c r="A107" s="346"/>
      <c r="B107" s="346"/>
      <c r="C107" s="346"/>
      <c r="D107" s="354"/>
      <c r="E107" s="346"/>
      <c r="F107" s="346"/>
      <c r="G107" s="346"/>
      <c r="H107" s="345"/>
    </row>
    <row r="108" spans="1:8" x14ac:dyDescent="0.4">
      <c r="A108" s="346"/>
      <c r="B108" s="346"/>
      <c r="C108" s="346"/>
      <c r="D108" s="354"/>
      <c r="E108" s="346"/>
      <c r="F108" s="346"/>
      <c r="G108" s="346"/>
      <c r="H108" s="345"/>
    </row>
    <row r="109" spans="1:8" x14ac:dyDescent="0.4">
      <c r="A109" s="346"/>
      <c r="B109" s="346"/>
      <c r="C109" s="346"/>
      <c r="D109" s="354"/>
      <c r="E109" s="346"/>
      <c r="F109" s="346"/>
      <c r="G109" s="346"/>
      <c r="H109" s="345"/>
    </row>
    <row r="110" spans="1:8" x14ac:dyDescent="0.4">
      <c r="A110" s="346"/>
      <c r="B110" s="346"/>
      <c r="C110" s="346"/>
      <c r="D110" s="354"/>
      <c r="E110" s="346"/>
      <c r="F110" s="346"/>
      <c r="G110" s="346"/>
      <c r="H110" s="345"/>
    </row>
    <row r="111" spans="1:8" x14ac:dyDescent="0.4">
      <c r="A111" s="346"/>
      <c r="B111" s="346"/>
      <c r="C111" s="346"/>
      <c r="D111" s="354"/>
      <c r="E111" s="346"/>
      <c r="F111" s="346"/>
      <c r="G111" s="346"/>
      <c r="H111" s="345"/>
    </row>
    <row r="112" spans="1:8" x14ac:dyDescent="0.4">
      <c r="A112" s="346"/>
      <c r="B112" s="346"/>
      <c r="C112" s="346"/>
      <c r="D112" s="354"/>
      <c r="E112" s="346"/>
      <c r="F112" s="346"/>
      <c r="G112" s="346"/>
      <c r="H112" s="345"/>
    </row>
    <row r="113" spans="1:8" x14ac:dyDescent="0.4">
      <c r="A113" s="346"/>
      <c r="B113" s="346"/>
      <c r="C113" s="346"/>
      <c r="D113" s="354"/>
      <c r="E113" s="346"/>
      <c r="F113" s="346"/>
      <c r="G113" s="346"/>
      <c r="H113" s="345"/>
    </row>
    <row r="114" spans="1:8" x14ac:dyDescent="0.4">
      <c r="A114" s="346"/>
      <c r="B114" s="346"/>
      <c r="C114" s="346"/>
      <c r="D114" s="354"/>
      <c r="E114" s="346"/>
      <c r="F114" s="346"/>
      <c r="G114" s="346"/>
      <c r="H114" s="345"/>
    </row>
    <row r="115" spans="1:8" x14ac:dyDescent="0.4">
      <c r="A115" s="346"/>
      <c r="B115" s="346"/>
      <c r="C115" s="346"/>
      <c r="D115" s="354"/>
      <c r="E115" s="346"/>
      <c r="F115" s="346"/>
      <c r="G115" s="346"/>
      <c r="H115" s="345"/>
    </row>
    <row r="116" spans="1:8" x14ac:dyDescent="0.4">
      <c r="A116" s="346"/>
      <c r="B116" s="346"/>
      <c r="C116" s="346"/>
      <c r="D116" s="354"/>
      <c r="E116" s="346"/>
      <c r="F116" s="346"/>
      <c r="G116" s="346"/>
      <c r="H116" s="345"/>
    </row>
    <row r="117" spans="1:8" x14ac:dyDescent="0.4">
      <c r="A117" s="346"/>
      <c r="B117" s="346"/>
      <c r="C117" s="346"/>
      <c r="D117" s="354"/>
      <c r="E117" s="346"/>
      <c r="F117" s="346"/>
      <c r="G117" s="346"/>
      <c r="H117" s="345"/>
    </row>
    <row r="118" spans="1:8" x14ac:dyDescent="0.4">
      <c r="A118" s="346"/>
      <c r="B118" s="346"/>
      <c r="C118" s="346"/>
      <c r="D118" s="354"/>
      <c r="E118" s="346"/>
      <c r="F118" s="346"/>
      <c r="G118" s="346"/>
      <c r="H118" s="345"/>
    </row>
    <row r="119" spans="1:8" x14ac:dyDescent="0.4">
      <c r="A119" s="346"/>
      <c r="B119" s="346"/>
      <c r="C119" s="346"/>
      <c r="D119" s="354"/>
      <c r="E119" s="346"/>
      <c r="F119" s="346"/>
      <c r="G119" s="346"/>
      <c r="H119" s="345"/>
    </row>
    <row r="120" spans="1:8" x14ac:dyDescent="0.4">
      <c r="A120" s="346"/>
      <c r="B120" s="346"/>
      <c r="C120" s="346"/>
      <c r="D120" s="354"/>
      <c r="E120" s="346"/>
      <c r="F120" s="346"/>
      <c r="G120" s="346"/>
      <c r="H120" s="345"/>
    </row>
    <row r="121" spans="1:8" x14ac:dyDescent="0.4">
      <c r="A121" s="346"/>
      <c r="B121" s="346"/>
      <c r="C121" s="346"/>
      <c r="D121" s="354"/>
      <c r="E121" s="346"/>
      <c r="F121" s="346"/>
      <c r="G121" s="346"/>
      <c r="H121" s="345"/>
    </row>
    <row r="122" spans="1:8" x14ac:dyDescent="0.4">
      <c r="A122" s="346"/>
      <c r="B122" s="346"/>
      <c r="C122" s="346"/>
      <c r="D122" s="354"/>
      <c r="E122" s="346"/>
      <c r="F122" s="346"/>
      <c r="G122" s="346"/>
      <c r="H122" s="345"/>
    </row>
    <row r="123" spans="1:8" x14ac:dyDescent="0.4">
      <c r="A123" s="346"/>
      <c r="B123" s="346"/>
      <c r="C123" s="346"/>
      <c r="D123" s="354"/>
      <c r="E123" s="346"/>
      <c r="F123" s="346"/>
      <c r="G123" s="346"/>
      <c r="H123" s="345"/>
    </row>
    <row r="124" spans="1:8" x14ac:dyDescent="0.4">
      <c r="A124" s="346"/>
      <c r="B124" s="346"/>
      <c r="C124" s="346"/>
      <c r="D124" s="354"/>
      <c r="E124" s="346"/>
      <c r="F124" s="346"/>
      <c r="G124" s="346"/>
      <c r="H124" s="345"/>
    </row>
    <row r="125" spans="1:8" x14ac:dyDescent="0.4">
      <c r="A125" s="346"/>
      <c r="B125" s="346"/>
      <c r="C125" s="346"/>
      <c r="D125" s="354"/>
      <c r="E125" s="346"/>
      <c r="F125" s="346"/>
      <c r="G125" s="346"/>
      <c r="H125" s="345"/>
    </row>
    <row r="126" spans="1:8" x14ac:dyDescent="0.4">
      <c r="A126" s="346"/>
      <c r="B126" s="346"/>
      <c r="C126" s="346"/>
      <c r="D126" s="354"/>
      <c r="E126" s="346"/>
      <c r="F126" s="346"/>
      <c r="G126" s="346"/>
      <c r="H126" s="345"/>
    </row>
    <row r="127" spans="1:8" x14ac:dyDescent="0.4">
      <c r="A127" s="346"/>
      <c r="B127" s="346"/>
      <c r="C127" s="346"/>
      <c r="D127" s="354"/>
      <c r="E127" s="346"/>
      <c r="F127" s="346"/>
      <c r="G127" s="346"/>
      <c r="H127" s="345"/>
    </row>
    <row r="128" spans="1:8" x14ac:dyDescent="0.4">
      <c r="A128" s="346"/>
      <c r="B128" s="346"/>
      <c r="C128" s="346"/>
      <c r="D128" s="354"/>
      <c r="E128" s="346"/>
      <c r="F128" s="346"/>
      <c r="G128" s="346"/>
      <c r="H128" s="345"/>
    </row>
    <row r="129" spans="1:8" x14ac:dyDescent="0.4">
      <c r="A129" s="346"/>
      <c r="B129" s="346"/>
      <c r="C129" s="346"/>
      <c r="D129" s="354"/>
      <c r="E129" s="346"/>
      <c r="F129" s="346"/>
      <c r="G129" s="346"/>
      <c r="H129" s="345"/>
    </row>
    <row r="130" spans="1:8" x14ac:dyDescent="0.4">
      <c r="A130" s="346"/>
      <c r="B130" s="346"/>
      <c r="C130" s="346"/>
      <c r="D130" s="354"/>
      <c r="E130" s="346"/>
      <c r="F130" s="346"/>
      <c r="G130" s="346"/>
      <c r="H130" s="345"/>
    </row>
    <row r="131" spans="1:8" x14ac:dyDescent="0.4">
      <c r="A131" s="346"/>
      <c r="B131" s="346"/>
      <c r="C131" s="346"/>
      <c r="D131" s="354"/>
      <c r="E131" s="346"/>
      <c r="F131" s="346"/>
      <c r="G131" s="346"/>
      <c r="H131" s="345"/>
    </row>
    <row r="132" spans="1:8" x14ac:dyDescent="0.4">
      <c r="A132" s="346"/>
      <c r="B132" s="346"/>
      <c r="C132" s="346"/>
      <c r="D132" s="354"/>
      <c r="E132" s="346"/>
      <c r="F132" s="346"/>
      <c r="G132" s="346"/>
      <c r="H132" s="345"/>
    </row>
    <row r="133" spans="1:8" x14ac:dyDescent="0.4">
      <c r="A133" s="346"/>
      <c r="B133" s="346"/>
      <c r="C133" s="346"/>
      <c r="D133" s="354"/>
      <c r="E133" s="346"/>
      <c r="F133" s="346"/>
      <c r="G133" s="346"/>
      <c r="H133" s="345"/>
    </row>
    <row r="134" spans="1:8" x14ac:dyDescent="0.4">
      <c r="A134" s="346"/>
      <c r="B134" s="346"/>
      <c r="C134" s="346"/>
      <c r="D134" s="354"/>
      <c r="E134" s="346"/>
      <c r="F134" s="346"/>
      <c r="G134" s="346"/>
      <c r="H134" s="345"/>
    </row>
    <row r="135" spans="1:8" x14ac:dyDescent="0.4">
      <c r="A135" s="346"/>
      <c r="B135" s="346"/>
      <c r="C135" s="346"/>
      <c r="D135" s="354"/>
      <c r="E135" s="346"/>
      <c r="F135" s="346"/>
      <c r="G135" s="346"/>
      <c r="H135" s="345"/>
    </row>
    <row r="136" spans="1:8" x14ac:dyDescent="0.4">
      <c r="A136" s="346"/>
      <c r="B136" s="346"/>
      <c r="C136" s="346"/>
      <c r="D136" s="354"/>
      <c r="E136" s="346"/>
      <c r="F136" s="346"/>
      <c r="G136" s="346"/>
      <c r="H136" s="345"/>
    </row>
    <row r="137" spans="1:8" x14ac:dyDescent="0.4">
      <c r="A137" s="346"/>
      <c r="B137" s="346"/>
      <c r="C137" s="346"/>
      <c r="D137" s="354"/>
      <c r="E137" s="346"/>
      <c r="F137" s="346"/>
      <c r="G137" s="346"/>
      <c r="H137" s="345"/>
    </row>
    <row r="138" spans="1:8" x14ac:dyDescent="0.4">
      <c r="A138" s="346"/>
      <c r="B138" s="346"/>
      <c r="C138" s="346"/>
      <c r="D138" s="354"/>
      <c r="E138" s="346"/>
      <c r="F138" s="346"/>
      <c r="G138" s="346"/>
      <c r="H138" s="345"/>
    </row>
    <row r="139" spans="1:8" x14ac:dyDescent="0.4">
      <c r="A139" s="346"/>
      <c r="B139" s="346"/>
      <c r="C139" s="346"/>
      <c r="D139" s="354"/>
      <c r="E139" s="346"/>
      <c r="F139" s="346"/>
      <c r="G139" s="346"/>
      <c r="H139" s="345"/>
    </row>
    <row r="140" spans="1:8" x14ac:dyDescent="0.4">
      <c r="A140" s="346"/>
      <c r="B140" s="346"/>
      <c r="C140" s="346"/>
      <c r="D140" s="354"/>
      <c r="E140" s="346"/>
      <c r="F140" s="346"/>
      <c r="G140" s="346"/>
      <c r="H140" s="345"/>
    </row>
    <row r="141" spans="1:8" x14ac:dyDescent="0.4">
      <c r="A141" s="344"/>
      <c r="B141" s="344" t="s">
        <v>67</v>
      </c>
      <c r="C141" s="344"/>
      <c r="D141" s="353"/>
      <c r="E141" s="344"/>
      <c r="F141" s="344"/>
      <c r="G141" s="344"/>
      <c r="H141" s="345"/>
    </row>
    <row r="142" spans="1:8" x14ac:dyDescent="0.4">
      <c r="A142" s="346"/>
      <c r="B142" s="346"/>
      <c r="C142" s="346"/>
      <c r="D142" s="354"/>
      <c r="E142" s="346"/>
      <c r="F142" s="346"/>
      <c r="G142" s="346"/>
      <c r="H142" s="345"/>
    </row>
    <row r="143" spans="1:8" x14ac:dyDescent="0.4">
      <c r="A143" s="346" t="s">
        <v>811</v>
      </c>
      <c r="B143" s="346"/>
      <c r="C143" s="346" t="s">
        <v>816</v>
      </c>
      <c r="D143" s="354"/>
      <c r="E143" s="346"/>
      <c r="F143" s="346"/>
      <c r="G143" s="346"/>
      <c r="H143" s="345"/>
    </row>
    <row r="144" spans="1:8" x14ac:dyDescent="0.4">
      <c r="A144" s="346" t="s">
        <v>812</v>
      </c>
      <c r="B144" s="346"/>
      <c r="C144" s="346" t="s">
        <v>817</v>
      </c>
      <c r="D144" s="354"/>
      <c r="E144" s="346"/>
      <c r="F144" s="346"/>
      <c r="G144" s="346"/>
      <c r="H144" s="345"/>
    </row>
    <row r="145" spans="1:8" x14ac:dyDescent="0.4">
      <c r="A145" s="346" t="s">
        <v>813</v>
      </c>
      <c r="B145" s="346"/>
      <c r="C145" s="346" t="s">
        <v>818</v>
      </c>
      <c r="D145" s="354" t="s">
        <v>59</v>
      </c>
      <c r="E145" s="346"/>
      <c r="F145" s="346"/>
      <c r="G145" s="346"/>
      <c r="H145" s="345"/>
    </row>
    <row r="146" spans="1:8" x14ac:dyDescent="0.4">
      <c r="A146" s="346" t="s">
        <v>814</v>
      </c>
      <c r="B146" s="346"/>
      <c r="C146" s="346" t="s">
        <v>819</v>
      </c>
      <c r="D146" s="354" t="s">
        <v>820</v>
      </c>
      <c r="E146" s="346"/>
      <c r="F146" s="346"/>
      <c r="G146" s="346"/>
      <c r="H146" s="345"/>
    </row>
    <row r="147" spans="1:8" x14ac:dyDescent="0.4">
      <c r="A147" s="346" t="s">
        <v>815</v>
      </c>
      <c r="B147" s="346"/>
      <c r="C147" s="346" t="s">
        <v>821</v>
      </c>
      <c r="D147" s="354"/>
      <c r="E147" s="346"/>
      <c r="F147" s="346"/>
      <c r="G147" s="346"/>
      <c r="H147" s="345"/>
    </row>
    <row r="148" spans="1:8" x14ac:dyDescent="0.4">
      <c r="A148" s="346"/>
      <c r="B148" s="346"/>
      <c r="C148" s="346"/>
      <c r="D148" s="354"/>
      <c r="E148" s="346"/>
      <c r="F148" s="346"/>
      <c r="G148" s="346"/>
      <c r="H148" s="345"/>
    </row>
    <row r="149" spans="1:8" x14ac:dyDescent="0.4">
      <c r="A149" s="346"/>
      <c r="B149" s="346"/>
      <c r="C149" s="346"/>
      <c r="D149" s="354"/>
      <c r="E149" s="346"/>
      <c r="F149" s="346"/>
      <c r="G149" s="346"/>
      <c r="H149" s="345"/>
    </row>
    <row r="150" spans="1:8" x14ac:dyDescent="0.4">
      <c r="A150" s="346"/>
      <c r="B150" s="346"/>
      <c r="C150" s="346"/>
      <c r="D150" s="354"/>
      <c r="E150" s="346"/>
      <c r="F150" s="346"/>
      <c r="G150" s="346"/>
      <c r="H150" s="345"/>
    </row>
    <row r="151" spans="1:8" x14ac:dyDescent="0.4">
      <c r="A151" s="346"/>
      <c r="B151" s="346"/>
      <c r="C151" s="346"/>
      <c r="D151" s="354"/>
      <c r="E151" s="346"/>
      <c r="F151" s="346"/>
      <c r="G151" s="346"/>
      <c r="H151" s="345"/>
    </row>
    <row r="152" spans="1:8" x14ac:dyDescent="0.4">
      <c r="A152" s="346"/>
      <c r="B152" s="346"/>
      <c r="C152" s="346"/>
      <c r="D152" s="354"/>
      <c r="E152" s="346"/>
      <c r="F152" s="346"/>
      <c r="G152" s="346"/>
      <c r="H152" s="345"/>
    </row>
    <row r="153" spans="1:8" x14ac:dyDescent="0.4">
      <c r="A153" s="346"/>
      <c r="B153" s="346"/>
      <c r="C153" s="346"/>
      <c r="D153" s="354"/>
      <c r="E153" s="346"/>
      <c r="F153" s="346"/>
      <c r="G153" s="346"/>
      <c r="H153" s="345"/>
    </row>
    <row r="154" spans="1:8" x14ac:dyDescent="0.4">
      <c r="A154" s="346"/>
      <c r="B154" s="346"/>
      <c r="C154" s="346"/>
      <c r="D154" s="354"/>
      <c r="E154" s="346"/>
      <c r="F154" s="346"/>
      <c r="G154" s="346"/>
      <c r="H154" s="345"/>
    </row>
    <row r="155" spans="1:8" x14ac:dyDescent="0.4">
      <c r="A155" s="346"/>
      <c r="B155" s="346"/>
      <c r="C155" s="346"/>
      <c r="D155" s="354"/>
      <c r="E155" s="346"/>
      <c r="F155" s="346"/>
      <c r="G155" s="346"/>
      <c r="H155" s="345"/>
    </row>
    <row r="156" spans="1:8" x14ac:dyDescent="0.4">
      <c r="A156" s="346"/>
      <c r="B156" s="346"/>
      <c r="C156" s="346"/>
      <c r="D156" s="354"/>
      <c r="E156" s="346"/>
      <c r="F156" s="346"/>
      <c r="G156" s="346"/>
      <c r="H156" s="345"/>
    </row>
    <row r="157" spans="1:8" x14ac:dyDescent="0.4">
      <c r="A157" s="346"/>
      <c r="B157" s="346"/>
      <c r="C157" s="346"/>
      <c r="D157" s="354"/>
      <c r="E157" s="346"/>
      <c r="F157" s="346"/>
      <c r="G157" s="346"/>
      <c r="H157" s="345"/>
    </row>
    <row r="158" spans="1:8" x14ac:dyDescent="0.4">
      <c r="A158" s="346"/>
      <c r="B158" s="346"/>
      <c r="C158" s="346"/>
      <c r="D158" s="354"/>
      <c r="E158" s="346"/>
      <c r="F158" s="346"/>
      <c r="G158" s="346"/>
      <c r="H158" s="345"/>
    </row>
    <row r="159" spans="1:8" x14ac:dyDescent="0.4">
      <c r="A159" s="346"/>
      <c r="B159" s="346"/>
      <c r="C159" s="346"/>
      <c r="D159" s="354"/>
      <c r="E159" s="346"/>
      <c r="F159" s="346"/>
      <c r="G159" s="346"/>
      <c r="H159" s="345"/>
    </row>
    <row r="160" spans="1:8" x14ac:dyDescent="0.4">
      <c r="A160" s="346"/>
      <c r="B160" s="346"/>
      <c r="C160" s="346"/>
      <c r="D160" s="354"/>
      <c r="E160" s="346"/>
      <c r="F160" s="346"/>
      <c r="G160" s="346"/>
      <c r="H160" s="345"/>
    </row>
    <row r="161" spans="1:8" x14ac:dyDescent="0.4">
      <c r="A161" s="346"/>
      <c r="B161" s="346"/>
      <c r="C161" s="346"/>
      <c r="D161" s="354"/>
      <c r="E161" s="346"/>
      <c r="F161" s="346"/>
      <c r="G161" s="346"/>
      <c r="H161" s="345"/>
    </row>
    <row r="162" spans="1:8" x14ac:dyDescent="0.4">
      <c r="A162" s="346"/>
      <c r="B162" s="346"/>
      <c r="C162" s="346"/>
      <c r="D162" s="354"/>
      <c r="E162" s="346"/>
      <c r="F162" s="346"/>
      <c r="G162" s="346"/>
      <c r="H162" s="345"/>
    </row>
    <row r="163" spans="1:8" x14ac:dyDescent="0.4">
      <c r="A163" s="346"/>
      <c r="B163" s="346"/>
      <c r="C163" s="346"/>
      <c r="D163" s="354"/>
      <c r="E163" s="346"/>
      <c r="F163" s="346"/>
      <c r="G163" s="346"/>
      <c r="H163" s="345"/>
    </row>
    <row r="164" spans="1:8" x14ac:dyDescent="0.4">
      <c r="A164" s="346"/>
      <c r="B164" s="346"/>
      <c r="C164" s="346"/>
      <c r="D164" s="354"/>
      <c r="E164" s="346"/>
      <c r="F164" s="346"/>
      <c r="G164" s="346"/>
      <c r="H164" s="345"/>
    </row>
    <row r="165" spans="1:8" x14ac:dyDescent="0.4">
      <c r="A165" s="346"/>
      <c r="B165" s="346"/>
      <c r="C165" s="346"/>
      <c r="D165" s="354"/>
      <c r="E165" s="346"/>
      <c r="F165" s="346"/>
      <c r="G165" s="346"/>
      <c r="H165" s="345"/>
    </row>
    <row r="166" spans="1:8" x14ac:dyDescent="0.4">
      <c r="A166" s="346"/>
      <c r="B166" s="346"/>
      <c r="C166" s="346"/>
      <c r="D166" s="354"/>
      <c r="E166" s="346"/>
      <c r="F166" s="346"/>
      <c r="G166" s="346"/>
      <c r="H166" s="345"/>
    </row>
    <row r="167" spans="1:8" x14ac:dyDescent="0.4">
      <c r="A167" s="346"/>
      <c r="B167" s="346"/>
      <c r="C167" s="346"/>
      <c r="D167" s="354"/>
      <c r="E167" s="346"/>
      <c r="F167" s="346"/>
      <c r="G167" s="346"/>
      <c r="H167" s="345"/>
    </row>
    <row r="168" spans="1:8" x14ac:dyDescent="0.4">
      <c r="A168" s="346"/>
      <c r="B168" s="346"/>
      <c r="C168" s="346"/>
      <c r="D168" s="354"/>
      <c r="E168" s="346"/>
      <c r="F168" s="346"/>
      <c r="G168" s="346"/>
      <c r="H168" s="345"/>
    </row>
    <row r="169" spans="1:8" x14ac:dyDescent="0.4">
      <c r="A169" s="346"/>
      <c r="B169" s="346"/>
      <c r="C169" s="346"/>
      <c r="D169" s="354"/>
      <c r="E169" s="346"/>
      <c r="F169" s="346"/>
      <c r="G169" s="346"/>
      <c r="H169" s="345"/>
    </row>
    <row r="170" spans="1:8" x14ac:dyDescent="0.4">
      <c r="A170" s="346"/>
      <c r="B170" s="346"/>
      <c r="C170" s="346"/>
      <c r="D170" s="354"/>
      <c r="E170" s="346"/>
      <c r="F170" s="346"/>
      <c r="G170" s="346"/>
      <c r="H170" s="345"/>
    </row>
    <row r="171" spans="1:8" x14ac:dyDescent="0.4">
      <c r="A171" s="346"/>
      <c r="B171" s="346"/>
      <c r="C171" s="346"/>
      <c r="D171" s="354"/>
      <c r="E171" s="346"/>
      <c r="F171" s="346"/>
      <c r="G171" s="346"/>
      <c r="H171" s="345"/>
    </row>
    <row r="172" spans="1:8" x14ac:dyDescent="0.4">
      <c r="A172" s="346"/>
      <c r="B172" s="346"/>
      <c r="C172" s="346"/>
      <c r="D172" s="354"/>
      <c r="E172" s="346"/>
      <c r="F172" s="346"/>
      <c r="G172" s="346"/>
      <c r="H172" s="345"/>
    </row>
    <row r="173" spans="1:8" x14ac:dyDescent="0.4">
      <c r="A173" s="346"/>
      <c r="B173" s="346"/>
      <c r="C173" s="346"/>
      <c r="D173" s="354"/>
      <c r="E173" s="346"/>
      <c r="F173" s="346"/>
      <c r="G173" s="346"/>
      <c r="H173" s="345"/>
    </row>
    <row r="174" spans="1:8" x14ac:dyDescent="0.4">
      <c r="A174" s="346"/>
      <c r="B174" s="346"/>
      <c r="C174" s="346"/>
      <c r="D174" s="354"/>
      <c r="E174" s="346"/>
      <c r="F174" s="346"/>
      <c r="G174" s="346"/>
      <c r="H174" s="345"/>
    </row>
    <row r="175" spans="1:8" x14ac:dyDescent="0.4">
      <c r="A175" s="346"/>
      <c r="B175" s="346"/>
      <c r="C175" s="346"/>
      <c r="D175" s="354"/>
      <c r="E175" s="346"/>
      <c r="F175" s="346"/>
      <c r="G175" s="346"/>
      <c r="H175" s="345"/>
    </row>
    <row r="176" spans="1:8" x14ac:dyDescent="0.4">
      <c r="A176" s="346"/>
      <c r="B176" s="346"/>
      <c r="C176" s="346"/>
      <c r="D176" s="354"/>
      <c r="E176" s="346"/>
      <c r="F176" s="346"/>
      <c r="G176" s="346"/>
      <c r="H176" s="345"/>
    </row>
    <row r="177" spans="1:8" x14ac:dyDescent="0.4">
      <c r="A177" s="346"/>
      <c r="B177" s="346"/>
      <c r="C177" s="346"/>
      <c r="D177" s="354"/>
      <c r="E177" s="346"/>
      <c r="F177" s="346"/>
      <c r="G177" s="346"/>
      <c r="H177" s="345"/>
    </row>
    <row r="178" spans="1:8" x14ac:dyDescent="0.4">
      <c r="A178" s="346"/>
      <c r="B178" s="346"/>
      <c r="C178" s="346"/>
      <c r="D178" s="354"/>
      <c r="E178" s="346"/>
      <c r="F178" s="346"/>
      <c r="G178" s="346"/>
      <c r="H178" s="345"/>
    </row>
    <row r="179" spans="1:8" x14ac:dyDescent="0.4">
      <c r="A179" s="346"/>
      <c r="B179" s="346"/>
      <c r="C179" s="346"/>
      <c r="D179" s="354"/>
      <c r="E179" s="346"/>
      <c r="F179" s="346"/>
      <c r="G179" s="346"/>
      <c r="H179" s="345"/>
    </row>
    <row r="180" spans="1:8" x14ac:dyDescent="0.4">
      <c r="A180" s="346"/>
      <c r="B180" s="346"/>
      <c r="C180" s="346"/>
      <c r="D180" s="354"/>
      <c r="E180" s="346"/>
      <c r="F180" s="346"/>
      <c r="G180" s="346"/>
      <c r="H180" s="345"/>
    </row>
    <row r="181" spans="1:8" x14ac:dyDescent="0.4">
      <c r="A181" s="346"/>
      <c r="B181" s="346"/>
      <c r="C181" s="346"/>
      <c r="D181" s="354"/>
      <c r="E181" s="346"/>
      <c r="F181" s="346"/>
      <c r="G181" s="346"/>
      <c r="H181" s="345"/>
    </row>
    <row r="182" spans="1:8" x14ac:dyDescent="0.4">
      <c r="A182" s="346"/>
      <c r="B182" s="346"/>
      <c r="C182" s="346"/>
      <c r="D182" s="354"/>
      <c r="E182" s="346"/>
      <c r="F182" s="346"/>
      <c r="G182" s="346"/>
      <c r="H182" s="345"/>
    </row>
    <row r="183" spans="1:8" x14ac:dyDescent="0.4">
      <c r="A183" s="346"/>
      <c r="B183" s="346"/>
      <c r="C183" s="346"/>
      <c r="D183" s="354"/>
      <c r="E183" s="346"/>
      <c r="F183" s="346"/>
      <c r="G183" s="346"/>
      <c r="H183" s="345"/>
    </row>
    <row r="184" spans="1:8" x14ac:dyDescent="0.4">
      <c r="A184" s="346"/>
      <c r="B184" s="346"/>
      <c r="C184" s="346"/>
      <c r="D184" s="354"/>
      <c r="E184" s="346"/>
      <c r="F184" s="346"/>
      <c r="G184" s="346"/>
      <c r="H184" s="345"/>
    </row>
    <row r="185" spans="1:8" x14ac:dyDescent="0.4">
      <c r="A185" s="346"/>
      <c r="B185" s="346"/>
      <c r="C185" s="346"/>
      <c r="D185" s="354"/>
      <c r="E185" s="346"/>
      <c r="F185" s="346"/>
      <c r="G185" s="346"/>
      <c r="H185" s="345"/>
    </row>
    <row r="186" spans="1:8" x14ac:dyDescent="0.4">
      <c r="A186" s="346"/>
      <c r="B186" s="346"/>
      <c r="C186" s="346"/>
      <c r="D186" s="354"/>
      <c r="E186" s="346"/>
      <c r="F186" s="346"/>
      <c r="G186" s="346"/>
      <c r="H186" s="345"/>
    </row>
    <row r="187" spans="1:8" x14ac:dyDescent="0.4">
      <c r="A187" s="346"/>
      <c r="B187" s="346"/>
      <c r="C187" s="346"/>
      <c r="D187" s="354"/>
      <c r="E187" s="346"/>
      <c r="F187" s="346"/>
      <c r="G187" s="346"/>
      <c r="H187" s="345"/>
    </row>
    <row r="188" spans="1:8" x14ac:dyDescent="0.4">
      <c r="A188" s="346"/>
      <c r="B188" s="346"/>
      <c r="C188" s="346"/>
      <c r="D188" s="354"/>
      <c r="E188" s="346"/>
      <c r="F188" s="346"/>
      <c r="G188" s="346"/>
      <c r="H188" s="345"/>
    </row>
    <row r="189" spans="1:8" x14ac:dyDescent="0.4">
      <c r="A189" s="346"/>
      <c r="B189" s="346"/>
      <c r="C189" s="346"/>
      <c r="D189" s="354"/>
      <c r="E189" s="346"/>
      <c r="F189" s="346"/>
      <c r="G189" s="346"/>
      <c r="H189" s="345"/>
    </row>
    <row r="190" spans="1:8" x14ac:dyDescent="0.4">
      <c r="A190" s="346"/>
      <c r="B190" s="346"/>
      <c r="C190" s="346"/>
      <c r="D190" s="354"/>
      <c r="E190" s="346"/>
      <c r="F190" s="346"/>
      <c r="G190" s="346"/>
      <c r="H190" s="345"/>
    </row>
    <row r="191" spans="1:8" x14ac:dyDescent="0.4">
      <c r="A191" s="346"/>
      <c r="B191" s="346"/>
      <c r="C191" s="346"/>
      <c r="D191" s="354"/>
      <c r="E191" s="346"/>
      <c r="F191" s="346"/>
      <c r="G191" s="346"/>
      <c r="H191" s="345"/>
    </row>
    <row r="192" spans="1:8" x14ac:dyDescent="0.4">
      <c r="A192" s="346"/>
      <c r="B192" s="346"/>
      <c r="C192" s="346"/>
      <c r="D192" s="354"/>
      <c r="E192" s="346"/>
      <c r="F192" s="346"/>
      <c r="G192" s="346"/>
      <c r="H192" s="345"/>
    </row>
    <row r="193" spans="1:8" x14ac:dyDescent="0.4">
      <c r="A193" s="346"/>
      <c r="B193" s="346"/>
      <c r="C193" s="346"/>
      <c r="D193" s="354"/>
      <c r="E193" s="346"/>
      <c r="F193" s="346"/>
      <c r="G193" s="346"/>
      <c r="H193" s="345"/>
    </row>
    <row r="194" spans="1:8" x14ac:dyDescent="0.4">
      <c r="A194" s="346"/>
      <c r="B194" s="346"/>
      <c r="C194" s="346"/>
      <c r="D194" s="354"/>
      <c r="E194" s="346"/>
      <c r="F194" s="346"/>
      <c r="G194" s="346"/>
      <c r="H194" s="345"/>
    </row>
    <row r="195" spans="1:8" x14ac:dyDescent="0.4">
      <c r="A195" s="346"/>
      <c r="B195" s="346"/>
      <c r="C195" s="346"/>
      <c r="D195" s="354"/>
      <c r="E195" s="346"/>
      <c r="F195" s="346"/>
      <c r="G195" s="346"/>
      <c r="H195" s="345"/>
    </row>
    <row r="196" spans="1:8" x14ac:dyDescent="0.4">
      <c r="A196" s="346"/>
      <c r="B196" s="346"/>
      <c r="C196" s="346"/>
      <c r="D196" s="354"/>
      <c r="E196" s="346"/>
      <c r="F196" s="346"/>
      <c r="G196" s="346"/>
      <c r="H196" s="345"/>
    </row>
    <row r="197" spans="1:8" x14ac:dyDescent="0.4">
      <c r="A197" s="346"/>
      <c r="B197" s="346"/>
      <c r="C197" s="346"/>
      <c r="D197" s="354"/>
      <c r="E197" s="346"/>
      <c r="F197" s="346"/>
      <c r="G197" s="346"/>
      <c r="H197" s="345"/>
    </row>
    <row r="198" spans="1:8" x14ac:dyDescent="0.4">
      <c r="A198" s="346"/>
      <c r="B198" s="346"/>
      <c r="C198" s="346"/>
      <c r="D198" s="354"/>
      <c r="E198" s="346"/>
      <c r="F198" s="346"/>
      <c r="G198" s="346"/>
      <c r="H198" s="345"/>
    </row>
    <row r="199" spans="1:8" x14ac:dyDescent="0.4">
      <c r="A199" s="346"/>
      <c r="B199" s="346"/>
      <c r="C199" s="346"/>
      <c r="D199" s="354"/>
      <c r="E199" s="346"/>
      <c r="F199" s="346"/>
      <c r="G199" s="346"/>
      <c r="H199" s="345"/>
    </row>
    <row r="200" spans="1:8" ht="12.75" customHeight="1" x14ac:dyDescent="0.4">
      <c r="A200" s="346"/>
      <c r="B200" s="346"/>
      <c r="C200" s="346"/>
      <c r="D200" s="354"/>
      <c r="E200" s="346"/>
      <c r="F200" s="346"/>
      <c r="G200" s="346"/>
      <c r="H200" s="345"/>
    </row>
    <row r="201" spans="1:8" x14ac:dyDescent="0.4">
      <c r="A201" s="344"/>
      <c r="B201" s="344" t="s">
        <v>70</v>
      </c>
      <c r="C201" s="344"/>
      <c r="D201" s="353"/>
      <c r="E201" s="344"/>
      <c r="F201" s="344"/>
      <c r="G201" s="344"/>
      <c r="H201" s="345"/>
    </row>
    <row r="202" spans="1:8" x14ac:dyDescent="0.4">
      <c r="A202" s="346" t="s">
        <v>2736</v>
      </c>
      <c r="B202" s="346" t="s">
        <v>2319</v>
      </c>
      <c r="C202" s="346" t="s">
        <v>2735</v>
      </c>
      <c r="D202" s="354"/>
      <c r="E202" s="346"/>
      <c r="F202" s="346"/>
      <c r="G202" s="346"/>
      <c r="H202" s="345"/>
    </row>
    <row r="203" spans="1:8" x14ac:dyDescent="0.4">
      <c r="A203" s="346" t="s">
        <v>822</v>
      </c>
      <c r="B203" s="346"/>
      <c r="C203" s="346" t="s">
        <v>826</v>
      </c>
      <c r="D203" s="354"/>
      <c r="E203" s="346"/>
      <c r="F203" s="346"/>
      <c r="G203" s="346"/>
      <c r="H203" s="345"/>
    </row>
    <row r="204" spans="1:8" x14ac:dyDescent="0.4">
      <c r="A204" s="346" t="s">
        <v>823</v>
      </c>
      <c r="B204" s="346"/>
      <c r="C204" s="346" t="s">
        <v>827</v>
      </c>
      <c r="D204" s="354"/>
      <c r="E204" s="346"/>
      <c r="F204" s="346"/>
      <c r="G204" s="346"/>
      <c r="H204" s="345"/>
    </row>
    <row r="205" spans="1:8" x14ac:dyDescent="0.4">
      <c r="A205" s="346" t="s">
        <v>824</v>
      </c>
      <c r="B205" s="346"/>
      <c r="C205" s="346" t="s">
        <v>826</v>
      </c>
      <c r="D205" s="354"/>
      <c r="E205" s="346"/>
      <c r="F205" s="346"/>
      <c r="G205" s="346"/>
      <c r="H205" s="345"/>
    </row>
    <row r="206" spans="1:8" x14ac:dyDescent="0.4">
      <c r="A206" s="346" t="s">
        <v>825</v>
      </c>
      <c r="B206" s="346"/>
      <c r="C206" s="346" t="s">
        <v>828</v>
      </c>
      <c r="D206" s="354" t="s">
        <v>829</v>
      </c>
      <c r="E206" s="346"/>
      <c r="F206" s="346"/>
      <c r="G206" s="346"/>
      <c r="H206" s="345"/>
    </row>
    <row r="207" spans="1:8" x14ac:dyDescent="0.4">
      <c r="A207" s="346" t="s">
        <v>1518</v>
      </c>
      <c r="B207" s="346"/>
      <c r="C207" s="346" t="s">
        <v>1517</v>
      </c>
      <c r="D207" s="354" t="s">
        <v>1516</v>
      </c>
      <c r="E207" s="346"/>
      <c r="F207" s="346"/>
      <c r="G207" s="346"/>
      <c r="H207" s="345"/>
    </row>
    <row r="208" spans="1:8" x14ac:dyDescent="0.4">
      <c r="A208" s="346"/>
      <c r="B208" s="346"/>
      <c r="C208" s="346"/>
      <c r="D208" s="354"/>
      <c r="E208" s="346"/>
      <c r="F208" s="346"/>
      <c r="G208" s="346"/>
      <c r="H208" s="345"/>
    </row>
    <row r="209" spans="1:8" x14ac:dyDescent="0.4">
      <c r="A209" s="346"/>
      <c r="B209" s="346"/>
      <c r="C209" s="346"/>
      <c r="D209" s="354"/>
      <c r="E209" s="346"/>
      <c r="F209" s="346"/>
      <c r="G209" s="346"/>
      <c r="H209" s="345"/>
    </row>
    <row r="210" spans="1:8" x14ac:dyDescent="0.4">
      <c r="A210" s="346"/>
      <c r="B210" s="346"/>
      <c r="C210" s="346"/>
      <c r="D210" s="354"/>
      <c r="E210" s="346"/>
      <c r="F210" s="346"/>
      <c r="G210" s="346"/>
      <c r="H210" s="345"/>
    </row>
    <row r="211" spans="1:8" x14ac:dyDescent="0.4">
      <c r="A211" s="346"/>
      <c r="B211" s="346"/>
      <c r="C211" s="346"/>
      <c r="D211" s="354"/>
      <c r="E211" s="346"/>
      <c r="F211" s="346"/>
      <c r="G211" s="346"/>
      <c r="H211" s="345"/>
    </row>
    <row r="212" spans="1:8" x14ac:dyDescent="0.4">
      <c r="A212" s="346"/>
      <c r="B212" s="346"/>
      <c r="C212" s="346"/>
      <c r="D212" s="354"/>
      <c r="E212" s="346"/>
      <c r="F212" s="346"/>
      <c r="G212" s="346"/>
      <c r="H212" s="345"/>
    </row>
    <row r="213" spans="1:8" x14ac:dyDescent="0.4">
      <c r="A213" s="346"/>
      <c r="B213" s="346"/>
      <c r="C213" s="346"/>
      <c r="D213" s="354"/>
      <c r="E213" s="346"/>
      <c r="F213" s="346"/>
      <c r="G213" s="346"/>
      <c r="H213" s="345"/>
    </row>
    <row r="214" spans="1:8" x14ac:dyDescent="0.4">
      <c r="A214" s="346"/>
      <c r="B214" s="346"/>
      <c r="C214" s="346"/>
      <c r="D214" s="354"/>
      <c r="E214" s="346"/>
      <c r="F214" s="346"/>
      <c r="G214" s="346"/>
      <c r="H214" s="345"/>
    </row>
    <row r="215" spans="1:8" x14ac:dyDescent="0.4">
      <c r="A215" s="346"/>
      <c r="B215" s="346"/>
      <c r="C215" s="346"/>
      <c r="D215" s="354"/>
      <c r="E215" s="346"/>
      <c r="F215" s="346"/>
      <c r="G215" s="346"/>
      <c r="H215" s="345"/>
    </row>
    <row r="216" spans="1:8" x14ac:dyDescent="0.4">
      <c r="A216" s="346"/>
      <c r="B216" s="346"/>
      <c r="C216" s="346"/>
      <c r="D216" s="354"/>
      <c r="E216" s="346"/>
      <c r="F216" s="346"/>
      <c r="G216" s="346"/>
      <c r="H216" s="345"/>
    </row>
    <row r="217" spans="1:8" x14ac:dyDescent="0.4">
      <c r="A217" s="346"/>
      <c r="B217" s="346"/>
      <c r="C217" s="346"/>
      <c r="D217" s="354"/>
      <c r="E217" s="346"/>
      <c r="F217" s="346"/>
      <c r="G217" s="346"/>
      <c r="H217" s="345"/>
    </row>
    <row r="218" spans="1:8" x14ac:dyDescent="0.4">
      <c r="A218" s="346"/>
      <c r="B218" s="346"/>
      <c r="C218" s="346"/>
      <c r="D218" s="354"/>
      <c r="E218" s="346"/>
      <c r="F218" s="346"/>
      <c r="G218" s="346"/>
      <c r="H218" s="345"/>
    </row>
    <row r="219" spans="1:8" x14ac:dyDescent="0.4">
      <c r="A219" s="346"/>
      <c r="B219" s="346"/>
      <c r="C219" s="346"/>
      <c r="D219" s="354"/>
      <c r="E219" s="346"/>
      <c r="F219" s="346"/>
      <c r="G219" s="346"/>
      <c r="H219" s="345"/>
    </row>
    <row r="220" spans="1:8" x14ac:dyDescent="0.4">
      <c r="A220" s="346"/>
      <c r="B220" s="346"/>
      <c r="C220" s="346"/>
      <c r="D220" s="354"/>
      <c r="E220" s="346"/>
      <c r="F220" s="346"/>
      <c r="G220" s="346"/>
      <c r="H220" s="345"/>
    </row>
    <row r="221" spans="1:8" x14ac:dyDescent="0.4">
      <c r="A221" s="346"/>
      <c r="B221" s="346"/>
      <c r="C221" s="346"/>
      <c r="D221" s="354"/>
      <c r="E221" s="346"/>
      <c r="F221" s="346"/>
      <c r="G221" s="346"/>
      <c r="H221" s="345"/>
    </row>
    <row r="222" spans="1:8" x14ac:dyDescent="0.4">
      <c r="A222" s="346"/>
      <c r="B222" s="346"/>
      <c r="C222" s="346"/>
      <c r="D222" s="354"/>
      <c r="E222" s="346"/>
      <c r="F222" s="346"/>
      <c r="G222" s="346"/>
      <c r="H222" s="345"/>
    </row>
    <row r="223" spans="1:8" x14ac:dyDescent="0.4">
      <c r="A223" s="346"/>
      <c r="B223" s="346"/>
      <c r="C223" s="346"/>
      <c r="D223" s="354"/>
      <c r="E223" s="346"/>
      <c r="F223" s="346"/>
      <c r="G223" s="346"/>
      <c r="H223" s="345"/>
    </row>
    <row r="224" spans="1:8" x14ac:dyDescent="0.4">
      <c r="A224" s="346"/>
      <c r="B224" s="346"/>
      <c r="C224" s="346"/>
      <c r="D224" s="354"/>
      <c r="E224" s="346"/>
      <c r="F224" s="346"/>
      <c r="G224" s="346"/>
      <c r="H224" s="345"/>
    </row>
    <row r="225" spans="1:8" x14ac:dyDescent="0.4">
      <c r="A225" s="346"/>
      <c r="B225" s="346"/>
      <c r="C225" s="346"/>
      <c r="D225" s="354"/>
      <c r="E225" s="346"/>
      <c r="F225" s="346"/>
      <c r="G225" s="346"/>
      <c r="H225" s="345"/>
    </row>
    <row r="226" spans="1:8" x14ac:dyDescent="0.4">
      <c r="A226" s="346"/>
      <c r="B226" s="346"/>
      <c r="C226" s="346"/>
      <c r="D226" s="354"/>
      <c r="E226" s="346"/>
      <c r="F226" s="346"/>
      <c r="G226" s="346"/>
      <c r="H226" s="345"/>
    </row>
    <row r="227" spans="1:8" x14ac:dyDescent="0.4">
      <c r="A227" s="346"/>
      <c r="B227" s="346"/>
      <c r="C227" s="346"/>
      <c r="D227" s="354"/>
      <c r="E227" s="346"/>
      <c r="F227" s="346"/>
      <c r="G227" s="346"/>
      <c r="H227" s="345"/>
    </row>
    <row r="228" spans="1:8" x14ac:dyDescent="0.4">
      <c r="A228" s="346"/>
      <c r="B228" s="346"/>
      <c r="C228" s="346"/>
      <c r="D228" s="354"/>
      <c r="E228" s="346"/>
      <c r="F228" s="346"/>
      <c r="G228" s="346"/>
      <c r="H228" s="345"/>
    </row>
    <row r="229" spans="1:8" x14ac:dyDescent="0.4">
      <c r="A229" s="346"/>
      <c r="B229" s="346"/>
      <c r="C229" s="346"/>
      <c r="D229" s="354"/>
      <c r="E229" s="346"/>
      <c r="F229" s="346"/>
      <c r="G229" s="346"/>
      <c r="H229" s="345"/>
    </row>
    <row r="230" spans="1:8" x14ac:dyDescent="0.4">
      <c r="A230" s="346"/>
      <c r="B230" s="346"/>
      <c r="C230" s="346"/>
      <c r="D230" s="354"/>
      <c r="E230" s="346"/>
      <c r="F230" s="346"/>
      <c r="G230" s="346"/>
      <c r="H230" s="345"/>
    </row>
    <row r="231" spans="1:8" x14ac:dyDescent="0.4">
      <c r="A231" s="344"/>
      <c r="B231" s="344" t="s">
        <v>73</v>
      </c>
      <c r="C231" s="344"/>
      <c r="D231" s="353"/>
      <c r="E231" s="344"/>
      <c r="F231" s="344"/>
      <c r="G231" s="344"/>
      <c r="H231" s="345"/>
    </row>
    <row r="232" spans="1:8" x14ac:dyDescent="0.4">
      <c r="A232" s="346" t="s">
        <v>2474</v>
      </c>
      <c r="B232" s="346" t="s">
        <v>2320</v>
      </c>
      <c r="C232" s="346" t="s">
        <v>2475</v>
      </c>
      <c r="D232" s="354" t="s">
        <v>2476</v>
      </c>
      <c r="E232" s="346"/>
      <c r="F232" s="346" t="s">
        <v>2455</v>
      </c>
      <c r="G232" s="346"/>
      <c r="H232" s="345"/>
    </row>
    <row r="233" spans="1:8" x14ac:dyDescent="0.4">
      <c r="A233" s="346" t="s">
        <v>830</v>
      </c>
      <c r="B233" s="346"/>
      <c r="C233" s="346" t="s">
        <v>841</v>
      </c>
      <c r="D233" s="354"/>
      <c r="E233" s="346"/>
      <c r="F233" s="346"/>
      <c r="G233" s="346"/>
      <c r="H233" s="345">
        <v>8451</v>
      </c>
    </row>
    <row r="234" spans="1:8" x14ac:dyDescent="0.4">
      <c r="A234" s="346" t="s">
        <v>831</v>
      </c>
      <c r="B234" s="346"/>
      <c r="C234" s="346" t="s">
        <v>842</v>
      </c>
      <c r="D234" s="354"/>
      <c r="E234" s="346"/>
      <c r="F234" s="346"/>
      <c r="G234" s="346"/>
      <c r="H234" s="345"/>
    </row>
    <row r="235" spans="1:8" x14ac:dyDescent="0.4">
      <c r="A235" s="346" t="s">
        <v>832</v>
      </c>
      <c r="B235" s="346"/>
      <c r="C235" s="346" t="s">
        <v>843</v>
      </c>
      <c r="D235" s="354" t="s">
        <v>844</v>
      </c>
      <c r="E235" s="346"/>
      <c r="F235" s="346"/>
      <c r="G235" s="346"/>
      <c r="H235" s="345"/>
    </row>
    <row r="236" spans="1:8" x14ac:dyDescent="0.4">
      <c r="A236" s="346" t="s">
        <v>833</v>
      </c>
      <c r="B236" s="346"/>
      <c r="C236" s="346" t="s">
        <v>845</v>
      </c>
      <c r="D236" s="354" t="s">
        <v>846</v>
      </c>
      <c r="E236" s="346"/>
      <c r="F236" s="346"/>
      <c r="G236" s="346"/>
      <c r="H236" s="345"/>
    </row>
    <row r="237" spans="1:8" x14ac:dyDescent="0.4">
      <c r="A237" s="346" t="s">
        <v>834</v>
      </c>
      <c r="B237" s="346"/>
      <c r="C237" s="346" t="s">
        <v>847</v>
      </c>
      <c r="D237" s="354"/>
      <c r="E237" s="346"/>
      <c r="F237" s="346"/>
      <c r="G237" s="346"/>
      <c r="H237" s="345"/>
    </row>
    <row r="238" spans="1:8" x14ac:dyDescent="0.4">
      <c r="A238" s="346" t="s">
        <v>835</v>
      </c>
      <c r="B238" s="346"/>
      <c r="C238" s="346" t="s">
        <v>848</v>
      </c>
      <c r="D238" s="354"/>
      <c r="E238" s="346"/>
      <c r="F238" s="346"/>
      <c r="G238" s="346"/>
      <c r="H238" s="345"/>
    </row>
    <row r="239" spans="1:8" x14ac:dyDescent="0.4">
      <c r="A239" s="346" t="s">
        <v>836</v>
      </c>
      <c r="B239" s="346"/>
      <c r="C239" s="346" t="s">
        <v>849</v>
      </c>
      <c r="D239" s="354">
        <v>2383</v>
      </c>
      <c r="E239" s="346"/>
      <c r="F239" s="346"/>
      <c r="G239" s="346"/>
      <c r="H239" s="345"/>
    </row>
    <row r="240" spans="1:8" x14ac:dyDescent="0.4">
      <c r="A240" s="346" t="s">
        <v>837</v>
      </c>
      <c r="B240" s="346"/>
      <c r="C240" s="346" t="s">
        <v>850</v>
      </c>
      <c r="D240" s="354" t="s">
        <v>851</v>
      </c>
      <c r="E240" s="346"/>
      <c r="F240" s="346"/>
      <c r="G240" s="346"/>
      <c r="H240" s="345"/>
    </row>
    <row r="241" spans="1:8" x14ac:dyDescent="0.4">
      <c r="A241" s="346" t="s">
        <v>838</v>
      </c>
      <c r="B241" s="346"/>
      <c r="C241" s="346" t="s">
        <v>852</v>
      </c>
      <c r="D241" s="354"/>
      <c r="E241" s="346"/>
      <c r="F241" s="346"/>
      <c r="G241" s="346"/>
      <c r="H241" s="345"/>
    </row>
    <row r="242" spans="1:8" x14ac:dyDescent="0.4">
      <c r="A242" s="346" t="s">
        <v>839</v>
      </c>
      <c r="B242" s="346"/>
      <c r="C242" s="346" t="s">
        <v>853</v>
      </c>
      <c r="D242" s="354">
        <v>9977</v>
      </c>
      <c r="E242" s="346"/>
      <c r="F242" s="346"/>
      <c r="G242" s="346"/>
      <c r="H242" s="345"/>
    </row>
    <row r="243" spans="1:8" x14ac:dyDescent="0.4">
      <c r="A243" s="346" t="s">
        <v>840</v>
      </c>
      <c r="B243" s="346"/>
      <c r="C243" s="346" t="s">
        <v>854</v>
      </c>
      <c r="D243" s="354"/>
      <c r="E243" s="346"/>
      <c r="F243" s="346"/>
      <c r="G243" s="346"/>
      <c r="H243" s="345"/>
    </row>
    <row r="244" spans="1:8" x14ac:dyDescent="0.4">
      <c r="A244" s="346"/>
      <c r="B244" s="346"/>
      <c r="C244" s="346"/>
      <c r="D244" s="354"/>
      <c r="E244" s="346"/>
      <c r="F244" s="346"/>
      <c r="G244" s="346"/>
      <c r="H244" s="345"/>
    </row>
    <row r="245" spans="1:8" x14ac:dyDescent="0.4">
      <c r="A245" s="346"/>
      <c r="B245" s="346"/>
      <c r="C245" s="346"/>
      <c r="D245" s="354"/>
      <c r="E245" s="346"/>
      <c r="F245" s="346"/>
      <c r="G245" s="346"/>
      <c r="H245" s="345"/>
    </row>
    <row r="246" spans="1:8" x14ac:dyDescent="0.4">
      <c r="A246" s="346"/>
      <c r="B246" s="346"/>
      <c r="C246" s="346"/>
      <c r="D246" s="354"/>
      <c r="E246" s="346"/>
      <c r="F246" s="346"/>
      <c r="G246" s="346"/>
      <c r="H246" s="345"/>
    </row>
    <row r="247" spans="1:8" x14ac:dyDescent="0.4">
      <c r="A247" s="346"/>
      <c r="B247" s="346"/>
      <c r="C247" s="346"/>
      <c r="D247" s="354"/>
      <c r="E247" s="346"/>
      <c r="F247" s="346"/>
      <c r="G247" s="346"/>
      <c r="H247" s="345"/>
    </row>
    <row r="248" spans="1:8" x14ac:dyDescent="0.4">
      <c r="A248" s="346"/>
      <c r="B248" s="346"/>
      <c r="C248" s="346"/>
      <c r="D248" s="354"/>
      <c r="E248" s="346"/>
      <c r="F248" s="346"/>
      <c r="G248" s="346"/>
      <c r="H248" s="345"/>
    </row>
    <row r="249" spans="1:8" x14ac:dyDescent="0.4">
      <c r="A249" s="346"/>
      <c r="B249" s="346"/>
      <c r="C249" s="346"/>
      <c r="D249" s="354"/>
      <c r="E249" s="346"/>
      <c r="F249" s="346"/>
      <c r="G249" s="346"/>
      <c r="H249" s="345"/>
    </row>
    <row r="250" spans="1:8" x14ac:dyDescent="0.4">
      <c r="A250" s="346"/>
      <c r="B250" s="346"/>
      <c r="C250" s="346"/>
      <c r="D250" s="354"/>
      <c r="E250" s="346"/>
      <c r="F250" s="346"/>
      <c r="G250" s="346"/>
      <c r="H250" s="345"/>
    </row>
    <row r="251" spans="1:8" x14ac:dyDescent="0.4">
      <c r="A251" s="346"/>
      <c r="B251" s="346"/>
      <c r="C251" s="346"/>
      <c r="D251" s="354"/>
      <c r="E251" s="346"/>
      <c r="F251" s="346"/>
      <c r="G251" s="346"/>
      <c r="H251" s="345"/>
    </row>
    <row r="252" spans="1:8" x14ac:dyDescent="0.4">
      <c r="A252" s="346"/>
      <c r="B252" s="346"/>
      <c r="C252" s="346"/>
      <c r="D252" s="354"/>
      <c r="E252" s="346"/>
      <c r="F252" s="346"/>
      <c r="G252" s="346"/>
      <c r="H252" s="345"/>
    </row>
    <row r="253" spans="1:8" x14ac:dyDescent="0.4">
      <c r="A253" s="346"/>
      <c r="B253" s="346"/>
      <c r="C253" s="346"/>
      <c r="D253" s="354"/>
      <c r="E253" s="346"/>
      <c r="F253" s="346"/>
      <c r="G253" s="346"/>
      <c r="H253" s="345"/>
    </row>
    <row r="254" spans="1:8" x14ac:dyDescent="0.4">
      <c r="A254" s="346"/>
      <c r="B254" s="346"/>
      <c r="C254" s="346"/>
      <c r="D254" s="354"/>
      <c r="E254" s="346"/>
      <c r="F254" s="346"/>
      <c r="G254" s="346"/>
      <c r="H254" s="345"/>
    </row>
    <row r="255" spans="1:8" x14ac:dyDescent="0.4">
      <c r="A255" s="346"/>
      <c r="B255" s="346"/>
      <c r="C255" s="346"/>
      <c r="D255" s="354"/>
      <c r="E255" s="346"/>
      <c r="F255" s="346"/>
      <c r="G255" s="346"/>
      <c r="H255" s="345"/>
    </row>
    <row r="256" spans="1:8" x14ac:dyDescent="0.4">
      <c r="A256" s="346"/>
      <c r="B256" s="346"/>
      <c r="C256" s="346"/>
      <c r="D256" s="354"/>
      <c r="E256" s="346"/>
      <c r="F256" s="346"/>
      <c r="G256" s="346"/>
      <c r="H256" s="345"/>
    </row>
    <row r="257" spans="1:8" x14ac:dyDescent="0.4">
      <c r="A257" s="346"/>
      <c r="B257" s="346"/>
      <c r="C257" s="346"/>
      <c r="D257" s="354"/>
      <c r="E257" s="346"/>
      <c r="F257" s="346"/>
      <c r="G257" s="346"/>
      <c r="H257" s="345"/>
    </row>
    <row r="258" spans="1:8" x14ac:dyDescent="0.4">
      <c r="A258" s="346"/>
      <c r="B258" s="346"/>
      <c r="C258" s="346"/>
      <c r="D258" s="354"/>
      <c r="E258" s="346"/>
      <c r="F258" s="346"/>
      <c r="G258" s="346"/>
      <c r="H258" s="345"/>
    </row>
    <row r="259" spans="1:8" x14ac:dyDescent="0.4">
      <c r="A259" s="346"/>
      <c r="B259" s="346"/>
      <c r="C259" s="346"/>
      <c r="D259" s="354"/>
      <c r="E259" s="346"/>
      <c r="F259" s="346"/>
      <c r="G259" s="346"/>
      <c r="H259" s="345"/>
    </row>
    <row r="260" spans="1:8" x14ac:dyDescent="0.4">
      <c r="A260" s="346"/>
      <c r="B260" s="346"/>
      <c r="C260" s="346"/>
      <c r="D260" s="354"/>
      <c r="E260" s="346"/>
      <c r="F260" s="346"/>
      <c r="G260" s="346"/>
      <c r="H260" s="345"/>
    </row>
    <row r="261" spans="1:8" x14ac:dyDescent="0.4">
      <c r="A261" s="346"/>
      <c r="B261" s="346"/>
      <c r="C261" s="346"/>
      <c r="D261" s="354"/>
      <c r="E261" s="346"/>
      <c r="F261" s="346"/>
      <c r="G261" s="346"/>
      <c r="H261" s="345"/>
    </row>
    <row r="262" spans="1:8" x14ac:dyDescent="0.4">
      <c r="A262" s="346"/>
      <c r="B262" s="346"/>
      <c r="C262" s="346"/>
      <c r="D262" s="354"/>
      <c r="E262" s="346"/>
      <c r="F262" s="346"/>
      <c r="G262" s="346"/>
      <c r="H262" s="345"/>
    </row>
    <row r="263" spans="1:8" x14ac:dyDescent="0.4">
      <c r="A263" s="346"/>
      <c r="B263" s="346"/>
      <c r="C263" s="346"/>
      <c r="D263" s="354"/>
      <c r="E263" s="346"/>
      <c r="F263" s="346"/>
      <c r="G263" s="346"/>
      <c r="H263" s="345"/>
    </row>
    <row r="264" spans="1:8" x14ac:dyDescent="0.4">
      <c r="A264" s="346"/>
      <c r="B264" s="346"/>
      <c r="C264" s="346"/>
      <c r="D264" s="354"/>
      <c r="E264" s="346"/>
      <c r="F264" s="346"/>
      <c r="G264" s="346"/>
      <c r="H264" s="345"/>
    </row>
    <row r="265" spans="1:8" x14ac:dyDescent="0.4">
      <c r="A265" s="346"/>
      <c r="B265" s="346"/>
      <c r="C265" s="346"/>
      <c r="D265" s="354"/>
      <c r="E265" s="346"/>
      <c r="F265" s="346"/>
      <c r="G265" s="346"/>
      <c r="H265" s="345"/>
    </row>
    <row r="266" spans="1:8" x14ac:dyDescent="0.4">
      <c r="A266" s="346"/>
      <c r="B266" s="346"/>
      <c r="C266" s="346"/>
      <c r="D266" s="354"/>
      <c r="E266" s="346"/>
      <c r="F266" s="346"/>
      <c r="G266" s="346"/>
      <c r="H266" s="345"/>
    </row>
    <row r="267" spans="1:8" x14ac:dyDescent="0.4">
      <c r="A267" s="346"/>
      <c r="B267" s="346"/>
      <c r="C267" s="346"/>
      <c r="D267" s="354"/>
      <c r="E267" s="346"/>
      <c r="F267" s="346"/>
      <c r="G267" s="346"/>
      <c r="H267" s="345"/>
    </row>
    <row r="268" spans="1:8" x14ac:dyDescent="0.4">
      <c r="A268" s="346"/>
      <c r="B268" s="346"/>
      <c r="C268" s="346"/>
      <c r="D268" s="354"/>
      <c r="E268" s="346"/>
      <c r="F268" s="346"/>
      <c r="G268" s="346"/>
      <c r="H268" s="345"/>
    </row>
    <row r="269" spans="1:8" x14ac:dyDescent="0.4">
      <c r="A269" s="346"/>
      <c r="B269" s="346"/>
      <c r="C269" s="346"/>
      <c r="D269" s="354"/>
      <c r="E269" s="346"/>
      <c r="F269" s="346"/>
      <c r="G269" s="346"/>
      <c r="H269" s="345"/>
    </row>
    <row r="270" spans="1:8" x14ac:dyDescent="0.4">
      <c r="A270" s="346"/>
      <c r="B270" s="346"/>
      <c r="C270" s="346"/>
      <c r="D270" s="354"/>
      <c r="E270" s="346"/>
      <c r="F270" s="346"/>
      <c r="G270" s="346"/>
      <c r="H270" s="345"/>
    </row>
    <row r="271" spans="1:8" x14ac:dyDescent="0.4">
      <c r="A271" s="346"/>
      <c r="B271" s="346"/>
      <c r="C271" s="346"/>
      <c r="D271" s="354"/>
      <c r="E271" s="346"/>
      <c r="F271" s="346"/>
      <c r="G271" s="346"/>
      <c r="H271" s="345"/>
    </row>
    <row r="272" spans="1:8" x14ac:dyDescent="0.4">
      <c r="A272" s="346"/>
      <c r="B272" s="346"/>
      <c r="C272" s="346"/>
      <c r="D272" s="354"/>
      <c r="E272" s="346"/>
      <c r="F272" s="346"/>
      <c r="G272" s="346"/>
      <c r="H272" s="345"/>
    </row>
    <row r="273" spans="1:8" x14ac:dyDescent="0.4">
      <c r="A273" s="346"/>
      <c r="B273" s="346"/>
      <c r="C273" s="346"/>
      <c r="D273" s="354"/>
      <c r="E273" s="346"/>
      <c r="F273" s="346"/>
      <c r="G273" s="346"/>
      <c r="H273" s="345"/>
    </row>
    <row r="274" spans="1:8" x14ac:dyDescent="0.4">
      <c r="A274" s="346"/>
      <c r="B274" s="346"/>
      <c r="C274" s="346"/>
      <c r="D274" s="354"/>
      <c r="E274" s="346"/>
      <c r="F274" s="346"/>
      <c r="G274" s="346"/>
      <c r="H274" s="345"/>
    </row>
    <row r="275" spans="1:8" x14ac:dyDescent="0.4">
      <c r="A275" s="346"/>
      <c r="B275" s="346"/>
      <c r="C275" s="346"/>
      <c r="D275" s="354"/>
      <c r="E275" s="346"/>
      <c r="F275" s="346"/>
      <c r="G275" s="346"/>
      <c r="H275" s="345"/>
    </row>
    <row r="276" spans="1:8" x14ac:dyDescent="0.4">
      <c r="A276" s="346"/>
      <c r="B276" s="346"/>
      <c r="C276" s="346"/>
      <c r="D276" s="354"/>
      <c r="E276" s="346"/>
      <c r="F276" s="346"/>
      <c r="G276" s="346"/>
      <c r="H276" s="345"/>
    </row>
    <row r="277" spans="1:8" x14ac:dyDescent="0.4">
      <c r="A277" s="346"/>
      <c r="B277" s="346"/>
      <c r="C277" s="346"/>
      <c r="D277" s="354"/>
      <c r="E277" s="346"/>
      <c r="F277" s="346"/>
      <c r="G277" s="346"/>
      <c r="H277" s="345"/>
    </row>
    <row r="278" spans="1:8" x14ac:dyDescent="0.4">
      <c r="A278" s="346"/>
      <c r="B278" s="346"/>
      <c r="C278" s="346"/>
      <c r="D278" s="354"/>
      <c r="E278" s="346"/>
      <c r="F278" s="346"/>
      <c r="G278" s="346"/>
      <c r="H278" s="345"/>
    </row>
    <row r="279" spans="1:8" x14ac:dyDescent="0.4">
      <c r="A279" s="346"/>
      <c r="B279" s="346"/>
      <c r="C279" s="346"/>
      <c r="D279" s="354"/>
      <c r="E279" s="346"/>
      <c r="F279" s="346"/>
      <c r="G279" s="346"/>
      <c r="H279" s="345"/>
    </row>
    <row r="280" spans="1:8" x14ac:dyDescent="0.4">
      <c r="A280" s="346"/>
      <c r="B280" s="346"/>
      <c r="C280" s="346"/>
      <c r="D280" s="354"/>
      <c r="E280" s="346"/>
      <c r="F280" s="346"/>
      <c r="G280" s="346"/>
      <c r="H280" s="345"/>
    </row>
    <row r="281" spans="1:8" x14ac:dyDescent="0.4">
      <c r="A281" s="346"/>
      <c r="B281" s="346"/>
      <c r="C281" s="346"/>
      <c r="D281" s="354"/>
      <c r="E281" s="346"/>
      <c r="F281" s="346"/>
      <c r="G281" s="346"/>
      <c r="H281" s="345"/>
    </row>
    <row r="282" spans="1:8" x14ac:dyDescent="0.4">
      <c r="A282" s="346"/>
      <c r="B282" s="346"/>
      <c r="C282" s="346"/>
      <c r="D282" s="354"/>
      <c r="E282" s="346"/>
      <c r="F282" s="346"/>
      <c r="G282" s="346"/>
      <c r="H282" s="345"/>
    </row>
    <row r="283" spans="1:8" x14ac:dyDescent="0.4">
      <c r="A283" s="346"/>
      <c r="B283" s="346"/>
      <c r="C283" s="346"/>
      <c r="D283" s="354"/>
      <c r="E283" s="346"/>
      <c r="F283" s="346"/>
      <c r="G283" s="346"/>
      <c r="H283" s="345"/>
    </row>
    <row r="284" spans="1:8" x14ac:dyDescent="0.4">
      <c r="A284" s="346"/>
      <c r="B284" s="346"/>
      <c r="C284" s="346"/>
      <c r="D284" s="354"/>
      <c r="E284" s="346"/>
      <c r="F284" s="346"/>
      <c r="G284" s="346"/>
      <c r="H284" s="345"/>
    </row>
    <row r="285" spans="1:8" x14ac:dyDescent="0.4">
      <c r="A285" s="346"/>
      <c r="B285" s="346"/>
      <c r="C285" s="346"/>
      <c r="D285" s="354"/>
      <c r="E285" s="346"/>
      <c r="F285" s="346"/>
      <c r="G285" s="346"/>
      <c r="H285" s="345"/>
    </row>
    <row r="286" spans="1:8" x14ac:dyDescent="0.4">
      <c r="A286" s="346"/>
      <c r="B286" s="346"/>
      <c r="C286" s="346"/>
      <c r="D286" s="354"/>
      <c r="E286" s="346"/>
      <c r="F286" s="346"/>
      <c r="G286" s="346"/>
      <c r="H286" s="345"/>
    </row>
    <row r="287" spans="1:8" x14ac:dyDescent="0.4">
      <c r="A287" s="346"/>
      <c r="B287" s="346"/>
      <c r="C287" s="346"/>
      <c r="D287" s="354"/>
      <c r="E287" s="346"/>
      <c r="F287" s="346"/>
      <c r="G287" s="346"/>
      <c r="H287" s="345"/>
    </row>
    <row r="288" spans="1:8" x14ac:dyDescent="0.4">
      <c r="A288" s="346"/>
      <c r="B288" s="346"/>
      <c r="C288" s="346"/>
      <c r="D288" s="354"/>
      <c r="E288" s="346"/>
      <c r="F288" s="346"/>
      <c r="G288" s="346"/>
      <c r="H288" s="345"/>
    </row>
    <row r="289" spans="1:8" x14ac:dyDescent="0.4">
      <c r="A289" s="344"/>
      <c r="B289" s="344" t="s">
        <v>77</v>
      </c>
      <c r="C289" s="344"/>
      <c r="D289" s="353"/>
      <c r="E289" s="344"/>
      <c r="F289" s="344"/>
      <c r="G289" s="344"/>
      <c r="H289" s="345"/>
    </row>
    <row r="290" spans="1:8" x14ac:dyDescent="0.4">
      <c r="A290" s="346" t="s">
        <v>2477</v>
      </c>
      <c r="B290" s="346" t="s">
        <v>2314</v>
      </c>
      <c r="C290" s="346" t="s">
        <v>2478</v>
      </c>
      <c r="D290" s="354" t="s">
        <v>2479</v>
      </c>
      <c r="E290" s="346"/>
      <c r="F290" s="346" t="s">
        <v>2455</v>
      </c>
      <c r="G290" s="346"/>
      <c r="H290" s="345"/>
    </row>
    <row r="291" spans="1:8" x14ac:dyDescent="0.4">
      <c r="A291" s="346" t="s">
        <v>855</v>
      </c>
      <c r="B291" s="346"/>
      <c r="C291" s="346" t="s">
        <v>864</v>
      </c>
      <c r="D291" s="354"/>
      <c r="E291" s="346"/>
      <c r="F291" s="346"/>
      <c r="G291" s="346"/>
      <c r="H291" s="345"/>
    </row>
    <row r="292" spans="1:8" x14ac:dyDescent="0.4">
      <c r="A292" s="346" t="s">
        <v>856</v>
      </c>
      <c r="B292" s="346"/>
      <c r="C292" s="346" t="s">
        <v>865</v>
      </c>
      <c r="D292" s="354"/>
      <c r="E292" s="346"/>
      <c r="F292" s="346"/>
      <c r="G292" s="346"/>
      <c r="H292" s="345"/>
    </row>
    <row r="293" spans="1:8" x14ac:dyDescent="0.4">
      <c r="A293" s="346" t="s">
        <v>857</v>
      </c>
      <c r="B293" s="346"/>
      <c r="C293" s="346" t="s">
        <v>866</v>
      </c>
      <c r="D293" s="354" t="s">
        <v>867</v>
      </c>
      <c r="E293" s="346"/>
      <c r="F293" s="346"/>
      <c r="G293" s="346"/>
      <c r="H293" s="345"/>
    </row>
    <row r="294" spans="1:8" x14ac:dyDescent="0.4">
      <c r="A294" s="346" t="s">
        <v>858</v>
      </c>
      <c r="B294" s="346"/>
      <c r="C294" s="346" t="s">
        <v>868</v>
      </c>
      <c r="D294" s="354" t="s">
        <v>869</v>
      </c>
      <c r="E294" s="346"/>
      <c r="F294" s="346"/>
      <c r="G294" s="346"/>
      <c r="H294" s="345"/>
    </row>
    <row r="295" spans="1:8" x14ac:dyDescent="0.4">
      <c r="A295" s="346" t="s">
        <v>859</v>
      </c>
      <c r="B295" s="346"/>
      <c r="C295" s="346" t="s">
        <v>870</v>
      </c>
      <c r="D295" s="354" t="s">
        <v>871</v>
      </c>
      <c r="E295" s="346"/>
      <c r="F295" s="346"/>
      <c r="G295" s="346"/>
      <c r="H295" s="345"/>
    </row>
    <row r="296" spans="1:8" x14ac:dyDescent="0.4">
      <c r="A296" s="346" t="s">
        <v>860</v>
      </c>
      <c r="B296" s="346"/>
      <c r="C296" s="346" t="s">
        <v>872</v>
      </c>
      <c r="D296" s="354"/>
      <c r="E296" s="346"/>
      <c r="F296" s="346"/>
      <c r="G296" s="346"/>
      <c r="H296" s="345"/>
    </row>
    <row r="297" spans="1:8" x14ac:dyDescent="0.4">
      <c r="A297" s="346" t="s">
        <v>861</v>
      </c>
      <c r="B297" s="346"/>
      <c r="C297" s="346" t="s">
        <v>873</v>
      </c>
      <c r="D297" s="354" t="s">
        <v>874</v>
      </c>
      <c r="E297" s="346"/>
      <c r="F297" s="346"/>
      <c r="G297" s="346"/>
      <c r="H297" s="345"/>
    </row>
    <row r="298" spans="1:8" x14ac:dyDescent="0.4">
      <c r="A298" s="346" t="s">
        <v>862</v>
      </c>
      <c r="B298" s="346"/>
      <c r="C298" s="346" t="s">
        <v>875</v>
      </c>
      <c r="D298" s="354"/>
      <c r="E298" s="346"/>
      <c r="F298" s="346"/>
      <c r="G298" s="346"/>
      <c r="H298" s="345"/>
    </row>
    <row r="299" spans="1:8" x14ac:dyDescent="0.4">
      <c r="A299" s="346" t="s">
        <v>863</v>
      </c>
      <c r="B299" s="346"/>
      <c r="C299" s="346" t="s">
        <v>876</v>
      </c>
      <c r="D299" s="354"/>
      <c r="E299" s="346"/>
      <c r="F299" s="346"/>
      <c r="G299" s="346"/>
      <c r="H299" s="345"/>
    </row>
    <row r="300" spans="1:8" x14ac:dyDescent="0.4">
      <c r="A300" s="346"/>
      <c r="B300" s="346"/>
      <c r="C300" s="346"/>
      <c r="D300" s="354"/>
      <c r="E300" s="346"/>
      <c r="F300" s="346"/>
      <c r="G300" s="346"/>
      <c r="H300" s="345"/>
    </row>
    <row r="301" spans="1:8" x14ac:dyDescent="0.4">
      <c r="A301" s="346"/>
      <c r="B301" s="346"/>
      <c r="C301" s="346"/>
      <c r="D301" s="354"/>
      <c r="E301" s="346"/>
      <c r="F301" s="346"/>
      <c r="G301" s="346"/>
      <c r="H301" s="345"/>
    </row>
    <row r="302" spans="1:8" x14ac:dyDescent="0.4">
      <c r="A302" s="346"/>
      <c r="B302" s="346"/>
      <c r="C302" s="346"/>
      <c r="D302" s="354"/>
      <c r="E302" s="346"/>
      <c r="F302" s="346"/>
      <c r="G302" s="346"/>
      <c r="H302" s="345"/>
    </row>
    <row r="303" spans="1:8" x14ac:dyDescent="0.4">
      <c r="A303" s="346"/>
      <c r="B303" s="346"/>
      <c r="C303" s="346"/>
      <c r="D303" s="354"/>
      <c r="E303" s="346"/>
      <c r="F303" s="346"/>
      <c r="G303" s="346"/>
      <c r="H303" s="345"/>
    </row>
    <row r="304" spans="1:8" x14ac:dyDescent="0.4">
      <c r="A304" s="346"/>
      <c r="B304" s="346"/>
      <c r="C304" s="346"/>
      <c r="D304" s="354"/>
      <c r="E304" s="346"/>
      <c r="F304" s="346"/>
      <c r="G304" s="346"/>
      <c r="H304" s="345"/>
    </row>
    <row r="305" spans="1:8" x14ac:dyDescent="0.4">
      <c r="A305" s="346"/>
      <c r="B305" s="346"/>
      <c r="C305" s="346"/>
      <c r="D305" s="354"/>
      <c r="E305" s="346"/>
      <c r="F305" s="346"/>
      <c r="G305" s="346"/>
      <c r="H305" s="345"/>
    </row>
    <row r="306" spans="1:8" x14ac:dyDescent="0.4">
      <c r="A306" s="346"/>
      <c r="B306" s="346"/>
      <c r="C306" s="346"/>
      <c r="D306" s="354"/>
      <c r="E306" s="346"/>
      <c r="F306" s="346"/>
      <c r="G306" s="346"/>
      <c r="H306" s="345"/>
    </row>
    <row r="307" spans="1:8" x14ac:dyDescent="0.4">
      <c r="A307" s="346"/>
      <c r="B307" s="346"/>
      <c r="C307" s="346"/>
      <c r="D307" s="354"/>
      <c r="E307" s="346"/>
      <c r="F307" s="346"/>
      <c r="G307" s="346"/>
      <c r="H307" s="345"/>
    </row>
    <row r="308" spans="1:8" x14ac:dyDescent="0.4">
      <c r="A308" s="346"/>
      <c r="B308" s="346"/>
      <c r="C308" s="346"/>
      <c r="D308" s="354"/>
      <c r="E308" s="346"/>
      <c r="F308" s="346"/>
      <c r="G308" s="346"/>
      <c r="H308" s="345"/>
    </row>
    <row r="309" spans="1:8" x14ac:dyDescent="0.4">
      <c r="A309" s="346"/>
      <c r="B309" s="346"/>
      <c r="C309" s="346"/>
      <c r="D309" s="354"/>
      <c r="E309" s="346"/>
      <c r="F309" s="346"/>
      <c r="G309" s="346"/>
      <c r="H309" s="345"/>
    </row>
    <row r="310" spans="1:8" x14ac:dyDescent="0.4">
      <c r="A310" s="346"/>
      <c r="B310" s="346"/>
      <c r="C310" s="346"/>
      <c r="D310" s="354"/>
      <c r="E310" s="346"/>
      <c r="F310" s="346"/>
      <c r="G310" s="346"/>
      <c r="H310" s="345"/>
    </row>
    <row r="311" spans="1:8" x14ac:dyDescent="0.4">
      <c r="A311" s="346"/>
      <c r="B311" s="346"/>
      <c r="C311" s="346"/>
      <c r="D311" s="354"/>
      <c r="E311" s="346"/>
      <c r="F311" s="346"/>
      <c r="G311" s="346"/>
      <c r="H311" s="345"/>
    </row>
    <row r="312" spans="1:8" x14ac:dyDescent="0.4">
      <c r="A312" s="346"/>
      <c r="B312" s="346"/>
      <c r="C312" s="346"/>
      <c r="D312" s="354"/>
      <c r="E312" s="346"/>
      <c r="F312" s="346"/>
      <c r="G312" s="346"/>
      <c r="H312" s="345"/>
    </row>
    <row r="313" spans="1:8" x14ac:dyDescent="0.4">
      <c r="A313" s="346"/>
      <c r="B313" s="346"/>
      <c r="C313" s="346"/>
      <c r="D313" s="354"/>
      <c r="E313" s="346"/>
      <c r="F313" s="346"/>
      <c r="G313" s="346"/>
      <c r="H313" s="345"/>
    </row>
    <row r="314" spans="1:8" x14ac:dyDescent="0.4">
      <c r="A314" s="346"/>
      <c r="B314" s="346"/>
      <c r="C314" s="346"/>
      <c r="D314" s="354"/>
      <c r="E314" s="346"/>
      <c r="F314" s="346"/>
      <c r="G314" s="346"/>
      <c r="H314" s="345"/>
    </row>
    <row r="315" spans="1:8" x14ac:dyDescent="0.4">
      <c r="A315" s="346"/>
      <c r="B315" s="346"/>
      <c r="C315" s="346"/>
      <c r="D315" s="354"/>
      <c r="E315" s="346"/>
      <c r="F315" s="346"/>
      <c r="G315" s="346"/>
      <c r="H315" s="345"/>
    </row>
    <row r="316" spans="1:8" x14ac:dyDescent="0.4">
      <c r="A316" s="346"/>
      <c r="B316" s="346"/>
      <c r="C316" s="346"/>
      <c r="D316" s="354"/>
      <c r="E316" s="346"/>
      <c r="F316" s="346"/>
      <c r="G316" s="346"/>
      <c r="H316" s="345"/>
    </row>
    <row r="317" spans="1:8" x14ac:dyDescent="0.4">
      <c r="A317" s="346" t="s">
        <v>11</v>
      </c>
      <c r="B317" s="346"/>
      <c r="C317" s="346" t="s">
        <v>11</v>
      </c>
      <c r="D317" s="354"/>
      <c r="E317" s="346"/>
      <c r="F317" s="346"/>
      <c r="G317" s="346"/>
      <c r="H317" s="345"/>
    </row>
    <row r="318" spans="1:8" x14ac:dyDescent="0.4">
      <c r="A318" s="346"/>
      <c r="B318" s="346"/>
      <c r="C318" s="346"/>
      <c r="D318" s="354"/>
      <c r="E318" s="346"/>
      <c r="F318" s="346"/>
      <c r="G318" s="346"/>
      <c r="H318" s="345"/>
    </row>
    <row r="319" spans="1:8" x14ac:dyDescent="0.4">
      <c r="A319" s="346"/>
      <c r="B319" s="346"/>
      <c r="C319" s="346"/>
      <c r="D319" s="354"/>
      <c r="E319" s="346"/>
      <c r="F319" s="346"/>
      <c r="G319" s="346"/>
      <c r="H319" s="345"/>
    </row>
    <row r="320" spans="1:8" x14ac:dyDescent="0.4">
      <c r="A320" s="346"/>
      <c r="B320" s="346"/>
      <c r="C320" s="346"/>
      <c r="D320" s="354"/>
      <c r="E320" s="346"/>
      <c r="F320" s="346"/>
      <c r="G320" s="346"/>
      <c r="H320" s="345"/>
    </row>
    <row r="321" spans="1:8" x14ac:dyDescent="0.4">
      <c r="A321" s="346"/>
      <c r="B321" s="346"/>
      <c r="C321" s="346"/>
      <c r="D321" s="354"/>
      <c r="E321" s="346"/>
      <c r="F321" s="346"/>
      <c r="G321" s="346"/>
      <c r="H321" s="345"/>
    </row>
    <row r="322" spans="1:8" x14ac:dyDescent="0.4">
      <c r="A322" s="344"/>
      <c r="B322" s="344" t="s">
        <v>80</v>
      </c>
      <c r="C322" s="344"/>
      <c r="D322" s="353"/>
      <c r="E322" s="344"/>
      <c r="F322" s="344"/>
      <c r="G322" s="344"/>
      <c r="H322" s="345"/>
    </row>
    <row r="323" spans="1:8" x14ac:dyDescent="0.4">
      <c r="A323" s="346"/>
      <c r="B323" s="346"/>
      <c r="C323" s="346"/>
      <c r="D323" s="354"/>
      <c r="E323" s="346"/>
      <c r="F323" s="346"/>
      <c r="G323" s="346"/>
      <c r="H323" s="345"/>
    </row>
    <row r="324" spans="1:8" x14ac:dyDescent="0.4">
      <c r="A324" s="346" t="s">
        <v>877</v>
      </c>
      <c r="B324" s="346"/>
      <c r="C324" s="346" t="s">
        <v>882</v>
      </c>
      <c r="D324" s="354"/>
      <c r="E324" s="346"/>
      <c r="F324" s="346"/>
      <c r="G324" s="346"/>
      <c r="H324" s="345"/>
    </row>
    <row r="325" spans="1:8" x14ac:dyDescent="0.4">
      <c r="A325" s="346" t="s">
        <v>878</v>
      </c>
      <c r="B325" s="346"/>
      <c r="C325" s="346" t="s">
        <v>883</v>
      </c>
      <c r="D325" s="354" t="s">
        <v>786</v>
      </c>
      <c r="E325" s="346"/>
      <c r="F325" s="346"/>
      <c r="G325" s="346"/>
      <c r="H325" s="345"/>
    </row>
    <row r="326" spans="1:8" x14ac:dyDescent="0.4">
      <c r="A326" s="346" t="s">
        <v>879</v>
      </c>
      <c r="B326" s="346"/>
      <c r="C326" s="346" t="s">
        <v>884</v>
      </c>
      <c r="D326" s="354" t="s">
        <v>786</v>
      </c>
      <c r="E326" s="346"/>
      <c r="F326" s="346"/>
      <c r="G326" s="346"/>
      <c r="H326" s="345"/>
    </row>
    <row r="327" spans="1:8" x14ac:dyDescent="0.4">
      <c r="A327" s="346" t="s">
        <v>880</v>
      </c>
      <c r="B327" s="346"/>
      <c r="C327" s="346" t="s">
        <v>885</v>
      </c>
      <c r="D327" s="354"/>
      <c r="E327" s="346"/>
      <c r="F327" s="346"/>
      <c r="G327" s="346"/>
      <c r="H327" s="345"/>
    </row>
    <row r="328" spans="1:8" x14ac:dyDescent="0.4">
      <c r="A328" s="346" t="s">
        <v>881</v>
      </c>
      <c r="B328" s="346"/>
      <c r="C328" s="346" t="s">
        <v>885</v>
      </c>
      <c r="D328" s="354"/>
      <c r="E328" s="346"/>
      <c r="F328" s="346"/>
      <c r="G328" s="346"/>
      <c r="H328" s="345"/>
    </row>
    <row r="329" spans="1:8" x14ac:dyDescent="0.4">
      <c r="A329" s="346"/>
      <c r="B329" s="346"/>
      <c r="C329" s="346"/>
      <c r="D329" s="354"/>
      <c r="E329" s="346"/>
      <c r="F329" s="346"/>
      <c r="G329" s="346"/>
      <c r="H329" s="345"/>
    </row>
    <row r="330" spans="1:8" x14ac:dyDescent="0.4">
      <c r="A330" s="346"/>
      <c r="B330" s="346"/>
      <c r="C330" s="346"/>
      <c r="D330" s="354"/>
      <c r="E330" s="346"/>
      <c r="F330" s="346"/>
      <c r="G330" s="346"/>
      <c r="H330" s="345"/>
    </row>
    <row r="331" spans="1:8" x14ac:dyDescent="0.4">
      <c r="A331" s="346"/>
      <c r="B331" s="346"/>
      <c r="C331" s="346"/>
      <c r="D331" s="354"/>
      <c r="E331" s="346"/>
      <c r="F331" s="346"/>
      <c r="G331" s="346"/>
      <c r="H331" s="345"/>
    </row>
    <row r="332" spans="1:8" x14ac:dyDescent="0.4">
      <c r="A332" s="346"/>
      <c r="B332" s="346"/>
      <c r="C332" s="346"/>
      <c r="D332" s="354"/>
      <c r="E332" s="346"/>
      <c r="F332" s="346"/>
      <c r="G332" s="346"/>
      <c r="H332" s="345"/>
    </row>
    <row r="333" spans="1:8" x14ac:dyDescent="0.4">
      <c r="A333" s="346"/>
      <c r="B333" s="346"/>
      <c r="C333" s="346"/>
      <c r="D333" s="354"/>
      <c r="E333" s="346"/>
      <c r="F333" s="346"/>
      <c r="G333" s="346"/>
      <c r="H333" s="345"/>
    </row>
    <row r="334" spans="1:8" x14ac:dyDescent="0.4">
      <c r="A334" s="346"/>
      <c r="B334" s="346"/>
      <c r="C334" s="346"/>
      <c r="D334" s="354"/>
      <c r="E334" s="346"/>
      <c r="F334" s="346"/>
      <c r="G334" s="346"/>
      <c r="H334" s="345"/>
    </row>
    <row r="335" spans="1:8" x14ac:dyDescent="0.4">
      <c r="A335" s="346"/>
      <c r="B335" s="346"/>
      <c r="C335" s="346"/>
      <c r="D335" s="354"/>
      <c r="E335" s="346"/>
      <c r="F335" s="346"/>
      <c r="G335" s="346"/>
      <c r="H335" s="345"/>
    </row>
    <row r="336" spans="1:8" x14ac:dyDescent="0.4">
      <c r="A336" s="346"/>
      <c r="B336" s="346"/>
      <c r="C336" s="346"/>
      <c r="D336" s="354"/>
      <c r="E336" s="346"/>
      <c r="F336" s="346"/>
      <c r="G336" s="346"/>
      <c r="H336" s="345"/>
    </row>
    <row r="337" spans="1:8" x14ac:dyDescent="0.4">
      <c r="A337" s="346"/>
      <c r="B337" s="346"/>
      <c r="C337" s="346"/>
      <c r="D337" s="354"/>
      <c r="E337" s="346"/>
      <c r="F337" s="346"/>
      <c r="G337" s="346"/>
      <c r="H337" s="345"/>
    </row>
    <row r="338" spans="1:8" x14ac:dyDescent="0.4">
      <c r="A338" s="346"/>
      <c r="B338" s="346"/>
      <c r="C338" s="346"/>
      <c r="D338" s="354"/>
      <c r="E338" s="346"/>
      <c r="F338" s="346"/>
      <c r="G338" s="346"/>
      <c r="H338" s="345"/>
    </row>
    <row r="339" spans="1:8" x14ac:dyDescent="0.4">
      <c r="A339" s="346"/>
      <c r="B339" s="346"/>
      <c r="C339" s="346"/>
      <c r="D339" s="354"/>
      <c r="E339" s="346"/>
      <c r="F339" s="346"/>
      <c r="G339" s="346"/>
      <c r="H339" s="345"/>
    </row>
    <row r="340" spans="1:8" x14ac:dyDescent="0.4">
      <c r="A340" s="346"/>
      <c r="B340" s="346"/>
      <c r="C340" s="346"/>
      <c r="D340" s="354"/>
      <c r="E340" s="346"/>
      <c r="F340" s="346"/>
      <c r="G340" s="346"/>
      <c r="H340" s="345"/>
    </row>
    <row r="341" spans="1:8" x14ac:dyDescent="0.4">
      <c r="A341" s="346"/>
      <c r="B341" s="346"/>
      <c r="C341" s="346"/>
      <c r="D341" s="354"/>
      <c r="E341" s="346"/>
      <c r="F341" s="346"/>
      <c r="G341" s="346"/>
      <c r="H341" s="345"/>
    </row>
    <row r="342" spans="1:8" x14ac:dyDescent="0.4">
      <c r="A342" s="346"/>
      <c r="B342" s="346"/>
      <c r="C342" s="346"/>
      <c r="D342" s="354"/>
      <c r="E342" s="346"/>
      <c r="F342" s="346"/>
      <c r="G342" s="346"/>
      <c r="H342" s="345"/>
    </row>
    <row r="343" spans="1:8" x14ac:dyDescent="0.4">
      <c r="A343" s="346"/>
      <c r="B343" s="346"/>
      <c r="C343" s="346"/>
      <c r="D343" s="354"/>
      <c r="E343" s="346"/>
      <c r="F343" s="346"/>
      <c r="G343" s="346"/>
      <c r="H343" s="345"/>
    </row>
    <row r="344" spans="1:8" x14ac:dyDescent="0.4">
      <c r="A344" s="346"/>
      <c r="B344" s="346"/>
      <c r="C344" s="346"/>
      <c r="D344" s="354"/>
      <c r="E344" s="346"/>
      <c r="F344" s="346"/>
      <c r="G344" s="346"/>
      <c r="H344" s="345"/>
    </row>
    <row r="345" spans="1:8" x14ac:dyDescent="0.4">
      <c r="A345" s="346"/>
      <c r="B345" s="346"/>
      <c r="C345" s="346"/>
      <c r="D345" s="354"/>
      <c r="E345" s="346"/>
      <c r="F345" s="346"/>
      <c r="G345" s="346"/>
      <c r="H345" s="345"/>
    </row>
    <row r="346" spans="1:8" x14ac:dyDescent="0.4">
      <c r="A346" s="346"/>
      <c r="B346" s="346"/>
      <c r="C346" s="346"/>
      <c r="D346" s="354"/>
      <c r="E346" s="346"/>
      <c r="F346" s="346"/>
      <c r="G346" s="346"/>
      <c r="H346" s="345"/>
    </row>
    <row r="347" spans="1:8" x14ac:dyDescent="0.4">
      <c r="A347" s="346"/>
      <c r="B347" s="346"/>
      <c r="C347" s="346"/>
      <c r="D347" s="354"/>
      <c r="E347" s="346"/>
      <c r="F347" s="346"/>
      <c r="G347" s="346"/>
      <c r="H347" s="345"/>
    </row>
    <row r="348" spans="1:8" x14ac:dyDescent="0.4">
      <c r="A348" s="346"/>
      <c r="B348" s="346"/>
      <c r="C348" s="346"/>
      <c r="D348" s="354"/>
      <c r="E348" s="346"/>
      <c r="F348" s="346"/>
      <c r="G348" s="346"/>
      <c r="H348" s="345"/>
    </row>
    <row r="349" spans="1:8" x14ac:dyDescent="0.4">
      <c r="A349" s="344"/>
      <c r="B349" s="344" t="s">
        <v>83</v>
      </c>
      <c r="C349" s="344"/>
      <c r="D349" s="353"/>
      <c r="E349" s="344"/>
      <c r="F349" s="344"/>
      <c r="G349" s="344"/>
      <c r="H349" s="345"/>
    </row>
    <row r="350" spans="1:8" x14ac:dyDescent="0.4">
      <c r="A350" s="346"/>
      <c r="B350" s="346"/>
      <c r="C350" s="346"/>
      <c r="D350" s="354"/>
      <c r="E350" s="346"/>
      <c r="F350" s="346"/>
      <c r="G350" s="346"/>
      <c r="H350" s="345"/>
    </row>
    <row r="351" spans="1:8" x14ac:dyDescent="0.4">
      <c r="A351" s="346" t="s">
        <v>886</v>
      </c>
      <c r="B351" s="346"/>
      <c r="C351" s="346" t="s">
        <v>887</v>
      </c>
      <c r="D351" s="354" t="s">
        <v>799</v>
      </c>
      <c r="E351" s="346"/>
      <c r="F351" s="346"/>
      <c r="G351" s="346"/>
      <c r="H351" s="345"/>
    </row>
    <row r="352" spans="1:8" x14ac:dyDescent="0.4">
      <c r="A352" s="346"/>
      <c r="B352" s="346"/>
      <c r="C352" s="346"/>
      <c r="D352" s="354"/>
      <c r="E352" s="346"/>
      <c r="F352" s="346"/>
      <c r="G352" s="346"/>
      <c r="H352" s="345"/>
    </row>
    <row r="353" spans="1:8" x14ac:dyDescent="0.4">
      <c r="A353" s="346"/>
      <c r="B353" s="346"/>
      <c r="C353" s="346"/>
      <c r="D353" s="354"/>
      <c r="E353" s="346"/>
      <c r="F353" s="346"/>
      <c r="G353" s="346"/>
      <c r="H353" s="345"/>
    </row>
    <row r="354" spans="1:8" x14ac:dyDescent="0.4">
      <c r="A354" s="346"/>
      <c r="B354" s="346"/>
      <c r="C354" s="346"/>
      <c r="D354" s="354"/>
      <c r="E354" s="346"/>
      <c r="F354" s="346"/>
      <c r="G354" s="346"/>
      <c r="H354" s="345"/>
    </row>
    <row r="355" spans="1:8" x14ac:dyDescent="0.4">
      <c r="A355" s="346"/>
      <c r="B355" s="346"/>
      <c r="C355" s="346"/>
      <c r="D355" s="354"/>
      <c r="E355" s="346"/>
      <c r="F355" s="346"/>
      <c r="G355" s="346"/>
      <c r="H355" s="345"/>
    </row>
    <row r="356" spans="1:8" x14ac:dyDescent="0.4">
      <c r="A356" s="346"/>
      <c r="B356" s="346"/>
      <c r="C356" s="346"/>
      <c r="D356" s="354"/>
      <c r="E356" s="346"/>
      <c r="F356" s="346"/>
      <c r="G356" s="346"/>
      <c r="H356" s="345"/>
    </row>
    <row r="357" spans="1:8" x14ac:dyDescent="0.4">
      <c r="A357" s="346"/>
      <c r="B357" s="346"/>
      <c r="C357" s="346"/>
      <c r="D357" s="354"/>
      <c r="E357" s="346"/>
      <c r="F357" s="346"/>
      <c r="G357" s="346"/>
      <c r="H357" s="345"/>
    </row>
    <row r="358" spans="1:8" x14ac:dyDescent="0.4">
      <c r="A358" s="346"/>
      <c r="B358" s="346"/>
      <c r="C358" s="346"/>
      <c r="D358" s="354"/>
      <c r="E358" s="346"/>
      <c r="F358" s="346"/>
      <c r="G358" s="346"/>
      <c r="H358" s="345"/>
    </row>
    <row r="359" spans="1:8" x14ac:dyDescent="0.4">
      <c r="A359" s="346"/>
      <c r="B359" s="346"/>
      <c r="C359" s="346"/>
      <c r="D359" s="354"/>
      <c r="E359" s="346"/>
      <c r="F359" s="346"/>
      <c r="G359" s="346"/>
      <c r="H359" s="345"/>
    </row>
    <row r="360" spans="1:8" x14ac:dyDescent="0.4">
      <c r="A360" s="346"/>
      <c r="B360" s="346"/>
      <c r="C360" s="346"/>
      <c r="D360" s="354"/>
      <c r="E360" s="346"/>
      <c r="F360" s="346"/>
      <c r="G360" s="346"/>
      <c r="H360" s="345"/>
    </row>
    <row r="361" spans="1:8" x14ac:dyDescent="0.4">
      <c r="A361" s="346"/>
      <c r="B361" s="346"/>
      <c r="C361" s="346"/>
      <c r="D361" s="354"/>
      <c r="E361" s="346"/>
      <c r="F361" s="346"/>
      <c r="G361" s="346"/>
      <c r="H361" s="345"/>
    </row>
    <row r="362" spans="1:8" x14ac:dyDescent="0.4">
      <c r="A362" s="346"/>
      <c r="B362" s="346"/>
      <c r="C362" s="346"/>
      <c r="D362" s="354"/>
      <c r="E362" s="346"/>
      <c r="F362" s="346"/>
      <c r="G362" s="346"/>
      <c r="H362" s="345"/>
    </row>
    <row r="363" spans="1:8" x14ac:dyDescent="0.4">
      <c r="A363" s="346"/>
      <c r="B363" s="346"/>
      <c r="C363" s="346"/>
      <c r="D363" s="354"/>
      <c r="E363" s="346"/>
      <c r="F363" s="346"/>
      <c r="G363" s="346"/>
      <c r="H363" s="345"/>
    </row>
    <row r="364" spans="1:8" x14ac:dyDescent="0.4">
      <c r="A364" s="346"/>
      <c r="B364" s="346"/>
      <c r="C364" s="346"/>
      <c r="D364" s="354"/>
      <c r="E364" s="346"/>
      <c r="F364" s="346"/>
      <c r="G364" s="346"/>
      <c r="H364" s="345"/>
    </row>
    <row r="365" spans="1:8" x14ac:dyDescent="0.4">
      <c r="A365" s="346"/>
      <c r="B365" s="346"/>
      <c r="C365" s="346"/>
      <c r="D365" s="354"/>
      <c r="E365" s="346"/>
      <c r="F365" s="346"/>
      <c r="G365" s="346"/>
      <c r="H365" s="345"/>
    </row>
    <row r="366" spans="1:8" x14ac:dyDescent="0.4">
      <c r="A366" s="346"/>
      <c r="B366" s="346"/>
      <c r="C366" s="346"/>
      <c r="D366" s="354"/>
      <c r="E366" s="346"/>
      <c r="F366" s="346"/>
      <c r="G366" s="346"/>
      <c r="H366" s="345"/>
    </row>
    <row r="367" spans="1:8" x14ac:dyDescent="0.4">
      <c r="A367" s="346"/>
      <c r="B367" s="346"/>
      <c r="C367" s="346"/>
      <c r="D367" s="354"/>
      <c r="E367" s="346"/>
      <c r="F367" s="346"/>
      <c r="G367" s="346"/>
      <c r="H367" s="345"/>
    </row>
    <row r="368" spans="1:8" x14ac:dyDescent="0.4">
      <c r="A368" s="346"/>
      <c r="B368" s="346"/>
      <c r="C368" s="346"/>
      <c r="D368" s="354"/>
      <c r="E368" s="346"/>
      <c r="F368" s="346"/>
      <c r="G368" s="346"/>
      <c r="H368" s="345"/>
    </row>
    <row r="369" spans="1:8" x14ac:dyDescent="0.4">
      <c r="A369" s="346"/>
      <c r="B369" s="346"/>
      <c r="C369" s="346"/>
      <c r="D369" s="354"/>
      <c r="E369" s="346"/>
      <c r="F369" s="346"/>
      <c r="G369" s="346"/>
      <c r="H369" s="345"/>
    </row>
    <row r="370" spans="1:8" x14ac:dyDescent="0.4">
      <c r="A370" s="346"/>
      <c r="B370" s="346"/>
      <c r="C370" s="346"/>
      <c r="D370" s="354"/>
      <c r="E370" s="346"/>
      <c r="F370" s="346"/>
      <c r="G370" s="346"/>
      <c r="H370" s="345"/>
    </row>
    <row r="371" spans="1:8" x14ac:dyDescent="0.4">
      <c r="A371" s="346"/>
      <c r="B371" s="346"/>
      <c r="C371" s="346"/>
      <c r="D371" s="354"/>
      <c r="E371" s="346"/>
      <c r="F371" s="346"/>
      <c r="G371" s="346"/>
      <c r="H371" s="345"/>
    </row>
    <row r="372" spans="1:8" x14ac:dyDescent="0.4">
      <c r="A372" s="346"/>
      <c r="B372" s="346"/>
      <c r="C372" s="346"/>
      <c r="D372" s="354"/>
      <c r="E372" s="346"/>
      <c r="F372" s="346"/>
      <c r="G372" s="346"/>
      <c r="H372" s="345"/>
    </row>
    <row r="373" spans="1:8" x14ac:dyDescent="0.4">
      <c r="A373" s="346"/>
      <c r="B373" s="346"/>
      <c r="C373" s="346"/>
      <c r="D373" s="354"/>
      <c r="E373" s="346"/>
      <c r="F373" s="346"/>
      <c r="G373" s="346"/>
      <c r="H373" s="345"/>
    </row>
    <row r="374" spans="1:8" x14ac:dyDescent="0.4">
      <c r="A374" s="346"/>
      <c r="B374" s="346"/>
      <c r="C374" s="346"/>
      <c r="D374" s="354"/>
      <c r="E374" s="346"/>
      <c r="F374" s="346"/>
      <c r="G374" s="346"/>
      <c r="H374" s="345"/>
    </row>
    <row r="375" spans="1:8" x14ac:dyDescent="0.4">
      <c r="A375" s="346"/>
      <c r="B375" s="346"/>
      <c r="C375" s="346"/>
      <c r="D375" s="354"/>
      <c r="E375" s="346"/>
      <c r="F375" s="346"/>
      <c r="G375" s="346"/>
      <c r="H375" s="345"/>
    </row>
    <row r="376" spans="1:8" x14ac:dyDescent="0.4">
      <c r="A376" s="346"/>
      <c r="B376" s="346"/>
      <c r="C376" s="346"/>
      <c r="D376" s="354"/>
      <c r="E376" s="346"/>
      <c r="F376" s="346"/>
      <c r="G376" s="346"/>
      <c r="H376" s="345"/>
    </row>
    <row r="377" spans="1:8" x14ac:dyDescent="0.4">
      <c r="A377" s="346"/>
      <c r="B377" s="346"/>
      <c r="C377" s="346"/>
      <c r="D377" s="354"/>
      <c r="E377" s="346"/>
      <c r="F377" s="346"/>
      <c r="G377" s="346"/>
      <c r="H377" s="345"/>
    </row>
    <row r="378" spans="1:8" x14ac:dyDescent="0.4">
      <c r="A378" s="346"/>
      <c r="B378" s="346"/>
      <c r="C378" s="346"/>
      <c r="D378" s="354"/>
      <c r="E378" s="346"/>
      <c r="F378" s="346"/>
      <c r="G378" s="346"/>
      <c r="H378" s="345"/>
    </row>
    <row r="379" spans="1:8" x14ac:dyDescent="0.4">
      <c r="A379" s="346"/>
      <c r="B379" s="346"/>
      <c r="C379" s="346"/>
      <c r="D379" s="354"/>
      <c r="E379" s="346"/>
      <c r="F379" s="346"/>
      <c r="G379" s="346"/>
      <c r="H379" s="345"/>
    </row>
    <row r="380" spans="1:8" x14ac:dyDescent="0.4">
      <c r="A380" s="346"/>
      <c r="B380" s="346"/>
      <c r="C380" s="346"/>
      <c r="D380" s="354"/>
      <c r="E380" s="346"/>
      <c r="F380" s="346"/>
      <c r="G380" s="346"/>
      <c r="H380" s="345"/>
    </row>
    <row r="381" spans="1:8" x14ac:dyDescent="0.4">
      <c r="A381" s="344"/>
      <c r="B381" s="344" t="s">
        <v>87</v>
      </c>
      <c r="C381" s="344"/>
      <c r="D381" s="353"/>
      <c r="E381" s="344"/>
      <c r="F381" s="344"/>
      <c r="G381" s="344"/>
      <c r="H381" s="345"/>
    </row>
    <row r="382" spans="1:8" x14ac:dyDescent="0.4">
      <c r="A382" s="346"/>
      <c r="B382" s="346"/>
      <c r="C382" s="346"/>
      <c r="D382" s="354"/>
      <c r="E382" s="346"/>
      <c r="F382" s="346"/>
      <c r="G382" s="346"/>
      <c r="H382" s="345"/>
    </row>
    <row r="383" spans="1:8" x14ac:dyDescent="0.4">
      <c r="A383" s="346" t="s">
        <v>888</v>
      </c>
      <c r="B383" s="346"/>
      <c r="C383" s="346" t="s">
        <v>890</v>
      </c>
      <c r="D383" s="354" t="s">
        <v>56</v>
      </c>
      <c r="E383" s="346"/>
      <c r="F383" s="346"/>
      <c r="G383" s="346"/>
      <c r="H383" s="345"/>
    </row>
    <row r="384" spans="1:8" x14ac:dyDescent="0.4">
      <c r="A384" s="346" t="s">
        <v>889</v>
      </c>
      <c r="B384" s="346"/>
      <c r="C384" s="346" t="s">
        <v>891</v>
      </c>
      <c r="D384" s="354"/>
      <c r="E384" s="346"/>
      <c r="F384" s="346"/>
      <c r="G384" s="346"/>
      <c r="H384" s="345"/>
    </row>
    <row r="385" spans="1:8" x14ac:dyDescent="0.4">
      <c r="A385" s="346"/>
      <c r="B385" s="346"/>
      <c r="C385" s="346"/>
      <c r="D385" s="354"/>
      <c r="E385" s="346"/>
      <c r="F385" s="346"/>
      <c r="G385" s="346"/>
      <c r="H385" s="345"/>
    </row>
    <row r="386" spans="1:8" x14ac:dyDescent="0.4">
      <c r="A386" s="346"/>
      <c r="B386" s="346"/>
      <c r="C386" s="346"/>
      <c r="D386" s="354"/>
      <c r="E386" s="346"/>
      <c r="F386" s="346"/>
      <c r="G386" s="346"/>
      <c r="H386" s="345"/>
    </row>
    <row r="387" spans="1:8" x14ac:dyDescent="0.4">
      <c r="A387" s="346"/>
      <c r="B387" s="346"/>
      <c r="C387" s="346"/>
      <c r="D387" s="354"/>
      <c r="E387" s="346"/>
      <c r="F387" s="346"/>
      <c r="G387" s="346"/>
      <c r="H387" s="345"/>
    </row>
    <row r="388" spans="1:8" x14ac:dyDescent="0.4">
      <c r="A388" s="346"/>
      <c r="B388" s="346"/>
      <c r="C388" s="346"/>
      <c r="D388" s="354"/>
      <c r="E388" s="346"/>
      <c r="F388" s="346"/>
      <c r="G388" s="346"/>
      <c r="H388" s="345"/>
    </row>
    <row r="389" spans="1:8" x14ac:dyDescent="0.4">
      <c r="A389" s="346"/>
      <c r="B389" s="346"/>
      <c r="C389" s="346"/>
      <c r="D389" s="354"/>
      <c r="E389" s="346"/>
      <c r="F389" s="346"/>
      <c r="G389" s="346"/>
      <c r="H389" s="345"/>
    </row>
    <row r="390" spans="1:8" x14ac:dyDescent="0.4">
      <c r="A390" s="346"/>
      <c r="B390" s="346"/>
      <c r="C390" s="346"/>
      <c r="D390" s="354"/>
      <c r="E390" s="346"/>
      <c r="F390" s="346"/>
      <c r="G390" s="346"/>
      <c r="H390" s="345"/>
    </row>
    <row r="391" spans="1:8" x14ac:dyDescent="0.4">
      <c r="A391" s="346"/>
      <c r="B391" s="346"/>
      <c r="C391" s="346"/>
      <c r="D391" s="354"/>
      <c r="E391" s="346"/>
      <c r="F391" s="346"/>
      <c r="G391" s="346"/>
      <c r="H391" s="345"/>
    </row>
    <row r="392" spans="1:8" x14ac:dyDescent="0.4">
      <c r="A392" s="346"/>
      <c r="B392" s="346"/>
      <c r="C392" s="346"/>
      <c r="D392" s="354"/>
      <c r="E392" s="346"/>
      <c r="F392" s="346"/>
      <c r="G392" s="346"/>
      <c r="H392" s="345"/>
    </row>
    <row r="393" spans="1:8" x14ac:dyDescent="0.4">
      <c r="A393" s="346"/>
      <c r="B393" s="346"/>
      <c r="C393" s="346"/>
      <c r="D393" s="354"/>
      <c r="E393" s="346"/>
      <c r="F393" s="346"/>
      <c r="G393" s="346"/>
      <c r="H393" s="345"/>
    </row>
    <row r="394" spans="1:8" x14ac:dyDescent="0.4">
      <c r="A394" s="346"/>
      <c r="B394" s="346"/>
      <c r="C394" s="346"/>
      <c r="D394" s="354"/>
      <c r="E394" s="346"/>
      <c r="F394" s="346"/>
      <c r="G394" s="346"/>
      <c r="H394" s="345"/>
    </row>
    <row r="395" spans="1:8" x14ac:dyDescent="0.4">
      <c r="A395" s="346"/>
      <c r="B395" s="346"/>
      <c r="C395" s="346"/>
      <c r="D395" s="354"/>
      <c r="E395" s="346"/>
      <c r="F395" s="346"/>
      <c r="G395" s="346"/>
      <c r="H395" s="345"/>
    </row>
    <row r="396" spans="1:8" x14ac:dyDescent="0.4">
      <c r="A396" s="346"/>
      <c r="B396" s="346"/>
      <c r="C396" s="346"/>
      <c r="D396" s="354"/>
      <c r="E396" s="346"/>
      <c r="F396" s="346"/>
      <c r="G396" s="346"/>
      <c r="H396" s="345"/>
    </row>
    <row r="397" spans="1:8" x14ac:dyDescent="0.4">
      <c r="A397" s="346"/>
      <c r="B397" s="346"/>
      <c r="C397" s="346"/>
      <c r="D397" s="354"/>
      <c r="E397" s="346"/>
      <c r="F397" s="346"/>
      <c r="G397" s="346"/>
      <c r="H397" s="345"/>
    </row>
    <row r="398" spans="1:8" x14ac:dyDescent="0.4">
      <c r="A398" s="346"/>
      <c r="B398" s="346"/>
      <c r="C398" s="346"/>
      <c r="D398" s="354"/>
      <c r="E398" s="346"/>
      <c r="F398" s="346"/>
      <c r="G398" s="346"/>
      <c r="H398" s="345"/>
    </row>
    <row r="399" spans="1:8" x14ac:dyDescent="0.4">
      <c r="A399" s="346"/>
      <c r="B399" s="346"/>
      <c r="C399" s="346"/>
      <c r="D399" s="354"/>
      <c r="E399" s="346"/>
      <c r="F399" s="346"/>
      <c r="G399" s="346"/>
      <c r="H399" s="345"/>
    </row>
    <row r="400" spans="1:8" x14ac:dyDescent="0.4">
      <c r="A400" s="346"/>
      <c r="B400" s="346"/>
      <c r="C400" s="346"/>
      <c r="D400" s="354"/>
      <c r="E400" s="346"/>
      <c r="F400" s="346"/>
      <c r="G400" s="346"/>
      <c r="H400" s="345"/>
    </row>
    <row r="401" spans="1:8" x14ac:dyDescent="0.4">
      <c r="A401" s="344"/>
      <c r="B401" s="344" t="s">
        <v>90</v>
      </c>
      <c r="C401" s="344"/>
      <c r="D401" s="353"/>
      <c r="E401" s="344"/>
      <c r="F401" s="344"/>
      <c r="G401" s="344"/>
      <c r="H401" s="345"/>
    </row>
    <row r="402" spans="1:8" x14ac:dyDescent="0.4">
      <c r="A402" s="346"/>
      <c r="B402" s="346"/>
      <c r="C402" s="346"/>
      <c r="D402" s="354"/>
      <c r="E402" s="346"/>
      <c r="F402" s="346"/>
      <c r="G402" s="346"/>
      <c r="H402" s="345"/>
    </row>
    <row r="403" spans="1:8" x14ac:dyDescent="0.4">
      <c r="A403" s="346" t="s">
        <v>892</v>
      </c>
      <c r="B403" s="346"/>
      <c r="C403" s="346" t="s">
        <v>902</v>
      </c>
      <c r="D403" s="354"/>
      <c r="E403" s="346"/>
      <c r="F403" s="346"/>
      <c r="G403" s="346"/>
      <c r="H403" s="345"/>
    </row>
    <row r="404" spans="1:8" x14ac:dyDescent="0.4">
      <c r="A404" s="346" t="s">
        <v>893</v>
      </c>
      <c r="B404" s="346"/>
      <c r="C404" s="346" t="s">
        <v>903</v>
      </c>
      <c r="D404" s="354" t="s">
        <v>904</v>
      </c>
      <c r="E404" s="346"/>
      <c r="F404" s="346"/>
      <c r="G404" s="346"/>
      <c r="H404" s="345"/>
    </row>
    <row r="405" spans="1:8" x14ac:dyDescent="0.4">
      <c r="A405" s="346" t="s">
        <v>894</v>
      </c>
      <c r="B405" s="346"/>
      <c r="C405" s="346" t="s">
        <v>905</v>
      </c>
      <c r="D405" s="354" t="s">
        <v>904</v>
      </c>
      <c r="E405" s="346"/>
      <c r="F405" s="346"/>
      <c r="G405" s="346"/>
      <c r="H405" s="345"/>
    </row>
    <row r="406" spans="1:8" x14ac:dyDescent="0.4">
      <c r="A406" s="346" t="s">
        <v>895</v>
      </c>
      <c r="B406" s="346"/>
      <c r="C406" s="346" t="s">
        <v>906</v>
      </c>
      <c r="D406" s="354"/>
      <c r="E406" s="346"/>
      <c r="F406" s="346"/>
      <c r="G406" s="346"/>
      <c r="H406" s="345"/>
    </row>
    <row r="407" spans="1:8" x14ac:dyDescent="0.4">
      <c r="A407" s="346" t="s">
        <v>896</v>
      </c>
      <c r="B407" s="346"/>
      <c r="C407" s="346" t="s">
        <v>907</v>
      </c>
      <c r="D407" s="354" t="s">
        <v>904</v>
      </c>
      <c r="E407" s="346"/>
      <c r="F407" s="346"/>
      <c r="G407" s="346"/>
      <c r="H407" s="345"/>
    </row>
    <row r="408" spans="1:8" x14ac:dyDescent="0.4">
      <c r="A408" s="346" t="s">
        <v>897</v>
      </c>
      <c r="B408" s="346"/>
      <c r="C408" s="346" t="s">
        <v>908</v>
      </c>
      <c r="D408" s="354"/>
      <c r="E408" s="346"/>
      <c r="F408" s="346"/>
      <c r="G408" s="346"/>
      <c r="H408" s="345"/>
    </row>
    <row r="409" spans="1:8" x14ac:dyDescent="0.4">
      <c r="A409" s="346" t="s">
        <v>898</v>
      </c>
      <c r="B409" s="346"/>
      <c r="C409" s="346" t="s">
        <v>909</v>
      </c>
      <c r="D409" s="354" t="s">
        <v>910</v>
      </c>
      <c r="E409" s="346"/>
      <c r="F409" s="346"/>
      <c r="G409" s="346"/>
      <c r="H409" s="345"/>
    </row>
    <row r="410" spans="1:8" x14ac:dyDescent="0.4">
      <c r="A410" s="346" t="s">
        <v>899</v>
      </c>
      <c r="B410" s="346"/>
      <c r="C410" s="346" t="s">
        <v>911</v>
      </c>
      <c r="D410" s="354"/>
      <c r="E410" s="346"/>
      <c r="F410" s="346"/>
      <c r="G410" s="346"/>
      <c r="H410" s="345"/>
    </row>
    <row r="411" spans="1:8" x14ac:dyDescent="0.4">
      <c r="A411" s="346" t="s">
        <v>900</v>
      </c>
      <c r="B411" s="346"/>
      <c r="C411" s="346" t="s">
        <v>912</v>
      </c>
      <c r="D411" s="354" t="s">
        <v>56</v>
      </c>
      <c r="E411" s="346"/>
      <c r="F411" s="346"/>
      <c r="G411" s="346"/>
      <c r="H411" s="345"/>
    </row>
    <row r="412" spans="1:8" x14ac:dyDescent="0.4">
      <c r="A412" s="346" t="s">
        <v>901</v>
      </c>
      <c r="B412" s="346"/>
      <c r="C412" s="346" t="s">
        <v>913</v>
      </c>
      <c r="D412" s="354"/>
      <c r="E412" s="346"/>
      <c r="F412" s="346"/>
      <c r="G412" s="346"/>
      <c r="H412" s="345"/>
    </row>
    <row r="413" spans="1:8" x14ac:dyDescent="0.4">
      <c r="A413" s="346" t="s">
        <v>2229</v>
      </c>
      <c r="B413" s="346"/>
      <c r="C413" s="346" t="s">
        <v>914</v>
      </c>
      <c r="D413" s="354"/>
      <c r="E413" s="346"/>
      <c r="F413" s="346"/>
      <c r="G413" s="346"/>
      <c r="H413" s="345"/>
    </row>
    <row r="414" spans="1:8" x14ac:dyDescent="0.4">
      <c r="A414" s="346"/>
      <c r="B414" s="346"/>
      <c r="C414" s="346"/>
      <c r="D414" s="354"/>
      <c r="E414" s="346"/>
      <c r="F414" s="346"/>
      <c r="G414" s="346"/>
      <c r="H414" s="345"/>
    </row>
    <row r="415" spans="1:8" x14ac:dyDescent="0.4">
      <c r="A415" s="346"/>
      <c r="B415" s="346"/>
      <c r="C415" s="346"/>
      <c r="D415" s="354"/>
      <c r="E415" s="346"/>
      <c r="F415" s="346"/>
      <c r="G415" s="346"/>
      <c r="H415" s="345"/>
    </row>
    <row r="416" spans="1:8" x14ac:dyDescent="0.4">
      <c r="A416" s="346"/>
      <c r="B416" s="346"/>
      <c r="C416" s="346"/>
      <c r="D416" s="354"/>
      <c r="E416" s="346"/>
      <c r="F416" s="346"/>
      <c r="G416" s="346"/>
      <c r="H416" s="345"/>
    </row>
    <row r="417" spans="1:8" x14ac:dyDescent="0.4">
      <c r="A417" s="346"/>
      <c r="B417" s="346"/>
      <c r="C417" s="346"/>
      <c r="D417" s="354"/>
      <c r="E417" s="346"/>
      <c r="F417" s="346"/>
      <c r="G417" s="346"/>
      <c r="H417" s="345"/>
    </row>
    <row r="418" spans="1:8" x14ac:dyDescent="0.4">
      <c r="A418" s="346"/>
      <c r="B418" s="346"/>
      <c r="C418" s="346"/>
      <c r="D418" s="354"/>
      <c r="E418" s="346"/>
      <c r="F418" s="346"/>
      <c r="G418" s="346"/>
      <c r="H418" s="345"/>
    </row>
    <row r="419" spans="1:8" x14ac:dyDescent="0.4">
      <c r="A419" s="346"/>
      <c r="B419" s="346"/>
      <c r="C419" s="346"/>
      <c r="D419" s="354"/>
      <c r="E419" s="346"/>
      <c r="F419" s="346"/>
      <c r="G419" s="346"/>
      <c r="H419" s="345"/>
    </row>
    <row r="420" spans="1:8" x14ac:dyDescent="0.4">
      <c r="A420" s="346"/>
      <c r="B420" s="346"/>
      <c r="C420" s="346"/>
      <c r="D420" s="354"/>
      <c r="E420" s="346"/>
      <c r="F420" s="346"/>
      <c r="G420" s="346"/>
      <c r="H420" s="345"/>
    </row>
    <row r="421" spans="1:8" x14ac:dyDescent="0.4">
      <c r="A421" s="346"/>
      <c r="B421" s="346"/>
      <c r="C421" s="346"/>
      <c r="D421" s="354"/>
      <c r="E421" s="346"/>
      <c r="F421" s="346"/>
      <c r="G421" s="346"/>
      <c r="H421" s="345"/>
    </row>
    <row r="422" spans="1:8" x14ac:dyDescent="0.4">
      <c r="A422" s="346"/>
      <c r="B422" s="346"/>
      <c r="C422" s="346"/>
      <c r="D422" s="354"/>
      <c r="E422" s="346"/>
      <c r="F422" s="346"/>
      <c r="G422" s="346"/>
      <c r="H422" s="345"/>
    </row>
    <row r="423" spans="1:8" x14ac:dyDescent="0.4">
      <c r="A423" s="346"/>
      <c r="B423" s="346"/>
      <c r="C423" s="346"/>
      <c r="D423" s="354"/>
      <c r="E423" s="346"/>
      <c r="F423" s="346"/>
      <c r="G423" s="346"/>
      <c r="H423" s="345"/>
    </row>
    <row r="424" spans="1:8" x14ac:dyDescent="0.4">
      <c r="A424" s="346"/>
      <c r="B424" s="346"/>
      <c r="C424" s="346"/>
      <c r="D424" s="354"/>
      <c r="E424" s="346"/>
      <c r="F424" s="346"/>
      <c r="G424" s="346"/>
      <c r="H424" s="345"/>
    </row>
    <row r="425" spans="1:8" x14ac:dyDescent="0.4">
      <c r="A425" s="346"/>
      <c r="B425" s="346"/>
      <c r="C425" s="346"/>
      <c r="D425" s="354"/>
      <c r="E425" s="346"/>
      <c r="F425" s="346"/>
      <c r="G425" s="346"/>
      <c r="H425" s="345"/>
    </row>
    <row r="426" spans="1:8" x14ac:dyDescent="0.4">
      <c r="A426" s="346"/>
      <c r="B426" s="346"/>
      <c r="C426" s="346"/>
      <c r="D426" s="354"/>
      <c r="E426" s="346"/>
      <c r="F426" s="346"/>
      <c r="G426" s="346"/>
      <c r="H426" s="345"/>
    </row>
    <row r="427" spans="1:8" x14ac:dyDescent="0.4">
      <c r="A427" s="346"/>
      <c r="B427" s="346"/>
      <c r="C427" s="346"/>
      <c r="D427" s="354"/>
      <c r="E427" s="346"/>
      <c r="F427" s="346"/>
      <c r="G427" s="346"/>
      <c r="H427" s="345"/>
    </row>
    <row r="428" spans="1:8" x14ac:dyDescent="0.4">
      <c r="A428" s="346"/>
      <c r="B428" s="346"/>
      <c r="C428" s="346"/>
      <c r="D428" s="354"/>
      <c r="E428" s="346"/>
      <c r="F428" s="346"/>
      <c r="G428" s="346"/>
      <c r="H428" s="345"/>
    </row>
    <row r="429" spans="1:8" x14ac:dyDescent="0.4">
      <c r="A429" s="346"/>
      <c r="B429" s="346"/>
      <c r="C429" s="346"/>
      <c r="D429" s="354"/>
      <c r="E429" s="346"/>
      <c r="F429" s="346"/>
      <c r="G429" s="346"/>
      <c r="H429" s="345"/>
    </row>
    <row r="430" spans="1:8" x14ac:dyDescent="0.4">
      <c r="A430" s="346"/>
      <c r="B430" s="346"/>
      <c r="C430" s="346"/>
      <c r="D430" s="354"/>
      <c r="E430" s="346"/>
      <c r="F430" s="346"/>
      <c r="G430" s="346"/>
      <c r="H430" s="345"/>
    </row>
    <row r="431" spans="1:8" x14ac:dyDescent="0.4">
      <c r="A431" s="346"/>
      <c r="B431" s="346"/>
      <c r="C431" s="346"/>
      <c r="D431" s="354"/>
      <c r="E431" s="346"/>
      <c r="F431" s="346"/>
      <c r="G431" s="346"/>
      <c r="H431" s="345"/>
    </row>
    <row r="432" spans="1:8" x14ac:dyDescent="0.4">
      <c r="A432" s="346"/>
      <c r="B432" s="346"/>
      <c r="C432" s="346"/>
      <c r="D432" s="354"/>
      <c r="E432" s="346"/>
      <c r="F432" s="346"/>
      <c r="G432" s="346"/>
      <c r="H432" s="345"/>
    </row>
    <row r="433" spans="1:8" x14ac:dyDescent="0.4">
      <c r="A433" s="346"/>
      <c r="B433" s="346"/>
      <c r="C433" s="346"/>
      <c r="D433" s="354"/>
      <c r="E433" s="346"/>
      <c r="F433" s="346"/>
      <c r="G433" s="346"/>
      <c r="H433" s="345"/>
    </row>
    <row r="434" spans="1:8" x14ac:dyDescent="0.4">
      <c r="A434" s="346"/>
      <c r="B434" s="346"/>
      <c r="C434" s="346"/>
      <c r="D434" s="354"/>
      <c r="E434" s="346"/>
      <c r="F434" s="346"/>
      <c r="G434" s="346"/>
      <c r="H434" s="345"/>
    </row>
    <row r="435" spans="1:8" x14ac:dyDescent="0.4">
      <c r="A435" s="346"/>
      <c r="B435" s="346"/>
      <c r="C435" s="346"/>
      <c r="D435" s="354"/>
      <c r="E435" s="346"/>
      <c r="F435" s="346"/>
      <c r="G435" s="346"/>
      <c r="H435" s="345"/>
    </row>
    <row r="436" spans="1:8" x14ac:dyDescent="0.4">
      <c r="A436" s="346"/>
      <c r="B436" s="346"/>
      <c r="C436" s="346"/>
      <c r="D436" s="354"/>
      <c r="E436" s="346"/>
      <c r="F436" s="346"/>
      <c r="G436" s="346"/>
      <c r="H436" s="345"/>
    </row>
    <row r="437" spans="1:8" x14ac:dyDescent="0.4">
      <c r="A437" s="346"/>
      <c r="B437" s="346"/>
      <c r="C437" s="346"/>
      <c r="D437" s="354"/>
      <c r="E437" s="346"/>
      <c r="F437" s="346"/>
      <c r="G437" s="346"/>
      <c r="H437" s="345"/>
    </row>
    <row r="438" spans="1:8" x14ac:dyDescent="0.4">
      <c r="A438" s="346"/>
      <c r="B438" s="346"/>
      <c r="C438" s="346"/>
      <c r="D438" s="354"/>
      <c r="E438" s="346"/>
      <c r="F438" s="346"/>
      <c r="G438" s="346"/>
      <c r="H438" s="345"/>
    </row>
    <row r="439" spans="1:8" x14ac:dyDescent="0.4">
      <c r="A439" s="346"/>
      <c r="B439" s="346"/>
      <c r="C439" s="346"/>
      <c r="D439" s="354"/>
      <c r="E439" s="346"/>
      <c r="F439" s="346"/>
      <c r="G439" s="346"/>
      <c r="H439" s="345"/>
    </row>
    <row r="440" spans="1:8" x14ac:dyDescent="0.4">
      <c r="A440" s="346"/>
      <c r="B440" s="346"/>
      <c r="C440" s="346"/>
      <c r="D440" s="354"/>
      <c r="E440" s="346"/>
      <c r="F440" s="346"/>
      <c r="G440" s="346"/>
      <c r="H440" s="345"/>
    </row>
    <row r="441" spans="1:8" x14ac:dyDescent="0.4">
      <c r="A441" s="346"/>
      <c r="B441" s="346"/>
      <c r="C441" s="346"/>
      <c r="D441" s="354"/>
      <c r="E441" s="346"/>
      <c r="F441" s="346"/>
      <c r="G441" s="346"/>
      <c r="H441" s="345"/>
    </row>
    <row r="442" spans="1:8" x14ac:dyDescent="0.4">
      <c r="A442" s="346"/>
      <c r="B442" s="346"/>
      <c r="C442" s="346"/>
      <c r="D442" s="354"/>
      <c r="E442" s="346"/>
      <c r="F442" s="346"/>
      <c r="G442" s="346"/>
      <c r="H442" s="345"/>
    </row>
    <row r="443" spans="1:8" x14ac:dyDescent="0.4">
      <c r="A443" s="346"/>
      <c r="B443" s="346"/>
      <c r="C443" s="346"/>
      <c r="D443" s="354"/>
      <c r="E443" s="346"/>
      <c r="F443" s="346"/>
      <c r="G443" s="346"/>
      <c r="H443" s="345"/>
    </row>
    <row r="444" spans="1:8" x14ac:dyDescent="0.4">
      <c r="A444" s="346"/>
      <c r="B444" s="346"/>
      <c r="C444" s="346"/>
      <c r="D444" s="354"/>
      <c r="E444" s="346"/>
      <c r="F444" s="346"/>
      <c r="G444" s="346"/>
      <c r="H444" s="345"/>
    </row>
  </sheetData>
  <phoneticPr fontId="3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E407C-0098-46B8-90B0-7F40AC59B221}">
  <sheetPr codeName="Sheet12"/>
  <dimension ref="A1:H444"/>
  <sheetViews>
    <sheetView zoomScale="80" zoomScaleNormal="80" workbookViewId="0">
      <selection activeCell="E16" sqref="E16"/>
    </sheetView>
  </sheetViews>
  <sheetFormatPr defaultColWidth="9" defaultRowHeight="13.5" x14ac:dyDescent="0.4"/>
  <cols>
    <col min="1" max="1" width="37.75" style="189" bestFit="1" customWidth="1"/>
    <col min="2" max="2" width="7.375" style="189" bestFit="1" customWidth="1"/>
    <col min="3" max="3" width="46.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67" t="s">
        <v>338</v>
      </c>
      <c r="E1" s="342" t="s">
        <v>7</v>
      </c>
      <c r="F1" s="342" t="s">
        <v>8</v>
      </c>
      <c r="G1" s="34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68"/>
      <c r="E2" s="344"/>
      <c r="F2" s="344"/>
      <c r="G2" s="344"/>
      <c r="H2" s="345" t="s">
        <v>53</v>
      </c>
    </row>
    <row r="3" spans="1:8" x14ac:dyDescent="0.4">
      <c r="A3" s="346" t="s">
        <v>11</v>
      </c>
      <c r="B3" s="346" t="s">
        <v>2311</v>
      </c>
      <c r="C3" s="346" t="s">
        <v>11</v>
      </c>
      <c r="D3" s="369" t="s">
        <v>11</v>
      </c>
      <c r="E3" s="346"/>
      <c r="F3" s="346"/>
      <c r="G3" s="346"/>
      <c r="H3" s="345" t="s">
        <v>60</v>
      </c>
    </row>
    <row r="4" spans="1:8" x14ac:dyDescent="0.4">
      <c r="A4" s="346" t="s">
        <v>915</v>
      </c>
      <c r="B4" s="346"/>
      <c r="C4" s="346" t="s">
        <v>916</v>
      </c>
      <c r="D4" s="369"/>
      <c r="E4" s="346"/>
      <c r="F4" s="346"/>
      <c r="G4" s="346"/>
      <c r="H4" s="345" t="s">
        <v>64</v>
      </c>
    </row>
    <row r="5" spans="1:8" x14ac:dyDescent="0.4">
      <c r="A5" s="346" t="s">
        <v>917</v>
      </c>
      <c r="B5" s="346"/>
      <c r="C5" s="346" t="s">
        <v>918</v>
      </c>
      <c r="D5" s="369"/>
      <c r="E5" s="346"/>
      <c r="F5" s="346"/>
      <c r="G5" s="346"/>
      <c r="H5" s="345" t="s">
        <v>67</v>
      </c>
    </row>
    <row r="6" spans="1:8" x14ac:dyDescent="0.4">
      <c r="A6" s="346" t="s">
        <v>919</v>
      </c>
      <c r="B6" s="346"/>
      <c r="C6" s="346" t="s">
        <v>920</v>
      </c>
      <c r="D6" s="369" t="s">
        <v>56</v>
      </c>
      <c r="E6" s="346"/>
      <c r="F6" s="346"/>
      <c r="G6" s="346"/>
      <c r="H6" s="347" t="s">
        <v>70</v>
      </c>
    </row>
    <row r="7" spans="1:8" x14ac:dyDescent="0.4">
      <c r="A7" s="346" t="s">
        <v>921</v>
      </c>
      <c r="B7" s="346"/>
      <c r="C7" s="346" t="s">
        <v>922</v>
      </c>
      <c r="D7" s="369" t="s">
        <v>56</v>
      </c>
      <c r="E7" s="346"/>
      <c r="F7" s="346"/>
      <c r="G7" s="346"/>
      <c r="H7" s="345" t="s">
        <v>73</v>
      </c>
    </row>
    <row r="8" spans="1:8" x14ac:dyDescent="0.4">
      <c r="A8" s="346" t="s">
        <v>923</v>
      </c>
      <c r="B8" s="346"/>
      <c r="C8" s="346" t="s">
        <v>924</v>
      </c>
      <c r="D8" s="369" t="s">
        <v>925</v>
      </c>
      <c r="E8" s="346"/>
      <c r="F8" s="346"/>
      <c r="G8" s="346"/>
      <c r="H8" s="345" t="s">
        <v>77</v>
      </c>
    </row>
    <row r="9" spans="1:8" x14ac:dyDescent="0.4">
      <c r="A9" s="346" t="s">
        <v>926</v>
      </c>
      <c r="B9" s="346"/>
      <c r="C9" s="346" t="s">
        <v>927</v>
      </c>
      <c r="D9" s="369"/>
      <c r="E9" s="346"/>
      <c r="F9" s="346"/>
      <c r="G9" s="346"/>
      <c r="H9" s="345" t="s">
        <v>80</v>
      </c>
    </row>
    <row r="10" spans="1:8" x14ac:dyDescent="0.4">
      <c r="A10" s="346" t="s">
        <v>928</v>
      </c>
      <c r="B10" s="346"/>
      <c r="C10" s="346" t="s">
        <v>1059</v>
      </c>
      <c r="D10" s="369"/>
      <c r="E10" s="346"/>
      <c r="F10" s="346"/>
      <c r="G10" s="346"/>
      <c r="H10" s="345" t="s">
        <v>83</v>
      </c>
    </row>
    <row r="11" spans="1:8" x14ac:dyDescent="0.4">
      <c r="A11" s="346" t="s">
        <v>929</v>
      </c>
      <c r="B11" s="346"/>
      <c r="C11" s="346" t="s">
        <v>1060</v>
      </c>
      <c r="D11" s="369"/>
      <c r="E11" s="346"/>
      <c r="F11" s="346"/>
      <c r="G11" s="346"/>
      <c r="H11" s="345" t="s">
        <v>87</v>
      </c>
    </row>
    <row r="12" spans="1:8" x14ac:dyDescent="0.4">
      <c r="A12" s="346" t="s">
        <v>1062</v>
      </c>
      <c r="B12" s="346"/>
      <c r="C12" s="346" t="s">
        <v>1061</v>
      </c>
      <c r="D12" s="369"/>
      <c r="E12" s="346"/>
      <c r="F12" s="346"/>
      <c r="G12" s="346"/>
      <c r="H12" s="345" t="s">
        <v>90</v>
      </c>
    </row>
    <row r="13" spans="1:8" x14ac:dyDescent="0.4">
      <c r="A13" s="346" t="s">
        <v>2354</v>
      </c>
      <c r="B13" s="346" t="s">
        <v>2311</v>
      </c>
      <c r="C13" s="346" t="s">
        <v>2355</v>
      </c>
      <c r="D13" s="369"/>
      <c r="E13" s="346"/>
      <c r="F13" s="346"/>
      <c r="G13" s="346"/>
      <c r="H13" s="345"/>
    </row>
    <row r="14" spans="1:8" x14ac:dyDescent="0.4">
      <c r="A14" s="346" t="s">
        <v>2389</v>
      </c>
      <c r="B14" s="346" t="s">
        <v>2311</v>
      </c>
      <c r="C14" s="346" t="s">
        <v>2390</v>
      </c>
      <c r="D14" s="369"/>
      <c r="E14" s="346"/>
      <c r="F14" s="346"/>
      <c r="G14" s="346"/>
      <c r="H14" s="345"/>
    </row>
    <row r="15" spans="1:8" x14ac:dyDescent="0.4">
      <c r="A15" s="346" t="s">
        <v>2490</v>
      </c>
      <c r="B15" s="346" t="s">
        <v>2311</v>
      </c>
      <c r="C15" s="346" t="s">
        <v>2491</v>
      </c>
      <c r="D15" s="369" t="s">
        <v>2455</v>
      </c>
      <c r="E15" s="346"/>
      <c r="F15" s="346"/>
      <c r="G15" s="346"/>
      <c r="H15" s="345"/>
    </row>
    <row r="16" spans="1:8" x14ac:dyDescent="0.4">
      <c r="A16" s="346" t="s">
        <v>2513</v>
      </c>
      <c r="B16" s="346" t="s">
        <v>2311</v>
      </c>
      <c r="C16" s="346" t="s">
        <v>2514</v>
      </c>
      <c r="D16" s="369" t="s">
        <v>2515</v>
      </c>
      <c r="E16" s="346">
        <v>1025</v>
      </c>
      <c r="F16" s="346"/>
      <c r="G16" s="346"/>
      <c r="H16" s="345"/>
    </row>
    <row r="17" spans="1:8" x14ac:dyDescent="0.4">
      <c r="A17" s="346" t="s">
        <v>2698</v>
      </c>
      <c r="B17" s="346" t="s">
        <v>2311</v>
      </c>
      <c r="C17" s="346" t="s">
        <v>2699</v>
      </c>
      <c r="D17" s="369" t="s">
        <v>2700</v>
      </c>
      <c r="E17" s="346"/>
      <c r="F17" s="346" t="s">
        <v>2455</v>
      </c>
      <c r="G17" s="346"/>
      <c r="H17" s="345"/>
    </row>
    <row r="18" spans="1:8" x14ac:dyDescent="0.4">
      <c r="A18" s="346"/>
      <c r="B18" s="346"/>
      <c r="C18" s="346"/>
      <c r="D18" s="369"/>
      <c r="E18" s="346"/>
      <c r="F18" s="346"/>
      <c r="G18" s="346"/>
      <c r="H18" s="345"/>
    </row>
    <row r="19" spans="1:8" x14ac:dyDescent="0.4">
      <c r="A19" s="346"/>
      <c r="B19" s="346"/>
      <c r="C19" s="346"/>
      <c r="D19" s="369"/>
      <c r="E19" s="346"/>
      <c r="F19" s="346"/>
      <c r="G19" s="346"/>
      <c r="H19" s="345"/>
    </row>
    <row r="20" spans="1:8" x14ac:dyDescent="0.4">
      <c r="A20" s="346"/>
      <c r="B20" s="346"/>
      <c r="C20" s="346"/>
      <c r="D20" s="369"/>
      <c r="E20" s="346"/>
      <c r="F20" s="346"/>
      <c r="G20" s="346"/>
      <c r="H20" s="345"/>
    </row>
    <row r="21" spans="1:8" x14ac:dyDescent="0.4">
      <c r="A21" s="346"/>
      <c r="B21" s="346"/>
      <c r="C21" s="346"/>
      <c r="D21" s="369"/>
      <c r="E21" s="346"/>
      <c r="F21" s="346"/>
      <c r="G21" s="346"/>
      <c r="H21" s="345"/>
    </row>
    <row r="22" spans="1:8" x14ac:dyDescent="0.4">
      <c r="A22" s="346"/>
      <c r="B22" s="346"/>
      <c r="C22" s="346"/>
      <c r="D22" s="369"/>
      <c r="E22" s="346"/>
      <c r="F22" s="346"/>
      <c r="G22" s="346"/>
      <c r="H22" s="345"/>
    </row>
    <row r="23" spans="1:8" x14ac:dyDescent="0.4">
      <c r="A23" s="346"/>
      <c r="B23" s="346"/>
      <c r="C23" s="346"/>
      <c r="D23" s="369"/>
      <c r="E23" s="346"/>
      <c r="F23" s="346"/>
      <c r="G23" s="346"/>
      <c r="H23" s="345"/>
    </row>
    <row r="24" spans="1:8" x14ac:dyDescent="0.4">
      <c r="A24" s="346"/>
      <c r="B24" s="346"/>
      <c r="C24" s="346"/>
      <c r="D24" s="369"/>
      <c r="E24" s="346"/>
      <c r="F24" s="346"/>
      <c r="G24" s="346"/>
      <c r="H24" s="345"/>
    </row>
    <row r="25" spans="1:8" x14ac:dyDescent="0.4">
      <c r="A25" s="346"/>
      <c r="B25" s="346"/>
      <c r="C25" s="346"/>
      <c r="D25" s="369"/>
      <c r="E25" s="346"/>
      <c r="F25" s="346"/>
      <c r="G25" s="346"/>
      <c r="H25" s="345"/>
    </row>
    <row r="26" spans="1:8" x14ac:dyDescent="0.4">
      <c r="A26" s="346"/>
      <c r="B26" s="346"/>
      <c r="C26" s="346"/>
      <c r="D26" s="369"/>
      <c r="E26" s="346"/>
      <c r="F26" s="346"/>
      <c r="G26" s="346"/>
      <c r="H26" s="345"/>
    </row>
    <row r="27" spans="1:8" x14ac:dyDescent="0.4">
      <c r="A27" s="346"/>
      <c r="B27" s="346"/>
      <c r="C27" s="346"/>
      <c r="D27" s="369"/>
      <c r="E27" s="346"/>
      <c r="F27" s="346"/>
      <c r="G27" s="346"/>
      <c r="H27" s="345"/>
    </row>
    <row r="28" spans="1:8" x14ac:dyDescent="0.4">
      <c r="A28" s="346"/>
      <c r="B28" s="346"/>
      <c r="C28" s="346"/>
      <c r="D28" s="369"/>
      <c r="E28" s="346"/>
      <c r="F28" s="346"/>
      <c r="G28" s="346"/>
      <c r="H28" s="345"/>
    </row>
    <row r="29" spans="1:8" x14ac:dyDescent="0.4">
      <c r="A29" s="346"/>
      <c r="B29" s="346"/>
      <c r="C29" s="346"/>
      <c r="D29" s="369"/>
      <c r="E29" s="346"/>
      <c r="F29" s="346"/>
      <c r="G29" s="346"/>
      <c r="H29" s="345"/>
    </row>
    <row r="30" spans="1:8" x14ac:dyDescent="0.4">
      <c r="A30" s="346"/>
      <c r="B30" s="346"/>
      <c r="C30" s="346"/>
      <c r="D30" s="369"/>
      <c r="E30" s="346"/>
      <c r="F30" s="346"/>
      <c r="G30" s="346"/>
      <c r="H30" s="345"/>
    </row>
    <row r="31" spans="1:8" x14ac:dyDescent="0.4">
      <c r="A31" s="346"/>
      <c r="B31" s="346"/>
      <c r="C31" s="346"/>
      <c r="D31" s="369"/>
      <c r="E31" s="346"/>
      <c r="F31" s="346"/>
      <c r="G31" s="346"/>
      <c r="H31" s="345"/>
    </row>
    <row r="32" spans="1:8" x14ac:dyDescent="0.4">
      <c r="A32" s="346"/>
      <c r="B32" s="346"/>
      <c r="C32" s="346"/>
      <c r="D32" s="369"/>
      <c r="E32" s="346"/>
      <c r="F32" s="346"/>
      <c r="G32" s="346"/>
      <c r="H32" s="345"/>
    </row>
    <row r="33" spans="1:8" x14ac:dyDescent="0.4">
      <c r="A33" s="346"/>
      <c r="B33" s="346"/>
      <c r="C33" s="346"/>
      <c r="D33" s="369"/>
      <c r="E33" s="346"/>
      <c r="F33" s="346"/>
      <c r="G33" s="346"/>
      <c r="H33" s="345"/>
    </row>
    <row r="34" spans="1:8" x14ac:dyDescent="0.4">
      <c r="A34" s="346"/>
      <c r="B34" s="346"/>
      <c r="C34" s="346"/>
      <c r="D34" s="369"/>
      <c r="E34" s="346"/>
      <c r="F34" s="346"/>
      <c r="G34" s="346"/>
      <c r="H34" s="345"/>
    </row>
    <row r="35" spans="1:8" x14ac:dyDescent="0.4">
      <c r="A35" s="346"/>
      <c r="B35" s="346"/>
      <c r="C35" s="346"/>
      <c r="D35" s="369"/>
      <c r="E35" s="346"/>
      <c r="F35" s="346"/>
      <c r="G35" s="346"/>
      <c r="H35" s="345"/>
    </row>
    <row r="36" spans="1:8" x14ac:dyDescent="0.4">
      <c r="A36" s="346"/>
      <c r="B36" s="346"/>
      <c r="C36" s="346"/>
      <c r="D36" s="369"/>
      <c r="E36" s="346"/>
      <c r="F36" s="346"/>
      <c r="G36" s="346"/>
      <c r="H36" s="345"/>
    </row>
    <row r="37" spans="1:8" x14ac:dyDescent="0.4">
      <c r="A37" s="346"/>
      <c r="B37" s="346"/>
      <c r="C37" s="346"/>
      <c r="D37" s="369"/>
      <c r="E37" s="346"/>
      <c r="F37" s="346"/>
      <c r="G37" s="346"/>
      <c r="H37" s="345"/>
    </row>
    <row r="38" spans="1:8" x14ac:dyDescent="0.4">
      <c r="A38" s="346"/>
      <c r="B38" s="346"/>
      <c r="C38" s="346"/>
      <c r="D38" s="369"/>
      <c r="E38" s="346"/>
      <c r="F38" s="346"/>
      <c r="G38" s="346"/>
      <c r="H38" s="345"/>
    </row>
    <row r="39" spans="1:8" x14ac:dyDescent="0.4">
      <c r="A39" s="346"/>
      <c r="B39" s="346"/>
      <c r="C39" s="346"/>
      <c r="D39" s="369"/>
      <c r="E39" s="346"/>
      <c r="F39" s="346"/>
      <c r="G39" s="346"/>
      <c r="H39" s="345"/>
    </row>
    <row r="40" spans="1:8" x14ac:dyDescent="0.4">
      <c r="A40" s="346"/>
      <c r="B40" s="346"/>
      <c r="C40" s="346"/>
      <c r="D40" s="369"/>
      <c r="E40" s="346"/>
      <c r="F40" s="346"/>
      <c r="G40" s="346"/>
      <c r="H40" s="345"/>
    </row>
    <row r="41" spans="1:8" x14ac:dyDescent="0.4">
      <c r="A41" s="346"/>
      <c r="B41" s="346"/>
      <c r="C41" s="346"/>
      <c r="D41" s="369"/>
      <c r="E41" s="346"/>
      <c r="F41" s="346"/>
      <c r="G41" s="346"/>
      <c r="H41" s="345"/>
    </row>
    <row r="42" spans="1:8" x14ac:dyDescent="0.4">
      <c r="A42" s="346"/>
      <c r="B42" s="346"/>
      <c r="C42" s="346"/>
      <c r="D42" s="369"/>
      <c r="E42" s="346"/>
      <c r="F42" s="346"/>
      <c r="G42" s="346"/>
      <c r="H42" s="345"/>
    </row>
    <row r="43" spans="1:8" x14ac:dyDescent="0.4">
      <c r="A43" s="346"/>
      <c r="B43" s="346"/>
      <c r="C43" s="346"/>
      <c r="D43" s="369"/>
      <c r="E43" s="346"/>
      <c r="F43" s="346"/>
      <c r="G43" s="346"/>
      <c r="H43" s="345"/>
    </row>
    <row r="44" spans="1:8" x14ac:dyDescent="0.4">
      <c r="A44" s="346"/>
      <c r="B44" s="346"/>
      <c r="C44" s="346"/>
      <c r="D44" s="369"/>
      <c r="E44" s="346"/>
      <c r="F44" s="346"/>
      <c r="G44" s="346"/>
      <c r="H44" s="345"/>
    </row>
    <row r="45" spans="1:8" x14ac:dyDescent="0.4">
      <c r="A45" s="346"/>
      <c r="B45" s="346"/>
      <c r="C45" s="346"/>
      <c r="D45" s="369"/>
      <c r="E45" s="346"/>
      <c r="F45" s="346"/>
      <c r="G45" s="346"/>
      <c r="H45" s="345"/>
    </row>
    <row r="46" spans="1:8" x14ac:dyDescent="0.4">
      <c r="A46" s="346"/>
      <c r="B46" s="346"/>
      <c r="C46" s="346"/>
      <c r="D46" s="369"/>
      <c r="E46" s="346"/>
      <c r="F46" s="346"/>
      <c r="G46" s="346"/>
      <c r="H46" s="345"/>
    </row>
    <row r="47" spans="1:8" x14ac:dyDescent="0.4">
      <c r="A47" s="346"/>
      <c r="B47" s="346"/>
      <c r="C47" s="346"/>
      <c r="D47" s="369"/>
      <c r="E47" s="346"/>
      <c r="F47" s="346"/>
      <c r="G47" s="346"/>
      <c r="H47" s="345"/>
    </row>
    <row r="48" spans="1:8" x14ac:dyDescent="0.4">
      <c r="A48" s="346"/>
      <c r="B48" s="346"/>
      <c r="C48" s="346"/>
      <c r="D48" s="369"/>
      <c r="E48" s="346"/>
      <c r="F48" s="346"/>
      <c r="G48" s="346"/>
      <c r="H48" s="345"/>
    </row>
    <row r="49" spans="1:8" x14ac:dyDescent="0.4">
      <c r="A49" s="346"/>
      <c r="B49" s="346"/>
      <c r="C49" s="346"/>
      <c r="D49" s="369"/>
      <c r="E49" s="346"/>
      <c r="F49" s="346"/>
      <c r="G49" s="346"/>
      <c r="H49" s="345"/>
    </row>
    <row r="50" spans="1:8" x14ac:dyDescent="0.4">
      <c r="A50" s="346"/>
      <c r="B50" s="346"/>
      <c r="C50" s="346"/>
      <c r="D50" s="369"/>
      <c r="E50" s="346"/>
      <c r="F50" s="346"/>
      <c r="G50" s="346"/>
      <c r="H50" s="345"/>
    </row>
    <row r="51" spans="1:8" x14ac:dyDescent="0.4">
      <c r="A51" s="346"/>
      <c r="B51" s="346"/>
      <c r="C51" s="346"/>
      <c r="D51" s="369"/>
      <c r="E51" s="346"/>
      <c r="F51" s="346"/>
      <c r="G51" s="346"/>
      <c r="H51" s="345"/>
    </row>
    <row r="52" spans="1:8" x14ac:dyDescent="0.4">
      <c r="A52" s="346"/>
      <c r="B52" s="346"/>
      <c r="C52" s="346"/>
      <c r="D52" s="369"/>
      <c r="E52" s="346"/>
      <c r="F52" s="346"/>
      <c r="G52" s="346"/>
      <c r="H52" s="345"/>
    </row>
    <row r="53" spans="1:8" x14ac:dyDescent="0.4">
      <c r="A53" s="346"/>
      <c r="B53" s="346"/>
      <c r="C53" s="346"/>
      <c r="D53" s="369"/>
      <c r="E53" s="346"/>
      <c r="F53" s="346"/>
      <c r="G53" s="346"/>
      <c r="H53" s="345"/>
    </row>
    <row r="54" spans="1:8" x14ac:dyDescent="0.4">
      <c r="A54" s="346"/>
      <c r="B54" s="346"/>
      <c r="C54" s="346"/>
      <c r="D54" s="369"/>
      <c r="E54" s="346"/>
      <c r="F54" s="346"/>
      <c r="G54" s="346"/>
      <c r="H54" s="345"/>
    </row>
    <row r="55" spans="1:8" x14ac:dyDescent="0.4">
      <c r="A55" s="346"/>
      <c r="B55" s="346"/>
      <c r="C55" s="346"/>
      <c r="D55" s="369"/>
      <c r="E55" s="346"/>
      <c r="F55" s="346"/>
      <c r="G55" s="346"/>
      <c r="H55" s="345"/>
    </row>
    <row r="56" spans="1:8" x14ac:dyDescent="0.4">
      <c r="A56" s="346"/>
      <c r="B56" s="346"/>
      <c r="C56" s="346"/>
      <c r="D56" s="369"/>
      <c r="E56" s="346"/>
      <c r="F56" s="346"/>
      <c r="G56" s="346"/>
      <c r="H56" s="345"/>
    </row>
    <row r="57" spans="1:8" x14ac:dyDescent="0.4">
      <c r="A57" s="346"/>
      <c r="B57" s="346"/>
      <c r="C57" s="346"/>
      <c r="D57" s="369"/>
      <c r="E57" s="346"/>
      <c r="F57" s="346"/>
      <c r="G57" s="346"/>
      <c r="H57" s="345"/>
    </row>
    <row r="58" spans="1:8" x14ac:dyDescent="0.4">
      <c r="A58" s="346"/>
      <c r="B58" s="346"/>
      <c r="C58" s="346"/>
      <c r="D58" s="369"/>
      <c r="E58" s="346"/>
      <c r="F58" s="346"/>
      <c r="G58" s="346"/>
      <c r="H58" s="345"/>
    </row>
    <row r="59" spans="1:8" x14ac:dyDescent="0.4">
      <c r="A59" s="346"/>
      <c r="B59" s="346"/>
      <c r="C59" s="346"/>
      <c r="D59" s="369"/>
      <c r="E59" s="346"/>
      <c r="F59" s="346"/>
      <c r="G59" s="346"/>
      <c r="H59" s="345"/>
    </row>
    <row r="60" spans="1:8" x14ac:dyDescent="0.4">
      <c r="A60" s="346"/>
      <c r="B60" s="346"/>
      <c r="C60" s="346"/>
      <c r="D60" s="369"/>
      <c r="E60" s="346"/>
      <c r="F60" s="346"/>
      <c r="G60" s="346"/>
      <c r="H60" s="345"/>
    </row>
    <row r="61" spans="1:8" x14ac:dyDescent="0.4">
      <c r="A61" s="346"/>
      <c r="B61" s="346"/>
      <c r="C61" s="346"/>
      <c r="D61" s="369"/>
      <c r="E61" s="346"/>
      <c r="F61" s="346"/>
      <c r="G61" s="346"/>
      <c r="H61" s="345"/>
    </row>
    <row r="62" spans="1:8" x14ac:dyDescent="0.4">
      <c r="A62" s="346"/>
      <c r="B62" s="346"/>
      <c r="C62" s="346"/>
      <c r="D62" s="369"/>
      <c r="E62" s="346"/>
      <c r="F62" s="346"/>
      <c r="G62" s="346"/>
      <c r="H62" s="345"/>
    </row>
    <row r="63" spans="1:8" x14ac:dyDescent="0.4">
      <c r="A63" s="346"/>
      <c r="B63" s="346"/>
      <c r="C63" s="346"/>
      <c r="D63" s="369"/>
      <c r="E63" s="346"/>
      <c r="F63" s="346"/>
      <c r="G63" s="346"/>
      <c r="H63" s="345"/>
    </row>
    <row r="64" spans="1:8" x14ac:dyDescent="0.4">
      <c r="A64" s="346"/>
      <c r="B64" s="346"/>
      <c r="C64" s="346"/>
      <c r="D64" s="369"/>
      <c r="E64" s="346"/>
      <c r="F64" s="346"/>
      <c r="G64" s="346"/>
      <c r="H64" s="345"/>
    </row>
    <row r="65" spans="1:8" x14ac:dyDescent="0.4">
      <c r="A65" s="344"/>
      <c r="B65" s="344" t="s">
        <v>60</v>
      </c>
      <c r="C65" s="344"/>
      <c r="D65" s="368"/>
      <c r="E65" s="344"/>
      <c r="F65" s="344"/>
      <c r="G65" s="344"/>
      <c r="H65" s="345"/>
    </row>
    <row r="66" spans="1:8" x14ac:dyDescent="0.4">
      <c r="A66" s="346"/>
      <c r="B66" s="346"/>
      <c r="C66" s="346"/>
      <c r="D66" s="369"/>
      <c r="E66" s="346"/>
      <c r="F66" s="346"/>
      <c r="G66" s="346"/>
      <c r="H66" s="345"/>
    </row>
    <row r="67" spans="1:8" x14ac:dyDescent="0.4">
      <c r="A67" s="346" t="s">
        <v>930</v>
      </c>
      <c r="B67" s="346"/>
      <c r="C67" s="346" t="s">
        <v>931</v>
      </c>
      <c r="D67" s="369" t="s">
        <v>56</v>
      </c>
      <c r="E67" s="346"/>
      <c r="F67" s="346"/>
      <c r="G67" s="346"/>
      <c r="H67" s="345"/>
    </row>
    <row r="68" spans="1:8" x14ac:dyDescent="0.4">
      <c r="A68" s="346" t="s">
        <v>932</v>
      </c>
      <c r="B68" s="346"/>
      <c r="C68" s="346" t="s">
        <v>933</v>
      </c>
      <c r="D68" s="369"/>
      <c r="E68" s="346"/>
      <c r="F68" s="346"/>
      <c r="G68" s="346"/>
      <c r="H68" s="345"/>
    </row>
    <row r="69" spans="1:8" x14ac:dyDescent="0.4">
      <c r="A69" s="346"/>
      <c r="B69" s="346"/>
      <c r="C69" s="346"/>
      <c r="D69" s="369"/>
      <c r="E69" s="346"/>
      <c r="F69" s="346"/>
      <c r="G69" s="346"/>
      <c r="H69" s="345"/>
    </row>
    <row r="70" spans="1:8" x14ac:dyDescent="0.4">
      <c r="A70" s="346"/>
      <c r="B70" s="346"/>
      <c r="C70" s="346"/>
      <c r="D70" s="369"/>
      <c r="E70" s="346"/>
      <c r="F70" s="346"/>
      <c r="G70" s="346"/>
      <c r="H70" s="345"/>
    </row>
    <row r="71" spans="1:8" x14ac:dyDescent="0.4">
      <c r="A71" s="346"/>
      <c r="B71" s="346"/>
      <c r="C71" s="346"/>
      <c r="D71" s="369"/>
      <c r="E71" s="346"/>
      <c r="F71" s="346"/>
      <c r="G71" s="346"/>
      <c r="H71" s="345"/>
    </row>
    <row r="72" spans="1:8" x14ac:dyDescent="0.4">
      <c r="A72" s="346"/>
      <c r="B72" s="346"/>
      <c r="C72" s="346"/>
      <c r="D72" s="369"/>
      <c r="E72" s="346"/>
      <c r="F72" s="346"/>
      <c r="G72" s="346"/>
      <c r="H72" s="345"/>
    </row>
    <row r="73" spans="1:8" x14ac:dyDescent="0.4">
      <c r="A73" s="346"/>
      <c r="B73" s="346"/>
      <c r="C73" s="346"/>
      <c r="D73" s="369"/>
      <c r="E73" s="346"/>
      <c r="F73" s="346"/>
      <c r="G73" s="346"/>
      <c r="H73" s="345"/>
    </row>
    <row r="74" spans="1:8" x14ac:dyDescent="0.4">
      <c r="A74" s="346"/>
      <c r="B74" s="346"/>
      <c r="C74" s="346"/>
      <c r="D74" s="369"/>
      <c r="E74" s="346"/>
      <c r="F74" s="346"/>
      <c r="G74" s="346"/>
      <c r="H74" s="345"/>
    </row>
    <row r="75" spans="1:8" x14ac:dyDescent="0.4">
      <c r="A75" s="346"/>
      <c r="B75" s="346"/>
      <c r="C75" s="346"/>
      <c r="D75" s="369"/>
      <c r="E75" s="346"/>
      <c r="F75" s="346"/>
      <c r="G75" s="346"/>
      <c r="H75" s="345"/>
    </row>
    <row r="76" spans="1:8" x14ac:dyDescent="0.4">
      <c r="A76" s="346"/>
      <c r="B76" s="346"/>
      <c r="C76" s="346"/>
      <c r="D76" s="369"/>
      <c r="E76" s="346"/>
      <c r="F76" s="346"/>
      <c r="G76" s="346"/>
      <c r="H76" s="345"/>
    </row>
    <row r="77" spans="1:8" x14ac:dyDescent="0.4">
      <c r="A77" s="346"/>
      <c r="B77" s="346"/>
      <c r="C77" s="346"/>
      <c r="D77" s="369"/>
      <c r="E77" s="346"/>
      <c r="F77" s="346"/>
      <c r="G77" s="346"/>
      <c r="H77" s="345"/>
    </row>
    <row r="78" spans="1:8" x14ac:dyDescent="0.4">
      <c r="A78" s="346"/>
      <c r="B78" s="346"/>
      <c r="C78" s="346"/>
      <c r="D78" s="369"/>
      <c r="E78" s="346"/>
      <c r="F78" s="346"/>
      <c r="G78" s="346"/>
      <c r="H78" s="345"/>
    </row>
    <row r="79" spans="1:8" x14ac:dyDescent="0.4">
      <c r="A79" s="346"/>
      <c r="B79" s="346"/>
      <c r="C79" s="346"/>
      <c r="D79" s="369"/>
      <c r="E79" s="346"/>
      <c r="F79" s="346"/>
      <c r="G79" s="346"/>
      <c r="H79" s="345"/>
    </row>
    <row r="80" spans="1:8" x14ac:dyDescent="0.4">
      <c r="A80" s="346"/>
      <c r="B80" s="346"/>
      <c r="C80" s="346"/>
      <c r="D80" s="369"/>
      <c r="E80" s="346"/>
      <c r="F80" s="346"/>
      <c r="G80" s="346"/>
      <c r="H80" s="345"/>
    </row>
    <row r="81" spans="1:8" x14ac:dyDescent="0.4">
      <c r="A81" s="346"/>
      <c r="B81" s="346"/>
      <c r="C81" s="346"/>
      <c r="D81" s="369"/>
      <c r="E81" s="346"/>
      <c r="F81" s="346"/>
      <c r="G81" s="346"/>
      <c r="H81" s="345"/>
    </row>
    <row r="82" spans="1:8" x14ac:dyDescent="0.4">
      <c r="A82" s="346"/>
      <c r="B82" s="346"/>
      <c r="C82" s="346"/>
      <c r="D82" s="369"/>
      <c r="E82" s="346"/>
      <c r="F82" s="346"/>
      <c r="G82" s="346"/>
      <c r="H82" s="345"/>
    </row>
    <row r="83" spans="1:8" x14ac:dyDescent="0.4">
      <c r="A83" s="346"/>
      <c r="B83" s="346"/>
      <c r="C83" s="346"/>
      <c r="D83" s="369"/>
      <c r="E83" s="346"/>
      <c r="F83" s="346"/>
      <c r="G83" s="346"/>
      <c r="H83" s="345"/>
    </row>
    <row r="84" spans="1:8" x14ac:dyDescent="0.4">
      <c r="A84" s="346"/>
      <c r="B84" s="346"/>
      <c r="C84" s="346"/>
      <c r="D84" s="369"/>
      <c r="E84" s="346"/>
      <c r="F84" s="346"/>
      <c r="G84" s="346"/>
      <c r="H84" s="345"/>
    </row>
    <row r="85" spans="1:8" x14ac:dyDescent="0.4">
      <c r="A85" s="346"/>
      <c r="B85" s="346"/>
      <c r="C85" s="346"/>
      <c r="D85" s="369"/>
      <c r="E85" s="346"/>
      <c r="F85" s="346"/>
      <c r="G85" s="346"/>
      <c r="H85" s="345"/>
    </row>
    <row r="86" spans="1:8" x14ac:dyDescent="0.4">
      <c r="A86" s="346"/>
      <c r="B86" s="346"/>
      <c r="C86" s="346"/>
      <c r="D86" s="369"/>
      <c r="E86" s="346"/>
      <c r="F86" s="346"/>
      <c r="G86" s="346"/>
      <c r="H86" s="345"/>
    </row>
    <row r="87" spans="1:8" x14ac:dyDescent="0.4">
      <c r="A87" s="346"/>
      <c r="B87" s="346"/>
      <c r="C87" s="346"/>
      <c r="D87" s="369"/>
      <c r="E87" s="346"/>
      <c r="F87" s="346"/>
      <c r="G87" s="346"/>
      <c r="H87" s="345"/>
    </row>
    <row r="88" spans="1:8" x14ac:dyDescent="0.4">
      <c r="A88" s="346"/>
      <c r="B88" s="346"/>
      <c r="C88" s="346"/>
      <c r="D88" s="369"/>
      <c r="E88" s="346"/>
      <c r="F88" s="346"/>
      <c r="G88" s="346"/>
      <c r="H88" s="345"/>
    </row>
    <row r="89" spans="1:8" x14ac:dyDescent="0.4">
      <c r="A89" s="346"/>
      <c r="B89" s="346"/>
      <c r="C89" s="346"/>
      <c r="D89" s="369"/>
      <c r="E89" s="346"/>
      <c r="F89" s="346"/>
      <c r="G89" s="346"/>
      <c r="H89" s="345"/>
    </row>
    <row r="90" spans="1:8" x14ac:dyDescent="0.4">
      <c r="A90" s="346"/>
      <c r="B90" s="346"/>
      <c r="C90" s="346"/>
      <c r="D90" s="369"/>
      <c r="E90" s="346"/>
      <c r="F90" s="346"/>
      <c r="G90" s="346"/>
      <c r="H90" s="345"/>
    </row>
    <row r="91" spans="1:8" x14ac:dyDescent="0.4">
      <c r="A91" s="346"/>
      <c r="B91" s="346"/>
      <c r="C91" s="346"/>
      <c r="D91" s="369"/>
      <c r="E91" s="346"/>
      <c r="F91" s="346"/>
      <c r="G91" s="346"/>
      <c r="H91" s="345"/>
    </row>
    <row r="92" spans="1:8" x14ac:dyDescent="0.4">
      <c r="A92" s="346"/>
      <c r="B92" s="346"/>
      <c r="C92" s="346"/>
      <c r="D92" s="369"/>
      <c r="E92" s="346"/>
      <c r="F92" s="346"/>
      <c r="G92" s="346"/>
      <c r="H92" s="345"/>
    </row>
    <row r="93" spans="1:8" x14ac:dyDescent="0.4">
      <c r="A93" s="346"/>
      <c r="B93" s="346"/>
      <c r="C93" s="346"/>
      <c r="D93" s="369"/>
      <c r="E93" s="346"/>
      <c r="F93" s="346"/>
      <c r="G93" s="346"/>
      <c r="H93" s="345"/>
    </row>
    <row r="94" spans="1:8" x14ac:dyDescent="0.4">
      <c r="A94" s="346"/>
      <c r="B94" s="346"/>
      <c r="C94" s="346"/>
      <c r="D94" s="369"/>
      <c r="E94" s="346"/>
      <c r="F94" s="346"/>
      <c r="G94" s="346"/>
      <c r="H94" s="345"/>
    </row>
    <row r="95" spans="1:8" x14ac:dyDescent="0.4">
      <c r="A95" s="346"/>
      <c r="B95" s="346"/>
      <c r="C95" s="346"/>
      <c r="D95" s="369"/>
      <c r="E95" s="346"/>
      <c r="F95" s="346"/>
      <c r="G95" s="346"/>
      <c r="H95" s="345"/>
    </row>
    <row r="96" spans="1:8" x14ac:dyDescent="0.4">
      <c r="A96" s="346"/>
      <c r="B96" s="346"/>
      <c r="C96" s="346"/>
      <c r="D96" s="369"/>
      <c r="E96" s="346"/>
      <c r="F96" s="346"/>
      <c r="G96" s="346"/>
      <c r="H96" s="345"/>
    </row>
    <row r="97" spans="1:8" x14ac:dyDescent="0.4">
      <c r="A97" s="346"/>
      <c r="B97" s="346"/>
      <c r="C97" s="346"/>
      <c r="D97" s="369"/>
      <c r="E97" s="346"/>
      <c r="F97" s="346"/>
      <c r="G97" s="346"/>
      <c r="H97" s="345"/>
    </row>
    <row r="98" spans="1:8" x14ac:dyDescent="0.4">
      <c r="A98" s="346"/>
      <c r="B98" s="346"/>
      <c r="C98" s="346"/>
      <c r="D98" s="369"/>
      <c r="E98" s="346"/>
      <c r="F98" s="346"/>
      <c r="G98" s="346"/>
      <c r="H98" s="345"/>
    </row>
    <row r="99" spans="1:8" x14ac:dyDescent="0.4">
      <c r="A99" s="346"/>
      <c r="B99" s="346"/>
      <c r="C99" s="346"/>
      <c r="D99" s="369"/>
      <c r="E99" s="346"/>
      <c r="F99" s="346"/>
      <c r="G99" s="346"/>
      <c r="H99" s="345"/>
    </row>
    <row r="100" spans="1:8" x14ac:dyDescent="0.4">
      <c r="A100" s="346"/>
      <c r="B100" s="346"/>
      <c r="C100" s="346"/>
      <c r="D100" s="369"/>
      <c r="E100" s="346"/>
      <c r="F100" s="346"/>
      <c r="G100" s="346"/>
      <c r="H100" s="345"/>
    </row>
    <row r="101" spans="1:8" x14ac:dyDescent="0.4">
      <c r="A101" s="344"/>
      <c r="B101" s="344" t="s">
        <v>64</v>
      </c>
      <c r="C101" s="344"/>
      <c r="D101" s="368"/>
      <c r="E101" s="344"/>
      <c r="F101" s="344"/>
      <c r="G101" s="344"/>
      <c r="H101" s="345"/>
    </row>
    <row r="102" spans="1:8" x14ac:dyDescent="0.4">
      <c r="A102" s="346"/>
      <c r="B102" s="346"/>
      <c r="C102" s="346"/>
      <c r="D102" s="369"/>
      <c r="E102" s="346"/>
      <c r="F102" s="346"/>
      <c r="G102" s="346"/>
      <c r="H102" s="345"/>
    </row>
    <row r="103" spans="1:8" x14ac:dyDescent="0.4">
      <c r="A103" s="346" t="s">
        <v>934</v>
      </c>
      <c r="B103" s="346"/>
      <c r="C103" s="346" t="s">
        <v>935</v>
      </c>
      <c r="D103" s="369"/>
      <c r="E103" s="346"/>
      <c r="F103" s="346"/>
      <c r="G103" s="346"/>
      <c r="H103" s="345"/>
    </row>
    <row r="104" spans="1:8" x14ac:dyDescent="0.4">
      <c r="A104" s="346" t="s">
        <v>936</v>
      </c>
      <c r="B104" s="346"/>
      <c r="C104" s="346" t="s">
        <v>937</v>
      </c>
      <c r="D104" s="369"/>
      <c r="E104" s="346"/>
      <c r="F104" s="346"/>
      <c r="G104" s="346"/>
      <c r="H104" s="345"/>
    </row>
    <row r="105" spans="1:8" x14ac:dyDescent="0.4">
      <c r="A105" s="346" t="s">
        <v>938</v>
      </c>
      <c r="B105" s="346"/>
      <c r="C105" s="346" t="s">
        <v>939</v>
      </c>
      <c r="D105" s="369" t="s">
        <v>11</v>
      </c>
      <c r="E105" s="346"/>
      <c r="F105" s="346"/>
      <c r="G105" s="346"/>
      <c r="H105" s="345"/>
    </row>
    <row r="106" spans="1:8" x14ac:dyDescent="0.4">
      <c r="A106" s="346"/>
      <c r="B106" s="346"/>
      <c r="C106" s="346"/>
      <c r="D106" s="369"/>
      <c r="E106" s="346"/>
      <c r="F106" s="346"/>
      <c r="G106" s="346"/>
      <c r="H106" s="345"/>
    </row>
    <row r="107" spans="1:8" x14ac:dyDescent="0.4">
      <c r="A107" s="346"/>
      <c r="B107" s="346"/>
      <c r="C107" s="346"/>
      <c r="D107" s="369"/>
      <c r="E107" s="346"/>
      <c r="F107" s="346"/>
      <c r="G107" s="346"/>
      <c r="H107" s="345"/>
    </row>
    <row r="108" spans="1:8" x14ac:dyDescent="0.4">
      <c r="A108" s="346"/>
      <c r="B108" s="346"/>
      <c r="C108" s="346"/>
      <c r="D108" s="369"/>
      <c r="E108" s="346"/>
      <c r="F108" s="346"/>
      <c r="G108" s="346"/>
      <c r="H108" s="345"/>
    </row>
    <row r="109" spans="1:8" x14ac:dyDescent="0.4">
      <c r="A109" s="346"/>
      <c r="B109" s="346"/>
      <c r="C109" s="346"/>
      <c r="D109" s="369"/>
      <c r="E109" s="346"/>
      <c r="F109" s="346"/>
      <c r="G109" s="346"/>
      <c r="H109" s="345"/>
    </row>
    <row r="110" spans="1:8" x14ac:dyDescent="0.4">
      <c r="A110" s="346"/>
      <c r="B110" s="346"/>
      <c r="C110" s="346"/>
      <c r="D110" s="369"/>
      <c r="E110" s="346"/>
      <c r="F110" s="346"/>
      <c r="G110" s="346"/>
      <c r="H110" s="345"/>
    </row>
    <row r="111" spans="1:8" x14ac:dyDescent="0.4">
      <c r="A111" s="346"/>
      <c r="B111" s="346"/>
      <c r="C111" s="346"/>
      <c r="D111" s="369"/>
      <c r="E111" s="346"/>
      <c r="F111" s="346"/>
      <c r="G111" s="346"/>
      <c r="H111" s="345"/>
    </row>
    <row r="112" spans="1:8" x14ac:dyDescent="0.4">
      <c r="A112" s="346"/>
      <c r="B112" s="346"/>
      <c r="C112" s="346"/>
      <c r="D112" s="369"/>
      <c r="E112" s="346"/>
      <c r="F112" s="346"/>
      <c r="G112" s="346"/>
      <c r="H112" s="345"/>
    </row>
    <row r="113" spans="1:8" x14ac:dyDescent="0.4">
      <c r="A113" s="346"/>
      <c r="B113" s="346"/>
      <c r="C113" s="346"/>
      <c r="D113" s="369"/>
      <c r="E113" s="346"/>
      <c r="F113" s="346"/>
      <c r="G113" s="346"/>
      <c r="H113" s="345"/>
    </row>
    <row r="114" spans="1:8" x14ac:dyDescent="0.4">
      <c r="A114" s="346"/>
      <c r="B114" s="346"/>
      <c r="C114" s="346"/>
      <c r="D114" s="369"/>
      <c r="E114" s="346"/>
      <c r="F114" s="346"/>
      <c r="G114" s="346"/>
      <c r="H114" s="345"/>
    </row>
    <row r="115" spans="1:8" x14ac:dyDescent="0.4">
      <c r="A115" s="346"/>
      <c r="B115" s="346"/>
      <c r="C115" s="346"/>
      <c r="D115" s="369"/>
      <c r="E115" s="346"/>
      <c r="F115" s="346"/>
      <c r="G115" s="346"/>
      <c r="H115" s="345"/>
    </row>
    <row r="116" spans="1:8" x14ac:dyDescent="0.4">
      <c r="A116" s="346"/>
      <c r="B116" s="346"/>
      <c r="C116" s="346"/>
      <c r="D116" s="369"/>
      <c r="E116" s="346"/>
      <c r="F116" s="346"/>
      <c r="G116" s="346"/>
      <c r="H116" s="345"/>
    </row>
    <row r="117" spans="1:8" x14ac:dyDescent="0.4">
      <c r="A117" s="346"/>
      <c r="B117" s="346"/>
      <c r="C117" s="346"/>
      <c r="D117" s="369"/>
      <c r="E117" s="346"/>
      <c r="F117" s="346"/>
      <c r="G117" s="346"/>
      <c r="H117" s="345"/>
    </row>
    <row r="118" spans="1:8" x14ac:dyDescent="0.4">
      <c r="A118" s="346"/>
      <c r="B118" s="346"/>
      <c r="C118" s="346"/>
      <c r="D118" s="369"/>
      <c r="E118" s="346"/>
      <c r="F118" s="346"/>
      <c r="G118" s="346"/>
      <c r="H118" s="345"/>
    </row>
    <row r="119" spans="1:8" x14ac:dyDescent="0.4">
      <c r="A119" s="346"/>
      <c r="B119" s="346"/>
      <c r="C119" s="346"/>
      <c r="D119" s="369"/>
      <c r="E119" s="346"/>
      <c r="F119" s="346"/>
      <c r="G119" s="346"/>
      <c r="H119" s="345"/>
    </row>
    <row r="120" spans="1:8" x14ac:dyDescent="0.4">
      <c r="A120" s="346"/>
      <c r="B120" s="346"/>
      <c r="C120" s="346"/>
      <c r="D120" s="369"/>
      <c r="E120" s="346"/>
      <c r="F120" s="346"/>
      <c r="G120" s="346"/>
      <c r="H120" s="345"/>
    </row>
    <row r="121" spans="1:8" x14ac:dyDescent="0.4">
      <c r="A121" s="346"/>
      <c r="B121" s="346"/>
      <c r="C121" s="346"/>
      <c r="D121" s="369"/>
      <c r="E121" s="346"/>
      <c r="F121" s="346"/>
      <c r="G121" s="346"/>
      <c r="H121" s="345"/>
    </row>
    <row r="122" spans="1:8" x14ac:dyDescent="0.4">
      <c r="A122" s="346"/>
      <c r="B122" s="346"/>
      <c r="C122" s="346"/>
      <c r="D122" s="369"/>
      <c r="E122" s="346"/>
      <c r="F122" s="346"/>
      <c r="G122" s="346"/>
      <c r="H122" s="345"/>
    </row>
    <row r="123" spans="1:8" x14ac:dyDescent="0.4">
      <c r="A123" s="346"/>
      <c r="B123" s="346"/>
      <c r="C123" s="346"/>
      <c r="D123" s="369"/>
      <c r="E123" s="346"/>
      <c r="F123" s="346"/>
      <c r="G123" s="346"/>
      <c r="H123" s="345"/>
    </row>
    <row r="124" spans="1:8" x14ac:dyDescent="0.4">
      <c r="A124" s="346"/>
      <c r="B124" s="346"/>
      <c r="C124" s="346"/>
      <c r="D124" s="369"/>
      <c r="E124" s="346"/>
      <c r="F124" s="346"/>
      <c r="G124" s="346"/>
      <c r="H124" s="345"/>
    </row>
    <row r="125" spans="1:8" x14ac:dyDescent="0.4">
      <c r="A125" s="346"/>
      <c r="B125" s="346"/>
      <c r="C125" s="346"/>
      <c r="D125" s="369"/>
      <c r="E125" s="346"/>
      <c r="F125" s="346"/>
      <c r="G125" s="346"/>
      <c r="H125" s="345"/>
    </row>
    <row r="126" spans="1:8" x14ac:dyDescent="0.4">
      <c r="A126" s="346"/>
      <c r="B126" s="346"/>
      <c r="C126" s="346"/>
      <c r="D126" s="369"/>
      <c r="E126" s="346"/>
      <c r="F126" s="346"/>
      <c r="G126" s="346"/>
      <c r="H126" s="345"/>
    </row>
    <row r="127" spans="1:8" x14ac:dyDescent="0.4">
      <c r="A127" s="346"/>
      <c r="B127" s="346"/>
      <c r="C127" s="346"/>
      <c r="D127" s="369"/>
      <c r="E127" s="346"/>
      <c r="F127" s="346"/>
      <c r="G127" s="346"/>
      <c r="H127" s="345"/>
    </row>
    <row r="128" spans="1:8" x14ac:dyDescent="0.4">
      <c r="A128" s="346"/>
      <c r="B128" s="346"/>
      <c r="C128" s="346"/>
      <c r="D128" s="369"/>
      <c r="E128" s="346"/>
      <c r="F128" s="346"/>
      <c r="G128" s="346"/>
      <c r="H128" s="345"/>
    </row>
    <row r="129" spans="1:8" x14ac:dyDescent="0.4">
      <c r="A129" s="346"/>
      <c r="B129" s="346"/>
      <c r="C129" s="346"/>
      <c r="D129" s="369"/>
      <c r="E129" s="346"/>
      <c r="F129" s="346"/>
      <c r="G129" s="346"/>
      <c r="H129" s="345"/>
    </row>
    <row r="130" spans="1:8" x14ac:dyDescent="0.4">
      <c r="A130" s="346"/>
      <c r="B130" s="346"/>
      <c r="C130" s="346"/>
      <c r="D130" s="369"/>
      <c r="E130" s="346"/>
      <c r="F130" s="346"/>
      <c r="G130" s="346"/>
      <c r="H130" s="345"/>
    </row>
    <row r="131" spans="1:8" x14ac:dyDescent="0.4">
      <c r="A131" s="346"/>
      <c r="B131" s="346"/>
      <c r="C131" s="346"/>
      <c r="D131" s="369"/>
      <c r="E131" s="346"/>
      <c r="F131" s="346"/>
      <c r="G131" s="346"/>
      <c r="H131" s="345"/>
    </row>
    <row r="132" spans="1:8" x14ac:dyDescent="0.4">
      <c r="A132" s="346"/>
      <c r="B132" s="346"/>
      <c r="C132" s="346"/>
      <c r="D132" s="369"/>
      <c r="E132" s="346"/>
      <c r="F132" s="346"/>
      <c r="G132" s="346"/>
      <c r="H132" s="345"/>
    </row>
    <row r="133" spans="1:8" x14ac:dyDescent="0.4">
      <c r="A133" s="346"/>
      <c r="B133" s="346"/>
      <c r="C133" s="346"/>
      <c r="D133" s="369"/>
      <c r="E133" s="346"/>
      <c r="F133" s="346"/>
      <c r="G133" s="346"/>
      <c r="H133" s="345"/>
    </row>
    <row r="134" spans="1:8" x14ac:dyDescent="0.4">
      <c r="A134" s="346"/>
      <c r="B134" s="346"/>
      <c r="C134" s="346"/>
      <c r="D134" s="369"/>
      <c r="E134" s="346"/>
      <c r="F134" s="346"/>
      <c r="G134" s="346"/>
      <c r="H134" s="345"/>
    </row>
    <row r="135" spans="1:8" x14ac:dyDescent="0.4">
      <c r="A135" s="346"/>
      <c r="B135" s="346"/>
      <c r="C135" s="346"/>
      <c r="D135" s="369"/>
      <c r="E135" s="346"/>
      <c r="F135" s="346"/>
      <c r="G135" s="346"/>
      <c r="H135" s="345"/>
    </row>
    <row r="136" spans="1:8" x14ac:dyDescent="0.4">
      <c r="A136" s="346"/>
      <c r="B136" s="346"/>
      <c r="C136" s="346"/>
      <c r="D136" s="369"/>
      <c r="E136" s="346"/>
      <c r="F136" s="346"/>
      <c r="G136" s="346"/>
      <c r="H136" s="345"/>
    </row>
    <row r="137" spans="1:8" x14ac:dyDescent="0.4">
      <c r="A137" s="346"/>
      <c r="B137" s="346"/>
      <c r="C137" s="346"/>
      <c r="D137" s="369"/>
      <c r="E137" s="346"/>
      <c r="F137" s="346"/>
      <c r="G137" s="346"/>
      <c r="H137" s="345"/>
    </row>
    <row r="138" spans="1:8" x14ac:dyDescent="0.4">
      <c r="A138" s="346"/>
      <c r="B138" s="346"/>
      <c r="C138" s="346"/>
      <c r="D138" s="369"/>
      <c r="E138" s="346"/>
      <c r="F138" s="346"/>
      <c r="G138" s="346"/>
      <c r="H138" s="345"/>
    </row>
    <row r="139" spans="1:8" x14ac:dyDescent="0.4">
      <c r="A139" s="346"/>
      <c r="B139" s="346"/>
      <c r="C139" s="346"/>
      <c r="D139" s="369"/>
      <c r="E139" s="346"/>
      <c r="F139" s="346"/>
      <c r="G139" s="346"/>
      <c r="H139" s="345"/>
    </row>
    <row r="140" spans="1:8" x14ac:dyDescent="0.4">
      <c r="A140" s="346"/>
      <c r="B140" s="346"/>
      <c r="C140" s="346"/>
      <c r="D140" s="369"/>
      <c r="E140" s="346"/>
      <c r="F140" s="346"/>
      <c r="G140" s="346"/>
      <c r="H140" s="345"/>
    </row>
    <row r="141" spans="1:8" x14ac:dyDescent="0.4">
      <c r="A141" s="344"/>
      <c r="B141" s="344" t="s">
        <v>67</v>
      </c>
      <c r="C141" s="344"/>
      <c r="D141" s="368"/>
      <c r="E141" s="344"/>
      <c r="F141" s="344"/>
      <c r="G141" s="344"/>
      <c r="H141" s="345"/>
    </row>
    <row r="142" spans="1:8" x14ac:dyDescent="0.4">
      <c r="A142" s="346"/>
      <c r="B142" s="346"/>
      <c r="C142" s="346"/>
      <c r="D142" s="369"/>
      <c r="E142" s="346"/>
      <c r="F142" s="346"/>
      <c r="G142" s="346"/>
      <c r="H142" s="345"/>
    </row>
    <row r="143" spans="1:8" x14ac:dyDescent="0.4">
      <c r="A143" s="346" t="s">
        <v>940</v>
      </c>
      <c r="B143" s="346"/>
      <c r="C143" s="346" t="s">
        <v>941</v>
      </c>
      <c r="D143" s="369" t="s">
        <v>942</v>
      </c>
      <c r="E143" s="346"/>
      <c r="F143" s="346"/>
      <c r="G143" s="346"/>
      <c r="H143" s="345"/>
    </row>
    <row r="144" spans="1:8" x14ac:dyDescent="0.4">
      <c r="A144" s="346"/>
      <c r="B144" s="346"/>
      <c r="C144" s="346"/>
      <c r="D144" s="369"/>
      <c r="E144" s="346"/>
      <c r="F144" s="346"/>
      <c r="G144" s="346"/>
      <c r="H144" s="345"/>
    </row>
    <row r="145" spans="1:8" x14ac:dyDescent="0.4">
      <c r="A145" s="346"/>
      <c r="B145" s="346"/>
      <c r="C145" s="346"/>
      <c r="D145" s="369"/>
      <c r="E145" s="346"/>
      <c r="F145" s="346"/>
      <c r="G145" s="346"/>
      <c r="H145" s="345"/>
    </row>
    <row r="146" spans="1:8" x14ac:dyDescent="0.4">
      <c r="A146" s="346"/>
      <c r="B146" s="346"/>
      <c r="C146" s="346"/>
      <c r="D146" s="369"/>
      <c r="E146" s="346"/>
      <c r="F146" s="346"/>
      <c r="G146" s="346"/>
      <c r="H146" s="345"/>
    </row>
    <row r="147" spans="1:8" x14ac:dyDescent="0.4">
      <c r="A147" s="346"/>
      <c r="B147" s="346"/>
      <c r="C147" s="346"/>
      <c r="D147" s="369"/>
      <c r="E147" s="346"/>
      <c r="F147" s="346"/>
      <c r="G147" s="346"/>
      <c r="H147" s="345"/>
    </row>
    <row r="148" spans="1:8" x14ac:dyDescent="0.4">
      <c r="A148" s="346"/>
      <c r="B148" s="346"/>
      <c r="C148" s="346"/>
      <c r="D148" s="369"/>
      <c r="E148" s="346"/>
      <c r="F148" s="346"/>
      <c r="G148" s="346"/>
      <c r="H148" s="345"/>
    </row>
    <row r="149" spans="1:8" x14ac:dyDescent="0.4">
      <c r="A149" s="346"/>
      <c r="B149" s="346"/>
      <c r="C149" s="346"/>
      <c r="D149" s="369"/>
      <c r="E149" s="346"/>
      <c r="F149" s="346"/>
      <c r="G149" s="346"/>
      <c r="H149" s="345"/>
    </row>
    <row r="150" spans="1:8" x14ac:dyDescent="0.4">
      <c r="A150" s="346"/>
      <c r="B150" s="346"/>
      <c r="C150" s="346"/>
      <c r="D150" s="369"/>
      <c r="E150" s="346"/>
      <c r="F150" s="346"/>
      <c r="G150" s="346"/>
      <c r="H150" s="345"/>
    </row>
    <row r="151" spans="1:8" x14ac:dyDescent="0.4">
      <c r="A151" s="346"/>
      <c r="B151" s="346"/>
      <c r="C151" s="346"/>
      <c r="D151" s="369"/>
      <c r="E151" s="346"/>
      <c r="F151" s="346"/>
      <c r="G151" s="346"/>
      <c r="H151" s="345"/>
    </row>
    <row r="152" spans="1:8" x14ac:dyDescent="0.4">
      <c r="A152" s="346"/>
      <c r="B152" s="346"/>
      <c r="C152" s="346"/>
      <c r="D152" s="369"/>
      <c r="E152" s="346"/>
      <c r="F152" s="346"/>
      <c r="G152" s="346"/>
      <c r="H152" s="345"/>
    </row>
    <row r="153" spans="1:8" x14ac:dyDescent="0.4">
      <c r="A153" s="346"/>
      <c r="B153" s="346"/>
      <c r="C153" s="346"/>
      <c r="D153" s="369"/>
      <c r="E153" s="346"/>
      <c r="F153" s="346"/>
      <c r="G153" s="346"/>
      <c r="H153" s="345"/>
    </row>
    <row r="154" spans="1:8" x14ac:dyDescent="0.4">
      <c r="A154" s="346"/>
      <c r="B154" s="346"/>
      <c r="C154" s="346"/>
      <c r="D154" s="369"/>
      <c r="E154" s="346"/>
      <c r="F154" s="346"/>
      <c r="G154" s="346"/>
      <c r="H154" s="345"/>
    </row>
    <row r="155" spans="1:8" x14ac:dyDescent="0.4">
      <c r="A155" s="346"/>
      <c r="B155" s="346"/>
      <c r="C155" s="346"/>
      <c r="D155" s="369"/>
      <c r="E155" s="346"/>
      <c r="F155" s="346"/>
      <c r="G155" s="346"/>
      <c r="H155" s="345"/>
    </row>
    <row r="156" spans="1:8" x14ac:dyDescent="0.4">
      <c r="A156" s="346"/>
      <c r="B156" s="346"/>
      <c r="C156" s="346"/>
      <c r="D156" s="369"/>
      <c r="E156" s="346"/>
      <c r="F156" s="346"/>
      <c r="G156" s="346"/>
      <c r="H156" s="345"/>
    </row>
    <row r="157" spans="1:8" x14ac:dyDescent="0.4">
      <c r="A157" s="346"/>
      <c r="B157" s="346"/>
      <c r="C157" s="346"/>
      <c r="D157" s="369"/>
      <c r="E157" s="346"/>
      <c r="F157" s="346"/>
      <c r="G157" s="346"/>
      <c r="H157" s="345"/>
    </row>
    <row r="158" spans="1:8" x14ac:dyDescent="0.4">
      <c r="A158" s="346"/>
      <c r="B158" s="346"/>
      <c r="C158" s="346"/>
      <c r="D158" s="369"/>
      <c r="E158" s="346"/>
      <c r="F158" s="346"/>
      <c r="G158" s="346"/>
      <c r="H158" s="345"/>
    </row>
    <row r="159" spans="1:8" x14ac:dyDescent="0.4">
      <c r="A159" s="346"/>
      <c r="B159" s="346"/>
      <c r="C159" s="346"/>
      <c r="D159" s="369"/>
      <c r="E159" s="346"/>
      <c r="F159" s="346"/>
      <c r="G159" s="346"/>
      <c r="H159" s="345"/>
    </row>
    <row r="160" spans="1:8" x14ac:dyDescent="0.4">
      <c r="A160" s="346"/>
      <c r="B160" s="346"/>
      <c r="C160" s="346"/>
      <c r="D160" s="369"/>
      <c r="E160" s="346"/>
      <c r="F160" s="346"/>
      <c r="G160" s="346"/>
      <c r="H160" s="345"/>
    </row>
    <row r="161" spans="1:8" x14ac:dyDescent="0.4">
      <c r="A161" s="346"/>
      <c r="B161" s="346"/>
      <c r="C161" s="346"/>
      <c r="D161" s="369"/>
      <c r="E161" s="346"/>
      <c r="F161" s="346"/>
      <c r="G161" s="346"/>
      <c r="H161" s="345"/>
    </row>
    <row r="162" spans="1:8" x14ac:dyDescent="0.4">
      <c r="A162" s="346"/>
      <c r="B162" s="346"/>
      <c r="C162" s="346"/>
      <c r="D162" s="369"/>
      <c r="E162" s="346"/>
      <c r="F162" s="346"/>
      <c r="G162" s="346"/>
      <c r="H162" s="345"/>
    </row>
    <row r="163" spans="1:8" x14ac:dyDescent="0.4">
      <c r="A163" s="346"/>
      <c r="B163" s="346"/>
      <c r="C163" s="346"/>
      <c r="D163" s="369"/>
      <c r="E163" s="346"/>
      <c r="F163" s="346"/>
      <c r="G163" s="346"/>
      <c r="H163" s="345"/>
    </row>
    <row r="164" spans="1:8" x14ac:dyDescent="0.4">
      <c r="A164" s="346"/>
      <c r="B164" s="346"/>
      <c r="C164" s="346"/>
      <c r="D164" s="369"/>
      <c r="E164" s="346"/>
      <c r="F164" s="346"/>
      <c r="G164" s="346"/>
      <c r="H164" s="345"/>
    </row>
    <row r="165" spans="1:8" x14ac:dyDescent="0.4">
      <c r="A165" s="346"/>
      <c r="B165" s="346"/>
      <c r="C165" s="346"/>
      <c r="D165" s="369"/>
      <c r="E165" s="346"/>
      <c r="F165" s="346"/>
      <c r="G165" s="346"/>
      <c r="H165" s="345"/>
    </row>
    <row r="166" spans="1:8" x14ac:dyDescent="0.4">
      <c r="A166" s="346"/>
      <c r="B166" s="346"/>
      <c r="C166" s="346"/>
      <c r="D166" s="369"/>
      <c r="E166" s="346"/>
      <c r="F166" s="346"/>
      <c r="G166" s="346"/>
      <c r="H166" s="345"/>
    </row>
    <row r="167" spans="1:8" x14ac:dyDescent="0.4">
      <c r="A167" s="346"/>
      <c r="B167" s="346"/>
      <c r="C167" s="346"/>
      <c r="D167" s="369"/>
      <c r="E167" s="346"/>
      <c r="F167" s="346"/>
      <c r="G167" s="346"/>
      <c r="H167" s="345"/>
    </row>
    <row r="168" spans="1:8" x14ac:dyDescent="0.4">
      <c r="A168" s="346"/>
      <c r="B168" s="346"/>
      <c r="C168" s="346"/>
      <c r="D168" s="369"/>
      <c r="E168" s="346"/>
      <c r="F168" s="346"/>
      <c r="G168" s="346"/>
      <c r="H168" s="345"/>
    </row>
    <row r="169" spans="1:8" x14ac:dyDescent="0.4">
      <c r="A169" s="346"/>
      <c r="B169" s="346"/>
      <c r="C169" s="346"/>
      <c r="D169" s="369"/>
      <c r="E169" s="346"/>
      <c r="F169" s="346"/>
      <c r="G169" s="346"/>
      <c r="H169" s="345"/>
    </row>
    <row r="170" spans="1:8" x14ac:dyDescent="0.4">
      <c r="A170" s="346"/>
      <c r="B170" s="346"/>
      <c r="C170" s="346"/>
      <c r="D170" s="369"/>
      <c r="E170" s="346"/>
      <c r="F170" s="346"/>
      <c r="G170" s="346"/>
      <c r="H170" s="345"/>
    </row>
    <row r="171" spans="1:8" x14ac:dyDescent="0.4">
      <c r="A171" s="346"/>
      <c r="B171" s="346"/>
      <c r="C171" s="346"/>
      <c r="D171" s="369"/>
      <c r="E171" s="346"/>
      <c r="F171" s="346"/>
      <c r="G171" s="346"/>
      <c r="H171" s="345"/>
    </row>
    <row r="172" spans="1:8" x14ac:dyDescent="0.4">
      <c r="A172" s="346"/>
      <c r="B172" s="346"/>
      <c r="C172" s="346"/>
      <c r="D172" s="369"/>
      <c r="E172" s="346"/>
      <c r="F172" s="346"/>
      <c r="G172" s="346"/>
      <c r="H172" s="345"/>
    </row>
    <row r="173" spans="1:8" x14ac:dyDescent="0.4">
      <c r="A173" s="346"/>
      <c r="B173" s="346"/>
      <c r="C173" s="346"/>
      <c r="D173" s="369"/>
      <c r="E173" s="346"/>
      <c r="F173" s="346"/>
      <c r="G173" s="346"/>
      <c r="H173" s="345"/>
    </row>
    <row r="174" spans="1:8" x14ac:dyDescent="0.4">
      <c r="A174" s="346"/>
      <c r="B174" s="346"/>
      <c r="C174" s="346"/>
      <c r="D174" s="369"/>
      <c r="E174" s="346"/>
      <c r="F174" s="346"/>
      <c r="G174" s="346"/>
      <c r="H174" s="345"/>
    </row>
    <row r="175" spans="1:8" x14ac:dyDescent="0.4">
      <c r="A175" s="346"/>
      <c r="B175" s="346"/>
      <c r="C175" s="346"/>
      <c r="D175" s="369"/>
      <c r="E175" s="346"/>
      <c r="F175" s="346"/>
      <c r="G175" s="346"/>
      <c r="H175" s="345"/>
    </row>
    <row r="176" spans="1:8" x14ac:dyDescent="0.4">
      <c r="A176" s="346"/>
      <c r="B176" s="346"/>
      <c r="C176" s="346"/>
      <c r="D176" s="369"/>
      <c r="E176" s="346"/>
      <c r="F176" s="346"/>
      <c r="G176" s="346"/>
      <c r="H176" s="345"/>
    </row>
    <row r="177" spans="1:8" x14ac:dyDescent="0.4">
      <c r="A177" s="346"/>
      <c r="B177" s="346"/>
      <c r="C177" s="346"/>
      <c r="D177" s="369"/>
      <c r="E177" s="346"/>
      <c r="F177" s="346"/>
      <c r="G177" s="346"/>
      <c r="H177" s="345"/>
    </row>
    <row r="178" spans="1:8" x14ac:dyDescent="0.4">
      <c r="A178" s="346"/>
      <c r="B178" s="346"/>
      <c r="C178" s="346"/>
      <c r="D178" s="369"/>
      <c r="E178" s="346"/>
      <c r="F178" s="346"/>
      <c r="G178" s="346"/>
      <c r="H178" s="345"/>
    </row>
    <row r="179" spans="1:8" x14ac:dyDescent="0.4">
      <c r="A179" s="346"/>
      <c r="B179" s="346"/>
      <c r="C179" s="346"/>
      <c r="D179" s="369"/>
      <c r="E179" s="346"/>
      <c r="F179" s="346"/>
      <c r="G179" s="346"/>
      <c r="H179" s="345"/>
    </row>
    <row r="180" spans="1:8" x14ac:dyDescent="0.4">
      <c r="A180" s="346"/>
      <c r="B180" s="346"/>
      <c r="C180" s="346"/>
      <c r="D180" s="369"/>
      <c r="E180" s="346"/>
      <c r="F180" s="346"/>
      <c r="G180" s="346"/>
      <c r="H180" s="345"/>
    </row>
    <row r="181" spans="1:8" x14ac:dyDescent="0.4">
      <c r="A181" s="346"/>
      <c r="B181" s="346"/>
      <c r="C181" s="346"/>
      <c r="D181" s="369"/>
      <c r="E181" s="346"/>
      <c r="F181" s="346"/>
      <c r="G181" s="346"/>
      <c r="H181" s="345"/>
    </row>
    <row r="182" spans="1:8" x14ac:dyDescent="0.4">
      <c r="A182" s="346"/>
      <c r="B182" s="346"/>
      <c r="C182" s="346"/>
      <c r="D182" s="369"/>
      <c r="E182" s="346"/>
      <c r="F182" s="346"/>
      <c r="G182" s="346"/>
      <c r="H182" s="345"/>
    </row>
    <row r="183" spans="1:8" x14ac:dyDescent="0.4">
      <c r="A183" s="346"/>
      <c r="B183" s="346"/>
      <c r="C183" s="346"/>
      <c r="D183" s="369"/>
      <c r="E183" s="346"/>
      <c r="F183" s="346"/>
      <c r="G183" s="346"/>
      <c r="H183" s="345"/>
    </row>
    <row r="184" spans="1:8" x14ac:dyDescent="0.4">
      <c r="A184" s="346"/>
      <c r="B184" s="346"/>
      <c r="C184" s="346"/>
      <c r="D184" s="369"/>
      <c r="E184" s="346"/>
      <c r="F184" s="346"/>
      <c r="G184" s="346"/>
      <c r="H184" s="345"/>
    </row>
    <row r="185" spans="1:8" x14ac:dyDescent="0.4">
      <c r="A185" s="346"/>
      <c r="B185" s="346"/>
      <c r="C185" s="346"/>
      <c r="D185" s="369"/>
      <c r="E185" s="346"/>
      <c r="F185" s="346"/>
      <c r="G185" s="346"/>
      <c r="H185" s="345"/>
    </row>
    <row r="186" spans="1:8" x14ac:dyDescent="0.4">
      <c r="A186" s="346"/>
      <c r="B186" s="346"/>
      <c r="C186" s="346"/>
      <c r="D186" s="369"/>
      <c r="E186" s="346"/>
      <c r="F186" s="346"/>
      <c r="G186" s="346"/>
      <c r="H186" s="345"/>
    </row>
    <row r="187" spans="1:8" x14ac:dyDescent="0.4">
      <c r="A187" s="346"/>
      <c r="B187" s="346"/>
      <c r="C187" s="346"/>
      <c r="D187" s="369"/>
      <c r="E187" s="346"/>
      <c r="F187" s="346"/>
      <c r="G187" s="346"/>
      <c r="H187" s="345"/>
    </row>
    <row r="188" spans="1:8" x14ac:dyDescent="0.4">
      <c r="A188" s="346"/>
      <c r="B188" s="346"/>
      <c r="C188" s="346"/>
      <c r="D188" s="369"/>
      <c r="E188" s="346"/>
      <c r="F188" s="346"/>
      <c r="G188" s="346"/>
      <c r="H188" s="345"/>
    </row>
    <row r="189" spans="1:8" x14ac:dyDescent="0.4">
      <c r="A189" s="346"/>
      <c r="B189" s="346"/>
      <c r="C189" s="346"/>
      <c r="D189" s="369"/>
      <c r="E189" s="346"/>
      <c r="F189" s="346"/>
      <c r="G189" s="346"/>
      <c r="H189" s="345"/>
    </row>
    <row r="190" spans="1:8" x14ac:dyDescent="0.4">
      <c r="A190" s="346"/>
      <c r="B190" s="346"/>
      <c r="C190" s="346"/>
      <c r="D190" s="369"/>
      <c r="E190" s="346"/>
      <c r="F190" s="346"/>
      <c r="G190" s="346"/>
      <c r="H190" s="345"/>
    </row>
    <row r="191" spans="1:8" x14ac:dyDescent="0.4">
      <c r="A191" s="346"/>
      <c r="B191" s="346"/>
      <c r="C191" s="346"/>
      <c r="D191" s="369"/>
      <c r="E191" s="346"/>
      <c r="F191" s="346"/>
      <c r="G191" s="346"/>
      <c r="H191" s="345"/>
    </row>
    <row r="192" spans="1:8" x14ac:dyDescent="0.4">
      <c r="A192" s="346"/>
      <c r="B192" s="346"/>
      <c r="C192" s="346"/>
      <c r="D192" s="369"/>
      <c r="E192" s="346"/>
      <c r="F192" s="346"/>
      <c r="G192" s="346"/>
      <c r="H192" s="345"/>
    </row>
    <row r="193" spans="1:8" x14ac:dyDescent="0.4">
      <c r="A193" s="346"/>
      <c r="B193" s="346"/>
      <c r="C193" s="346"/>
      <c r="D193" s="369"/>
      <c r="E193" s="346"/>
      <c r="F193" s="346"/>
      <c r="G193" s="346"/>
      <c r="H193" s="345"/>
    </row>
    <row r="194" spans="1:8" x14ac:dyDescent="0.4">
      <c r="A194" s="346"/>
      <c r="B194" s="346"/>
      <c r="C194" s="346"/>
      <c r="D194" s="369"/>
      <c r="E194" s="346"/>
      <c r="F194" s="346"/>
      <c r="G194" s="346"/>
      <c r="H194" s="345"/>
    </row>
    <row r="195" spans="1:8" x14ac:dyDescent="0.4">
      <c r="A195" s="346"/>
      <c r="B195" s="346"/>
      <c r="C195" s="346"/>
      <c r="D195" s="369"/>
      <c r="E195" s="346"/>
      <c r="F195" s="346"/>
      <c r="G195" s="346"/>
      <c r="H195" s="345"/>
    </row>
    <row r="196" spans="1:8" x14ac:dyDescent="0.4">
      <c r="A196" s="346"/>
      <c r="B196" s="346"/>
      <c r="C196" s="346"/>
      <c r="D196" s="369"/>
      <c r="E196" s="346"/>
      <c r="F196" s="346"/>
      <c r="G196" s="346"/>
      <c r="H196" s="345"/>
    </row>
    <row r="197" spans="1:8" x14ac:dyDescent="0.4">
      <c r="A197" s="346"/>
      <c r="B197" s="346"/>
      <c r="C197" s="346"/>
      <c r="D197" s="369"/>
      <c r="E197" s="346"/>
      <c r="F197" s="346"/>
      <c r="G197" s="346"/>
      <c r="H197" s="345"/>
    </row>
    <row r="198" spans="1:8" x14ac:dyDescent="0.4">
      <c r="A198" s="346"/>
      <c r="B198" s="346"/>
      <c r="C198" s="346"/>
      <c r="D198" s="369"/>
      <c r="E198" s="346"/>
      <c r="F198" s="346"/>
      <c r="G198" s="346"/>
      <c r="H198" s="345"/>
    </row>
    <row r="199" spans="1:8" x14ac:dyDescent="0.4">
      <c r="A199" s="346"/>
      <c r="B199" s="346"/>
      <c r="C199" s="346"/>
      <c r="D199" s="369"/>
      <c r="E199" s="346"/>
      <c r="F199" s="346"/>
      <c r="G199" s="346"/>
      <c r="H199" s="345"/>
    </row>
    <row r="200" spans="1:8" ht="12.75" customHeight="1" x14ac:dyDescent="0.4">
      <c r="A200" s="346"/>
      <c r="B200" s="346"/>
      <c r="C200" s="346"/>
      <c r="D200" s="369"/>
      <c r="E200" s="346"/>
      <c r="F200" s="346"/>
      <c r="G200" s="346"/>
      <c r="H200" s="345"/>
    </row>
    <row r="201" spans="1:8" x14ac:dyDescent="0.4">
      <c r="A201" s="344"/>
      <c r="B201" s="344" t="s">
        <v>70</v>
      </c>
      <c r="C201" s="344"/>
      <c r="D201" s="368"/>
      <c r="E201" s="344"/>
      <c r="F201" s="344"/>
      <c r="G201" s="344"/>
      <c r="H201" s="345"/>
    </row>
    <row r="202" spans="1:8" x14ac:dyDescent="0.4">
      <c r="A202" s="346"/>
      <c r="B202" s="346"/>
      <c r="C202" s="346"/>
      <c r="D202" s="369"/>
      <c r="E202" s="346"/>
      <c r="F202" s="346"/>
      <c r="G202" s="346"/>
      <c r="H202" s="345"/>
    </row>
    <row r="203" spans="1:8" x14ac:dyDescent="0.4">
      <c r="A203" s="346"/>
      <c r="B203" s="346"/>
      <c r="C203" s="346"/>
      <c r="D203" s="369"/>
      <c r="E203" s="346"/>
      <c r="F203" s="346"/>
      <c r="G203" s="346"/>
      <c r="H203" s="345"/>
    </row>
    <row r="204" spans="1:8" x14ac:dyDescent="0.4">
      <c r="A204" s="346"/>
      <c r="B204" s="346"/>
      <c r="C204" s="346"/>
      <c r="D204" s="369"/>
      <c r="E204" s="346"/>
      <c r="F204" s="346"/>
      <c r="G204" s="346"/>
      <c r="H204" s="345"/>
    </row>
    <row r="205" spans="1:8" x14ac:dyDescent="0.4">
      <c r="A205" s="346"/>
      <c r="B205" s="346"/>
      <c r="C205" s="346"/>
      <c r="D205" s="369"/>
      <c r="E205" s="346"/>
      <c r="F205" s="346"/>
      <c r="G205" s="346"/>
      <c r="H205" s="345"/>
    </row>
    <row r="206" spans="1:8" x14ac:dyDescent="0.4">
      <c r="A206" s="346"/>
      <c r="B206" s="346"/>
      <c r="C206" s="346"/>
      <c r="D206" s="369"/>
      <c r="E206" s="346"/>
      <c r="F206" s="346"/>
      <c r="G206" s="346"/>
      <c r="H206" s="345"/>
    </row>
    <row r="207" spans="1:8" x14ac:dyDescent="0.4">
      <c r="A207" s="346"/>
      <c r="B207" s="346"/>
      <c r="C207" s="346"/>
      <c r="D207" s="369"/>
      <c r="E207" s="346"/>
      <c r="F207" s="346"/>
      <c r="G207" s="346"/>
      <c r="H207" s="345"/>
    </row>
    <row r="208" spans="1:8" x14ac:dyDescent="0.4">
      <c r="A208" s="346"/>
      <c r="B208" s="346"/>
      <c r="C208" s="346"/>
      <c r="D208" s="369"/>
      <c r="E208" s="346"/>
      <c r="F208" s="346"/>
      <c r="G208" s="346"/>
      <c r="H208" s="345"/>
    </row>
    <row r="209" spans="1:8" x14ac:dyDescent="0.4">
      <c r="A209" s="346"/>
      <c r="B209" s="346"/>
      <c r="C209" s="346"/>
      <c r="D209" s="369"/>
      <c r="E209" s="346"/>
      <c r="F209" s="346"/>
      <c r="G209" s="346"/>
      <c r="H209" s="345"/>
    </row>
    <row r="210" spans="1:8" x14ac:dyDescent="0.4">
      <c r="A210" s="346"/>
      <c r="B210" s="346"/>
      <c r="C210" s="346"/>
      <c r="D210" s="369"/>
      <c r="E210" s="346"/>
      <c r="F210" s="346"/>
      <c r="G210" s="346"/>
      <c r="H210" s="345"/>
    </row>
    <row r="211" spans="1:8" x14ac:dyDescent="0.4">
      <c r="A211" s="346"/>
      <c r="B211" s="346"/>
      <c r="C211" s="346"/>
      <c r="D211" s="369"/>
      <c r="E211" s="346"/>
      <c r="F211" s="346"/>
      <c r="G211" s="346"/>
      <c r="H211" s="345"/>
    </row>
    <row r="212" spans="1:8" x14ac:dyDescent="0.4">
      <c r="A212" s="346"/>
      <c r="B212" s="346"/>
      <c r="C212" s="346"/>
      <c r="D212" s="369"/>
      <c r="E212" s="346"/>
      <c r="F212" s="346"/>
      <c r="G212" s="346"/>
      <c r="H212" s="345"/>
    </row>
    <row r="213" spans="1:8" x14ac:dyDescent="0.4">
      <c r="A213" s="346"/>
      <c r="B213" s="346"/>
      <c r="C213" s="346"/>
      <c r="D213" s="369"/>
      <c r="E213" s="346"/>
      <c r="F213" s="346"/>
      <c r="G213" s="346"/>
      <c r="H213" s="345"/>
    </row>
    <row r="214" spans="1:8" x14ac:dyDescent="0.4">
      <c r="A214" s="346"/>
      <c r="B214" s="346"/>
      <c r="C214" s="346"/>
      <c r="D214" s="369"/>
      <c r="E214" s="346"/>
      <c r="F214" s="346"/>
      <c r="G214" s="346"/>
      <c r="H214" s="345"/>
    </row>
    <row r="215" spans="1:8" x14ac:dyDescent="0.4">
      <c r="A215" s="346"/>
      <c r="B215" s="346"/>
      <c r="C215" s="346"/>
      <c r="D215" s="369"/>
      <c r="E215" s="346"/>
      <c r="F215" s="346"/>
      <c r="G215" s="346"/>
      <c r="H215" s="345"/>
    </row>
    <row r="216" spans="1:8" x14ac:dyDescent="0.4">
      <c r="A216" s="346"/>
      <c r="B216" s="346"/>
      <c r="C216" s="346"/>
      <c r="D216" s="369"/>
      <c r="E216" s="346"/>
      <c r="F216" s="346"/>
      <c r="G216" s="346"/>
      <c r="H216" s="345"/>
    </row>
    <row r="217" spans="1:8" x14ac:dyDescent="0.4">
      <c r="A217" s="346"/>
      <c r="B217" s="346"/>
      <c r="C217" s="346"/>
      <c r="D217" s="369"/>
      <c r="E217" s="346"/>
      <c r="F217" s="346"/>
      <c r="G217" s="346"/>
      <c r="H217" s="345"/>
    </row>
    <row r="218" spans="1:8" x14ac:dyDescent="0.4">
      <c r="A218" s="346"/>
      <c r="B218" s="346"/>
      <c r="C218" s="346"/>
      <c r="D218" s="369"/>
      <c r="E218" s="346"/>
      <c r="F218" s="346"/>
      <c r="G218" s="346"/>
      <c r="H218" s="345"/>
    </row>
    <row r="219" spans="1:8" x14ac:dyDescent="0.4">
      <c r="A219" s="346"/>
      <c r="B219" s="346"/>
      <c r="C219" s="346"/>
      <c r="D219" s="369"/>
      <c r="E219" s="346"/>
      <c r="F219" s="346"/>
      <c r="G219" s="346"/>
      <c r="H219" s="345"/>
    </row>
    <row r="220" spans="1:8" x14ac:dyDescent="0.4">
      <c r="A220" s="346"/>
      <c r="B220" s="346"/>
      <c r="C220" s="346"/>
      <c r="D220" s="369"/>
      <c r="E220" s="346"/>
      <c r="F220" s="346"/>
      <c r="G220" s="346"/>
      <c r="H220" s="345"/>
    </row>
    <row r="221" spans="1:8" x14ac:dyDescent="0.4">
      <c r="A221" s="346"/>
      <c r="B221" s="346"/>
      <c r="C221" s="346"/>
      <c r="D221" s="369"/>
      <c r="E221" s="346"/>
      <c r="F221" s="346"/>
      <c r="G221" s="346"/>
      <c r="H221" s="345"/>
    </row>
    <row r="222" spans="1:8" x14ac:dyDescent="0.4">
      <c r="A222" s="346"/>
      <c r="B222" s="346"/>
      <c r="C222" s="346"/>
      <c r="D222" s="369"/>
      <c r="E222" s="346"/>
      <c r="F222" s="346"/>
      <c r="G222" s="346"/>
      <c r="H222" s="345"/>
    </row>
    <row r="223" spans="1:8" x14ac:dyDescent="0.4">
      <c r="A223" s="346"/>
      <c r="B223" s="346"/>
      <c r="C223" s="346"/>
      <c r="D223" s="369"/>
      <c r="E223" s="346"/>
      <c r="F223" s="346"/>
      <c r="G223" s="346"/>
      <c r="H223" s="345"/>
    </row>
    <row r="224" spans="1:8" x14ac:dyDescent="0.4">
      <c r="A224" s="346"/>
      <c r="B224" s="346"/>
      <c r="C224" s="346"/>
      <c r="D224" s="369"/>
      <c r="E224" s="346"/>
      <c r="F224" s="346"/>
      <c r="G224" s="346"/>
      <c r="H224" s="345"/>
    </row>
    <row r="225" spans="1:8" x14ac:dyDescent="0.4">
      <c r="A225" s="346"/>
      <c r="B225" s="346"/>
      <c r="C225" s="346"/>
      <c r="D225" s="369"/>
      <c r="E225" s="346"/>
      <c r="F225" s="346"/>
      <c r="G225" s="346"/>
      <c r="H225" s="345"/>
    </row>
    <row r="226" spans="1:8" x14ac:dyDescent="0.4">
      <c r="A226" s="346"/>
      <c r="B226" s="346"/>
      <c r="C226" s="346"/>
      <c r="D226" s="369"/>
      <c r="E226" s="346"/>
      <c r="F226" s="346"/>
      <c r="G226" s="346"/>
      <c r="H226" s="345"/>
    </row>
    <row r="227" spans="1:8" x14ac:dyDescent="0.4">
      <c r="A227" s="346"/>
      <c r="B227" s="346"/>
      <c r="C227" s="346"/>
      <c r="D227" s="369"/>
      <c r="E227" s="346"/>
      <c r="F227" s="346"/>
      <c r="G227" s="346"/>
      <c r="H227" s="345"/>
    </row>
    <row r="228" spans="1:8" x14ac:dyDescent="0.4">
      <c r="A228" s="346"/>
      <c r="B228" s="346"/>
      <c r="C228" s="346"/>
      <c r="D228" s="369"/>
      <c r="E228" s="346"/>
      <c r="F228" s="346"/>
      <c r="G228" s="346"/>
      <c r="H228" s="345"/>
    </row>
    <row r="229" spans="1:8" x14ac:dyDescent="0.4">
      <c r="A229" s="346"/>
      <c r="B229" s="346"/>
      <c r="C229" s="346"/>
      <c r="D229" s="369"/>
      <c r="E229" s="346"/>
      <c r="F229" s="346"/>
      <c r="G229" s="346"/>
      <c r="H229" s="345"/>
    </row>
    <row r="230" spans="1:8" x14ac:dyDescent="0.4">
      <c r="A230" s="346"/>
      <c r="B230" s="346"/>
      <c r="C230" s="346"/>
      <c r="D230" s="369"/>
      <c r="E230" s="346"/>
      <c r="F230" s="346"/>
      <c r="G230" s="346"/>
      <c r="H230" s="345"/>
    </row>
    <row r="231" spans="1:8" ht="14.25" customHeight="1" x14ac:dyDescent="0.4">
      <c r="A231" s="344"/>
      <c r="B231" s="344" t="s">
        <v>73</v>
      </c>
      <c r="C231" s="344"/>
      <c r="D231" s="368"/>
      <c r="E231" s="344"/>
      <c r="F231" s="344"/>
      <c r="G231" s="344"/>
      <c r="H231" s="345"/>
    </row>
    <row r="232" spans="1:8" ht="14.25" customHeight="1" x14ac:dyDescent="0.4">
      <c r="A232" s="346"/>
      <c r="B232" s="346"/>
      <c r="C232" s="346"/>
      <c r="D232" s="369"/>
      <c r="E232" s="346"/>
      <c r="F232" s="346"/>
      <c r="G232" s="346"/>
      <c r="H232" s="345"/>
    </row>
    <row r="233" spans="1:8" ht="14.25" customHeight="1" x14ac:dyDescent="0.4">
      <c r="A233" s="346" t="s">
        <v>943</v>
      </c>
      <c r="B233" s="346"/>
      <c r="C233" s="346" t="s">
        <v>944</v>
      </c>
      <c r="D233" s="369" t="s">
        <v>210</v>
      </c>
      <c r="E233" s="346"/>
      <c r="F233" s="346"/>
      <c r="G233" s="346"/>
      <c r="H233" s="345" t="s">
        <v>11</v>
      </c>
    </row>
    <row r="234" spans="1:8" ht="14.25" customHeight="1" x14ac:dyDescent="0.4">
      <c r="A234" s="346" t="s">
        <v>945</v>
      </c>
      <c r="B234" s="346"/>
      <c r="C234" s="346" t="s">
        <v>661</v>
      </c>
      <c r="D234" s="369" t="s">
        <v>946</v>
      </c>
      <c r="E234" s="346"/>
      <c r="F234" s="346"/>
      <c r="G234" s="346"/>
      <c r="H234" s="345"/>
    </row>
    <row r="235" spans="1:8" ht="14.25" customHeight="1" x14ac:dyDescent="0.4">
      <c r="A235" s="346" t="s">
        <v>947</v>
      </c>
      <c r="B235" s="346"/>
      <c r="C235" s="346" t="s">
        <v>948</v>
      </c>
      <c r="D235" s="369"/>
      <c r="E235" s="346"/>
      <c r="F235" s="346"/>
      <c r="G235" s="346"/>
      <c r="H235" s="345"/>
    </row>
    <row r="236" spans="1:8" ht="14.25" customHeight="1" x14ac:dyDescent="0.4">
      <c r="A236" s="346"/>
      <c r="B236" s="346"/>
      <c r="C236" s="346"/>
      <c r="D236" s="369"/>
      <c r="E236" s="346"/>
      <c r="F236" s="346"/>
      <c r="G236" s="346"/>
      <c r="H236" s="345"/>
    </row>
    <row r="237" spans="1:8" ht="14.25" customHeight="1" x14ac:dyDescent="0.4">
      <c r="A237" s="346"/>
      <c r="B237" s="346"/>
      <c r="C237" s="346"/>
      <c r="D237" s="369"/>
      <c r="E237" s="346"/>
      <c r="F237" s="346"/>
      <c r="G237" s="346"/>
      <c r="H237" s="345"/>
    </row>
    <row r="238" spans="1:8" ht="14.25" customHeight="1" x14ac:dyDescent="0.4">
      <c r="A238" s="346"/>
      <c r="B238" s="346"/>
      <c r="C238" s="346"/>
      <c r="D238" s="369"/>
      <c r="E238" s="346"/>
      <c r="F238" s="346"/>
      <c r="G238" s="346"/>
      <c r="H238" s="345"/>
    </row>
    <row r="239" spans="1:8" ht="14.25" customHeight="1" x14ac:dyDescent="0.4">
      <c r="A239" s="346"/>
      <c r="B239" s="346"/>
      <c r="C239" s="346"/>
      <c r="D239" s="369"/>
      <c r="E239" s="346"/>
      <c r="F239" s="346"/>
      <c r="G239" s="346"/>
      <c r="H239" s="345"/>
    </row>
    <row r="240" spans="1:8" ht="14.25" customHeight="1" x14ac:dyDescent="0.4">
      <c r="A240" s="346"/>
      <c r="B240" s="346"/>
      <c r="C240" s="346"/>
      <c r="D240" s="369"/>
      <c r="E240" s="346"/>
      <c r="F240" s="346"/>
      <c r="G240" s="346"/>
      <c r="H240" s="345"/>
    </row>
    <row r="241" spans="1:8" ht="14.25" customHeight="1" x14ac:dyDescent="0.4">
      <c r="A241" s="346"/>
      <c r="B241" s="346"/>
      <c r="C241" s="346"/>
      <c r="D241" s="369"/>
      <c r="E241" s="346"/>
      <c r="F241" s="346"/>
      <c r="G241" s="346"/>
      <c r="H241" s="345"/>
    </row>
    <row r="242" spans="1:8" ht="14.25" customHeight="1" x14ac:dyDescent="0.4">
      <c r="A242" s="346"/>
      <c r="B242" s="346"/>
      <c r="C242" s="346"/>
      <c r="D242" s="369"/>
      <c r="E242" s="346"/>
      <c r="F242" s="346"/>
      <c r="G242" s="346"/>
      <c r="H242" s="345"/>
    </row>
    <row r="243" spans="1:8" ht="14.25" customHeight="1" x14ac:dyDescent="0.4">
      <c r="A243" s="346"/>
      <c r="B243" s="346"/>
      <c r="C243" s="346"/>
      <c r="D243" s="369"/>
      <c r="E243" s="346"/>
      <c r="F243" s="346"/>
      <c r="G243" s="346"/>
      <c r="H243" s="345"/>
    </row>
    <row r="244" spans="1:8" ht="14.25" customHeight="1" x14ac:dyDescent="0.4">
      <c r="A244" s="346"/>
      <c r="B244" s="346"/>
      <c r="C244" s="346"/>
      <c r="D244" s="369"/>
      <c r="E244" s="346"/>
      <c r="F244" s="346"/>
      <c r="G244" s="346"/>
      <c r="H244" s="345"/>
    </row>
    <row r="245" spans="1:8" ht="14.25" customHeight="1" x14ac:dyDescent="0.4">
      <c r="A245" s="346"/>
      <c r="B245" s="346"/>
      <c r="C245" s="346"/>
      <c r="D245" s="369"/>
      <c r="E245" s="346"/>
      <c r="F245" s="346"/>
      <c r="G245" s="346"/>
      <c r="H245" s="345"/>
    </row>
    <row r="246" spans="1:8" ht="14.25" customHeight="1" x14ac:dyDescent="0.4">
      <c r="A246" s="346"/>
      <c r="B246" s="346"/>
      <c r="C246" s="346"/>
      <c r="D246" s="369"/>
      <c r="E246" s="346"/>
      <c r="F246" s="346"/>
      <c r="G246" s="346"/>
      <c r="H246" s="345"/>
    </row>
    <row r="247" spans="1:8" ht="14.25" customHeight="1" x14ac:dyDescent="0.4">
      <c r="A247" s="346"/>
      <c r="B247" s="346"/>
      <c r="C247" s="346"/>
      <c r="D247" s="369"/>
      <c r="E247" s="346"/>
      <c r="F247" s="346"/>
      <c r="G247" s="346"/>
      <c r="H247" s="345"/>
    </row>
    <row r="248" spans="1:8" ht="14.25" customHeight="1" x14ac:dyDescent="0.4">
      <c r="A248" s="346"/>
      <c r="B248" s="346"/>
      <c r="C248" s="346"/>
      <c r="D248" s="369"/>
      <c r="E248" s="346"/>
      <c r="F248" s="346"/>
      <c r="G248" s="346"/>
      <c r="H248" s="345"/>
    </row>
    <row r="249" spans="1:8" ht="14.25" customHeight="1" x14ac:dyDescent="0.4">
      <c r="A249" s="346"/>
      <c r="B249" s="346"/>
      <c r="C249" s="346"/>
      <c r="D249" s="369"/>
      <c r="E249" s="346"/>
      <c r="F249" s="346"/>
      <c r="G249" s="346"/>
      <c r="H249" s="345"/>
    </row>
    <row r="250" spans="1:8" ht="14.25" customHeight="1" x14ac:dyDescent="0.4">
      <c r="A250" s="346"/>
      <c r="B250" s="346"/>
      <c r="C250" s="346"/>
      <c r="D250" s="369"/>
      <c r="E250" s="346"/>
      <c r="F250" s="346"/>
      <c r="G250" s="346"/>
      <c r="H250" s="345"/>
    </row>
    <row r="251" spans="1:8" ht="14.25" customHeight="1" x14ac:dyDescent="0.4">
      <c r="A251" s="346"/>
      <c r="B251" s="346"/>
      <c r="C251" s="346"/>
      <c r="D251" s="369"/>
      <c r="E251" s="346"/>
      <c r="F251" s="346"/>
      <c r="G251" s="346"/>
      <c r="H251" s="345"/>
    </row>
    <row r="252" spans="1:8" ht="14.25" customHeight="1" x14ac:dyDescent="0.4">
      <c r="A252" s="346"/>
      <c r="B252" s="346"/>
      <c r="C252" s="346"/>
      <c r="D252" s="369"/>
      <c r="E252" s="346"/>
      <c r="F252" s="346"/>
      <c r="G252" s="346"/>
      <c r="H252" s="345"/>
    </row>
    <row r="253" spans="1:8" ht="14.25" customHeight="1" x14ac:dyDescent="0.4">
      <c r="A253" s="346"/>
      <c r="B253" s="346"/>
      <c r="C253" s="346"/>
      <c r="D253" s="369"/>
      <c r="E253" s="346"/>
      <c r="F253" s="346"/>
      <c r="G253" s="346"/>
      <c r="H253" s="345"/>
    </row>
    <row r="254" spans="1:8" ht="14.25" customHeight="1" x14ac:dyDescent="0.4">
      <c r="A254" s="346"/>
      <c r="B254" s="346"/>
      <c r="C254" s="346"/>
      <c r="D254" s="369"/>
      <c r="E254" s="346"/>
      <c r="F254" s="346"/>
      <c r="G254" s="346"/>
      <c r="H254" s="345"/>
    </row>
    <row r="255" spans="1:8" ht="14.25" customHeight="1" x14ac:dyDescent="0.4">
      <c r="A255" s="346"/>
      <c r="B255" s="346"/>
      <c r="C255" s="346"/>
      <c r="D255" s="369"/>
      <c r="E255" s="346"/>
      <c r="F255" s="346"/>
      <c r="G255" s="346"/>
      <c r="H255" s="345"/>
    </row>
    <row r="256" spans="1:8" ht="14.25" customHeight="1" x14ac:dyDescent="0.4">
      <c r="A256" s="346"/>
      <c r="B256" s="346"/>
      <c r="C256" s="346"/>
      <c r="D256" s="369"/>
      <c r="E256" s="346"/>
      <c r="F256" s="346"/>
      <c r="G256" s="346"/>
      <c r="H256" s="345"/>
    </row>
    <row r="257" spans="1:8" ht="14.25" customHeight="1" x14ac:dyDescent="0.4">
      <c r="A257" s="346"/>
      <c r="B257" s="346"/>
      <c r="C257" s="346"/>
      <c r="D257" s="369"/>
      <c r="E257" s="346"/>
      <c r="F257" s="346"/>
      <c r="G257" s="346"/>
      <c r="H257" s="345"/>
    </row>
    <row r="258" spans="1:8" ht="14.25" customHeight="1" x14ac:dyDescent="0.4">
      <c r="A258" s="346"/>
      <c r="B258" s="346"/>
      <c r="C258" s="346"/>
      <c r="D258" s="369"/>
      <c r="E258" s="346"/>
      <c r="F258" s="346"/>
      <c r="G258" s="346"/>
      <c r="H258" s="345"/>
    </row>
    <row r="259" spans="1:8" ht="14.25" customHeight="1" x14ac:dyDescent="0.4">
      <c r="A259" s="346"/>
      <c r="B259" s="346"/>
      <c r="C259" s="346"/>
      <c r="D259" s="369"/>
      <c r="E259" s="346"/>
      <c r="F259" s="346"/>
      <c r="G259" s="346"/>
      <c r="H259" s="345"/>
    </row>
    <row r="260" spans="1:8" ht="14.25" customHeight="1" x14ac:dyDescent="0.4">
      <c r="A260" s="346"/>
      <c r="B260" s="346"/>
      <c r="C260" s="346"/>
      <c r="D260" s="369"/>
      <c r="E260" s="346"/>
      <c r="F260" s="346"/>
      <c r="G260" s="346"/>
      <c r="H260" s="345"/>
    </row>
    <row r="261" spans="1:8" ht="14.25" customHeight="1" x14ac:dyDescent="0.4">
      <c r="A261" s="346"/>
      <c r="B261" s="346"/>
      <c r="C261" s="346"/>
      <c r="D261" s="369"/>
      <c r="E261" s="346"/>
      <c r="F261" s="346"/>
      <c r="G261" s="346"/>
      <c r="H261" s="345"/>
    </row>
    <row r="262" spans="1:8" ht="14.25" customHeight="1" x14ac:dyDescent="0.4">
      <c r="A262" s="346"/>
      <c r="B262" s="346"/>
      <c r="C262" s="346"/>
      <c r="D262" s="369"/>
      <c r="E262" s="346"/>
      <c r="F262" s="346"/>
      <c r="G262" s="346"/>
      <c r="H262" s="345"/>
    </row>
    <row r="263" spans="1:8" ht="14.25" customHeight="1" x14ac:dyDescent="0.4">
      <c r="A263" s="346"/>
      <c r="B263" s="346"/>
      <c r="C263" s="346"/>
      <c r="D263" s="369"/>
      <c r="E263" s="346"/>
      <c r="F263" s="346"/>
      <c r="G263" s="346"/>
      <c r="H263" s="345"/>
    </row>
    <row r="264" spans="1:8" ht="14.25" customHeight="1" x14ac:dyDescent="0.4">
      <c r="A264" s="346"/>
      <c r="B264" s="346"/>
      <c r="C264" s="346"/>
      <c r="D264" s="369"/>
      <c r="E264" s="346"/>
      <c r="F264" s="346"/>
      <c r="G264" s="346"/>
      <c r="H264" s="345"/>
    </row>
    <row r="265" spans="1:8" ht="14.25" customHeight="1" x14ac:dyDescent="0.4">
      <c r="A265" s="346"/>
      <c r="B265" s="346"/>
      <c r="C265" s="346"/>
      <c r="D265" s="369"/>
      <c r="E265" s="346"/>
      <c r="F265" s="346"/>
      <c r="G265" s="346"/>
      <c r="H265" s="345"/>
    </row>
    <row r="266" spans="1:8" ht="14.25" customHeight="1" x14ac:dyDescent="0.4">
      <c r="A266" s="346"/>
      <c r="B266" s="346"/>
      <c r="C266" s="346"/>
      <c r="D266" s="369"/>
      <c r="E266" s="346"/>
      <c r="F266" s="346"/>
      <c r="G266" s="346"/>
      <c r="H266" s="345"/>
    </row>
    <row r="267" spans="1:8" ht="14.25" customHeight="1" x14ac:dyDescent="0.4">
      <c r="A267" s="346"/>
      <c r="B267" s="346"/>
      <c r="C267" s="346"/>
      <c r="D267" s="369"/>
      <c r="E267" s="346"/>
      <c r="F267" s="346"/>
      <c r="G267" s="346"/>
      <c r="H267" s="345"/>
    </row>
    <row r="268" spans="1:8" ht="14.25" customHeight="1" x14ac:dyDescent="0.4">
      <c r="A268" s="346"/>
      <c r="B268" s="346"/>
      <c r="C268" s="346"/>
      <c r="D268" s="369"/>
      <c r="E268" s="346"/>
      <c r="F268" s="346"/>
      <c r="G268" s="346"/>
      <c r="H268" s="345"/>
    </row>
    <row r="269" spans="1:8" ht="14.25" customHeight="1" x14ac:dyDescent="0.4">
      <c r="A269" s="346"/>
      <c r="B269" s="346"/>
      <c r="C269" s="346"/>
      <c r="D269" s="369"/>
      <c r="E269" s="346"/>
      <c r="F269" s="346"/>
      <c r="G269" s="346"/>
      <c r="H269" s="345"/>
    </row>
    <row r="270" spans="1:8" ht="14.25" customHeight="1" x14ac:dyDescent="0.4">
      <c r="A270" s="346"/>
      <c r="B270" s="346"/>
      <c r="C270" s="346"/>
      <c r="D270" s="369"/>
      <c r="E270" s="346"/>
      <c r="F270" s="346"/>
      <c r="G270" s="346"/>
      <c r="H270" s="345"/>
    </row>
    <row r="271" spans="1:8" ht="14.25" customHeight="1" x14ac:dyDescent="0.4">
      <c r="A271" s="346"/>
      <c r="B271" s="346"/>
      <c r="C271" s="346"/>
      <c r="D271" s="369"/>
      <c r="E271" s="346"/>
      <c r="F271" s="346"/>
      <c r="G271" s="346"/>
      <c r="H271" s="345"/>
    </row>
    <row r="272" spans="1:8" ht="14.25" customHeight="1" x14ac:dyDescent="0.4">
      <c r="A272" s="346"/>
      <c r="B272" s="346"/>
      <c r="C272" s="346"/>
      <c r="D272" s="369"/>
      <c r="E272" s="346"/>
      <c r="F272" s="346"/>
      <c r="G272" s="346"/>
      <c r="H272" s="345"/>
    </row>
    <row r="273" spans="1:8" ht="14.25" customHeight="1" x14ac:dyDescent="0.4">
      <c r="A273" s="346"/>
      <c r="B273" s="346"/>
      <c r="C273" s="346"/>
      <c r="D273" s="369"/>
      <c r="E273" s="346"/>
      <c r="F273" s="346"/>
      <c r="G273" s="346"/>
      <c r="H273" s="345"/>
    </row>
    <row r="274" spans="1:8" ht="14.25" customHeight="1" x14ac:dyDescent="0.4">
      <c r="A274" s="346"/>
      <c r="B274" s="346"/>
      <c r="C274" s="346"/>
      <c r="D274" s="369"/>
      <c r="E274" s="346"/>
      <c r="F274" s="346"/>
      <c r="G274" s="346"/>
      <c r="H274" s="345"/>
    </row>
    <row r="275" spans="1:8" ht="14.25" customHeight="1" x14ac:dyDescent="0.4">
      <c r="A275" s="346"/>
      <c r="B275" s="346"/>
      <c r="C275" s="346"/>
      <c r="D275" s="369"/>
      <c r="E275" s="346"/>
      <c r="F275" s="346"/>
      <c r="G275" s="346"/>
      <c r="H275" s="345"/>
    </row>
    <row r="276" spans="1:8" ht="14.25" customHeight="1" x14ac:dyDescent="0.4">
      <c r="A276" s="346"/>
      <c r="B276" s="346"/>
      <c r="C276" s="346"/>
      <c r="D276" s="369"/>
      <c r="E276" s="346"/>
      <c r="F276" s="346"/>
      <c r="G276" s="346"/>
      <c r="H276" s="345"/>
    </row>
    <row r="277" spans="1:8" ht="14.25" customHeight="1" x14ac:dyDescent="0.4">
      <c r="A277" s="346"/>
      <c r="B277" s="346"/>
      <c r="C277" s="346"/>
      <c r="D277" s="369"/>
      <c r="E277" s="346"/>
      <c r="F277" s="346"/>
      <c r="G277" s="346"/>
      <c r="H277" s="345"/>
    </row>
    <row r="278" spans="1:8" ht="14.25" customHeight="1" x14ac:dyDescent="0.4">
      <c r="A278" s="346"/>
      <c r="B278" s="346"/>
      <c r="C278" s="346"/>
      <c r="D278" s="369"/>
      <c r="E278" s="346"/>
      <c r="F278" s="346"/>
      <c r="G278" s="346"/>
      <c r="H278" s="345"/>
    </row>
    <row r="279" spans="1:8" ht="14.25" customHeight="1" x14ac:dyDescent="0.4">
      <c r="A279" s="346"/>
      <c r="B279" s="346"/>
      <c r="C279" s="346"/>
      <c r="D279" s="369"/>
      <c r="E279" s="346"/>
      <c r="F279" s="346"/>
      <c r="G279" s="346"/>
      <c r="H279" s="345"/>
    </row>
    <row r="280" spans="1:8" ht="14.25" customHeight="1" x14ac:dyDescent="0.4">
      <c r="A280" s="346"/>
      <c r="B280" s="346"/>
      <c r="C280" s="346"/>
      <c r="D280" s="369"/>
      <c r="E280" s="346"/>
      <c r="F280" s="346"/>
      <c r="G280" s="346"/>
      <c r="H280" s="345"/>
    </row>
    <row r="281" spans="1:8" ht="14.25" customHeight="1" x14ac:dyDescent="0.4">
      <c r="A281" s="346"/>
      <c r="B281" s="346"/>
      <c r="C281" s="346"/>
      <c r="D281" s="369"/>
      <c r="E281" s="346"/>
      <c r="F281" s="346"/>
      <c r="G281" s="346"/>
      <c r="H281" s="345"/>
    </row>
    <row r="282" spans="1:8" ht="14.25" customHeight="1" x14ac:dyDescent="0.4">
      <c r="A282" s="346"/>
      <c r="B282" s="346"/>
      <c r="C282" s="346"/>
      <c r="D282" s="369"/>
      <c r="E282" s="346"/>
      <c r="F282" s="346"/>
      <c r="G282" s="346"/>
      <c r="H282" s="345"/>
    </row>
    <row r="283" spans="1:8" ht="14.25" customHeight="1" x14ac:dyDescent="0.4">
      <c r="A283" s="346"/>
      <c r="B283" s="346"/>
      <c r="C283" s="346"/>
      <c r="D283" s="369"/>
      <c r="E283" s="346"/>
      <c r="F283" s="346"/>
      <c r="G283" s="346"/>
      <c r="H283" s="345"/>
    </row>
    <row r="284" spans="1:8" ht="14.25" customHeight="1" x14ac:dyDescent="0.4">
      <c r="A284" s="346"/>
      <c r="B284" s="346"/>
      <c r="C284" s="346"/>
      <c r="D284" s="369"/>
      <c r="E284" s="346"/>
      <c r="F284" s="346"/>
      <c r="G284" s="346"/>
      <c r="H284" s="345"/>
    </row>
    <row r="285" spans="1:8" ht="14.25" customHeight="1" x14ac:dyDescent="0.4">
      <c r="A285" s="346"/>
      <c r="B285" s="346"/>
      <c r="C285" s="346"/>
      <c r="D285" s="369"/>
      <c r="E285" s="346"/>
      <c r="F285" s="346"/>
      <c r="G285" s="346"/>
      <c r="H285" s="345"/>
    </row>
    <row r="286" spans="1:8" ht="14.25" customHeight="1" x14ac:dyDescent="0.4">
      <c r="A286" s="346"/>
      <c r="B286" s="346"/>
      <c r="C286" s="346"/>
      <c r="D286" s="369"/>
      <c r="E286" s="346"/>
      <c r="F286" s="346"/>
      <c r="G286" s="346"/>
      <c r="H286" s="345"/>
    </row>
    <row r="287" spans="1:8" ht="14.25" customHeight="1" x14ac:dyDescent="0.4">
      <c r="A287" s="346"/>
      <c r="B287" s="346"/>
      <c r="C287" s="346"/>
      <c r="D287" s="369"/>
      <c r="E287" s="346"/>
      <c r="F287" s="346"/>
      <c r="G287" s="346"/>
      <c r="H287" s="345"/>
    </row>
    <row r="288" spans="1:8" ht="14.25" customHeight="1" x14ac:dyDescent="0.4">
      <c r="A288" s="346"/>
      <c r="B288" s="346"/>
      <c r="C288" s="346"/>
      <c r="D288" s="369"/>
      <c r="E288" s="346"/>
      <c r="F288" s="346"/>
      <c r="G288" s="346"/>
      <c r="H288" s="345"/>
    </row>
    <row r="289" spans="1:8" ht="14.25" customHeight="1" x14ac:dyDescent="0.4">
      <c r="A289" s="344"/>
      <c r="B289" s="344" t="s">
        <v>77</v>
      </c>
      <c r="C289" s="344"/>
      <c r="D289" s="368"/>
      <c r="E289" s="344"/>
      <c r="F289" s="344"/>
      <c r="G289" s="344"/>
      <c r="H289" s="345"/>
    </row>
    <row r="290" spans="1:8" ht="14.25" customHeight="1" x14ac:dyDescent="0.4">
      <c r="A290" s="346"/>
      <c r="B290" s="346"/>
      <c r="C290" s="346"/>
      <c r="D290" s="369"/>
      <c r="E290" s="346"/>
      <c r="F290" s="346"/>
      <c r="G290" s="346"/>
      <c r="H290" s="345"/>
    </row>
    <row r="291" spans="1:8" ht="14.25" customHeight="1" x14ac:dyDescent="0.4">
      <c r="A291" s="346" t="s">
        <v>949</v>
      </c>
      <c r="B291" s="346"/>
      <c r="C291" s="346" t="s">
        <v>950</v>
      </c>
      <c r="D291" s="369"/>
      <c r="E291" s="346"/>
      <c r="F291" s="346"/>
      <c r="G291" s="346"/>
      <c r="H291" s="345"/>
    </row>
    <row r="292" spans="1:8" ht="14.25" customHeight="1" x14ac:dyDescent="0.4">
      <c r="A292" s="346" t="s">
        <v>951</v>
      </c>
      <c r="B292" s="346"/>
      <c r="C292" s="346" t="s">
        <v>952</v>
      </c>
      <c r="D292" s="369" t="s">
        <v>953</v>
      </c>
      <c r="E292" s="346"/>
      <c r="F292" s="346"/>
      <c r="G292" s="346"/>
      <c r="H292" s="345"/>
    </row>
    <row r="293" spans="1:8" ht="14.25" customHeight="1" x14ac:dyDescent="0.4">
      <c r="A293" s="346"/>
      <c r="B293" s="346"/>
      <c r="C293" s="346"/>
      <c r="D293" s="369"/>
      <c r="E293" s="346"/>
      <c r="F293" s="346"/>
      <c r="G293" s="346"/>
      <c r="H293" s="345"/>
    </row>
    <row r="294" spans="1:8" ht="14.25" customHeight="1" x14ac:dyDescent="0.4">
      <c r="A294" s="346"/>
      <c r="B294" s="346"/>
      <c r="C294" s="346"/>
      <c r="D294" s="369"/>
      <c r="E294" s="346"/>
      <c r="F294" s="346"/>
      <c r="G294" s="346"/>
      <c r="H294" s="345"/>
    </row>
    <row r="295" spans="1:8" ht="14.25" customHeight="1" x14ac:dyDescent="0.4">
      <c r="A295" s="346"/>
      <c r="B295" s="346"/>
      <c r="C295" s="346"/>
      <c r="D295" s="369"/>
      <c r="E295" s="346"/>
      <c r="F295" s="346"/>
      <c r="G295" s="346"/>
      <c r="H295" s="345"/>
    </row>
    <row r="296" spans="1:8" ht="14.25" customHeight="1" x14ac:dyDescent="0.4">
      <c r="A296" s="346"/>
      <c r="B296" s="346"/>
      <c r="C296" s="346"/>
      <c r="D296" s="369"/>
      <c r="E296" s="346"/>
      <c r="F296" s="346"/>
      <c r="G296" s="346"/>
      <c r="H296" s="345"/>
    </row>
    <row r="297" spans="1:8" ht="14.25" customHeight="1" x14ac:dyDescent="0.4">
      <c r="A297" s="346"/>
      <c r="B297" s="346"/>
      <c r="C297" s="346"/>
      <c r="D297" s="369"/>
      <c r="E297" s="346"/>
      <c r="F297" s="346"/>
      <c r="G297" s="346"/>
      <c r="H297" s="345"/>
    </row>
    <row r="298" spans="1:8" ht="14.25" customHeight="1" x14ac:dyDescent="0.4">
      <c r="A298" s="346"/>
      <c r="B298" s="346"/>
      <c r="C298" s="346"/>
      <c r="D298" s="369"/>
      <c r="E298" s="346"/>
      <c r="F298" s="346"/>
      <c r="G298" s="346"/>
      <c r="H298" s="345"/>
    </row>
    <row r="299" spans="1:8" ht="14.25" customHeight="1" x14ac:dyDescent="0.4">
      <c r="A299" s="346"/>
      <c r="B299" s="346"/>
      <c r="C299" s="346"/>
      <c r="D299" s="369"/>
      <c r="E299" s="346"/>
      <c r="F299" s="346"/>
      <c r="G299" s="346"/>
      <c r="H299" s="345"/>
    </row>
    <row r="300" spans="1:8" ht="14.25" customHeight="1" x14ac:dyDescent="0.4">
      <c r="A300" s="346"/>
      <c r="B300" s="346"/>
      <c r="C300" s="346"/>
      <c r="D300" s="369"/>
      <c r="E300" s="346"/>
      <c r="F300" s="346"/>
      <c r="G300" s="346"/>
      <c r="H300" s="345"/>
    </row>
    <row r="301" spans="1:8" ht="14.25" customHeight="1" x14ac:dyDescent="0.4">
      <c r="A301" s="346"/>
      <c r="B301" s="346"/>
      <c r="C301" s="346"/>
      <c r="D301" s="369"/>
      <c r="E301" s="346"/>
      <c r="F301" s="346"/>
      <c r="G301" s="346"/>
      <c r="H301" s="345"/>
    </row>
    <row r="302" spans="1:8" ht="14.25" customHeight="1" x14ac:dyDescent="0.4">
      <c r="A302" s="346"/>
      <c r="B302" s="346"/>
      <c r="C302" s="346"/>
      <c r="D302" s="369"/>
      <c r="E302" s="346"/>
      <c r="F302" s="346"/>
      <c r="G302" s="346"/>
      <c r="H302" s="345"/>
    </row>
    <row r="303" spans="1:8" ht="14.25" customHeight="1" x14ac:dyDescent="0.4">
      <c r="A303" s="346"/>
      <c r="B303" s="346"/>
      <c r="C303" s="346"/>
      <c r="D303" s="369"/>
      <c r="E303" s="346"/>
      <c r="F303" s="346"/>
      <c r="G303" s="346"/>
      <c r="H303" s="345"/>
    </row>
    <row r="304" spans="1:8" ht="14.25" customHeight="1" x14ac:dyDescent="0.4">
      <c r="A304" s="346"/>
      <c r="B304" s="346"/>
      <c r="C304" s="346"/>
      <c r="D304" s="369"/>
      <c r="E304" s="346"/>
      <c r="F304" s="346"/>
      <c r="G304" s="346"/>
      <c r="H304" s="345"/>
    </row>
    <row r="305" spans="1:8" ht="14.25" customHeight="1" x14ac:dyDescent="0.4">
      <c r="A305" s="346"/>
      <c r="B305" s="346"/>
      <c r="C305" s="346"/>
      <c r="D305" s="369"/>
      <c r="E305" s="346"/>
      <c r="F305" s="346"/>
      <c r="G305" s="346"/>
      <c r="H305" s="345"/>
    </row>
    <row r="306" spans="1:8" ht="14.25" customHeight="1" x14ac:dyDescent="0.4">
      <c r="A306" s="346"/>
      <c r="B306" s="346"/>
      <c r="C306" s="346"/>
      <c r="D306" s="369"/>
      <c r="E306" s="346"/>
      <c r="F306" s="346"/>
      <c r="G306" s="346"/>
      <c r="H306" s="345"/>
    </row>
    <row r="307" spans="1:8" ht="14.25" customHeight="1" x14ac:dyDescent="0.4">
      <c r="A307" s="346"/>
      <c r="B307" s="346"/>
      <c r="C307" s="346"/>
      <c r="D307" s="369"/>
      <c r="E307" s="346"/>
      <c r="F307" s="346"/>
      <c r="G307" s="346"/>
      <c r="H307" s="345"/>
    </row>
    <row r="308" spans="1:8" ht="14.25" customHeight="1" x14ac:dyDescent="0.4">
      <c r="A308" s="346"/>
      <c r="B308" s="346"/>
      <c r="C308" s="346"/>
      <c r="D308" s="369"/>
      <c r="E308" s="346"/>
      <c r="F308" s="346"/>
      <c r="G308" s="346"/>
      <c r="H308" s="345"/>
    </row>
    <row r="309" spans="1:8" ht="14.25" customHeight="1" x14ac:dyDescent="0.4">
      <c r="A309" s="346"/>
      <c r="B309" s="346"/>
      <c r="C309" s="346"/>
      <c r="D309" s="369"/>
      <c r="E309" s="346"/>
      <c r="F309" s="346"/>
      <c r="G309" s="346"/>
      <c r="H309" s="345"/>
    </row>
    <row r="310" spans="1:8" ht="14.25" customHeight="1" x14ac:dyDescent="0.4">
      <c r="A310" s="346"/>
      <c r="B310" s="346"/>
      <c r="C310" s="346"/>
      <c r="D310" s="369"/>
      <c r="E310" s="346"/>
      <c r="F310" s="346"/>
      <c r="G310" s="346"/>
      <c r="H310" s="345"/>
    </row>
    <row r="311" spans="1:8" ht="14.25" customHeight="1" x14ac:dyDescent="0.4">
      <c r="A311" s="346"/>
      <c r="B311" s="346"/>
      <c r="C311" s="346"/>
      <c r="D311" s="369"/>
      <c r="E311" s="346"/>
      <c r="F311" s="346"/>
      <c r="G311" s="346"/>
      <c r="H311" s="345"/>
    </row>
    <row r="312" spans="1:8" ht="14.25" customHeight="1" x14ac:dyDescent="0.4">
      <c r="A312" s="346"/>
      <c r="B312" s="346"/>
      <c r="C312" s="346"/>
      <c r="D312" s="369"/>
      <c r="E312" s="346"/>
      <c r="F312" s="346"/>
      <c r="G312" s="346"/>
      <c r="H312" s="345"/>
    </row>
    <row r="313" spans="1:8" ht="14.25" customHeight="1" x14ac:dyDescent="0.4">
      <c r="A313" s="346"/>
      <c r="B313" s="346"/>
      <c r="C313" s="346"/>
      <c r="D313" s="369"/>
      <c r="E313" s="346"/>
      <c r="F313" s="346"/>
      <c r="G313" s="346"/>
      <c r="H313" s="345"/>
    </row>
    <row r="314" spans="1:8" ht="14.25" customHeight="1" x14ac:dyDescent="0.4">
      <c r="A314" s="346"/>
      <c r="B314" s="346"/>
      <c r="C314" s="346"/>
      <c r="D314" s="369"/>
      <c r="E314" s="346"/>
      <c r="F314" s="346"/>
      <c r="G314" s="346"/>
      <c r="H314" s="345"/>
    </row>
    <row r="315" spans="1:8" ht="14.25" customHeight="1" x14ac:dyDescent="0.4">
      <c r="A315" s="346"/>
      <c r="B315" s="346"/>
      <c r="C315" s="346"/>
      <c r="D315" s="369"/>
      <c r="E315" s="346"/>
      <c r="F315" s="346"/>
      <c r="G315" s="346"/>
      <c r="H315" s="345"/>
    </row>
    <row r="316" spans="1:8" ht="14.25" customHeight="1" x14ac:dyDescent="0.4">
      <c r="A316" s="346" t="s">
        <v>11</v>
      </c>
      <c r="B316" s="346"/>
      <c r="C316" s="346" t="s">
        <v>11</v>
      </c>
      <c r="D316" s="369"/>
      <c r="E316" s="346"/>
      <c r="F316" s="346"/>
      <c r="G316" s="346"/>
      <c r="H316" s="345"/>
    </row>
    <row r="317" spans="1:8" ht="14.25" customHeight="1" x14ac:dyDescent="0.4">
      <c r="A317" s="346"/>
      <c r="B317" s="346"/>
      <c r="C317" s="346"/>
      <c r="D317" s="369"/>
      <c r="E317" s="346"/>
      <c r="F317" s="346"/>
      <c r="G317" s="346"/>
      <c r="H317" s="345"/>
    </row>
    <row r="318" spans="1:8" ht="14.25" customHeight="1" x14ac:dyDescent="0.4">
      <c r="A318" s="346"/>
      <c r="B318" s="346"/>
      <c r="C318" s="346"/>
      <c r="D318" s="369"/>
      <c r="E318" s="346"/>
      <c r="F318" s="346"/>
      <c r="G318" s="346"/>
      <c r="H318" s="345"/>
    </row>
    <row r="319" spans="1:8" ht="14.25" customHeight="1" x14ac:dyDescent="0.4">
      <c r="A319" s="346"/>
      <c r="B319" s="346"/>
      <c r="C319" s="346"/>
      <c r="D319" s="369"/>
      <c r="E319" s="346"/>
      <c r="F319" s="346"/>
      <c r="G319" s="346"/>
      <c r="H319" s="345"/>
    </row>
    <row r="320" spans="1:8" ht="14.25" customHeight="1" x14ac:dyDescent="0.4">
      <c r="A320" s="346"/>
      <c r="B320" s="346"/>
      <c r="C320" s="346"/>
      <c r="D320" s="369"/>
      <c r="E320" s="346"/>
      <c r="F320" s="346"/>
      <c r="G320" s="346"/>
      <c r="H320" s="345"/>
    </row>
    <row r="321" spans="1:8" ht="14.25" customHeight="1" x14ac:dyDescent="0.4">
      <c r="A321" s="346"/>
      <c r="B321" s="346"/>
      <c r="C321" s="346"/>
      <c r="D321" s="369"/>
      <c r="E321" s="346"/>
      <c r="F321" s="346"/>
      <c r="G321" s="346"/>
      <c r="H321" s="345"/>
    </row>
    <row r="322" spans="1:8" ht="14.25" customHeight="1" x14ac:dyDescent="0.4">
      <c r="A322" s="344"/>
      <c r="B322" s="344" t="s">
        <v>80</v>
      </c>
      <c r="C322" s="344"/>
      <c r="D322" s="368"/>
      <c r="E322" s="344"/>
      <c r="F322" s="344"/>
      <c r="G322" s="344"/>
      <c r="H322" s="345"/>
    </row>
    <row r="323" spans="1:8" ht="14.25" customHeight="1" x14ac:dyDescent="0.4">
      <c r="A323" s="346"/>
      <c r="B323" s="346"/>
      <c r="C323" s="346"/>
      <c r="D323" s="369"/>
      <c r="E323" s="346"/>
      <c r="F323" s="346"/>
      <c r="G323" s="346"/>
      <c r="H323" s="345"/>
    </row>
    <row r="324" spans="1:8" ht="14.25" customHeight="1" x14ac:dyDescent="0.4">
      <c r="A324" s="346"/>
      <c r="B324" s="346"/>
      <c r="C324" s="346"/>
      <c r="D324" s="369"/>
      <c r="E324" s="346"/>
      <c r="F324" s="346"/>
      <c r="G324" s="346"/>
      <c r="H324" s="345"/>
    </row>
    <row r="325" spans="1:8" ht="14.25" customHeight="1" x14ac:dyDescent="0.4">
      <c r="A325" s="346"/>
      <c r="B325" s="346"/>
      <c r="C325" s="346"/>
      <c r="D325" s="369"/>
      <c r="E325" s="346"/>
      <c r="F325" s="346"/>
      <c r="G325" s="346"/>
      <c r="H325" s="345"/>
    </row>
    <row r="326" spans="1:8" ht="14.25" customHeight="1" x14ac:dyDescent="0.4">
      <c r="A326" s="346"/>
      <c r="B326" s="346"/>
      <c r="C326" s="346"/>
      <c r="D326" s="369"/>
      <c r="E326" s="346"/>
      <c r="F326" s="346"/>
      <c r="G326" s="346"/>
      <c r="H326" s="345"/>
    </row>
    <row r="327" spans="1:8" ht="14.25" customHeight="1" x14ac:dyDescent="0.4">
      <c r="A327" s="346"/>
      <c r="B327" s="346"/>
      <c r="C327" s="346"/>
      <c r="D327" s="369"/>
      <c r="E327" s="346"/>
      <c r="F327" s="346"/>
      <c r="G327" s="346"/>
      <c r="H327" s="345"/>
    </row>
    <row r="328" spans="1:8" ht="14.25" customHeight="1" x14ac:dyDescent="0.4">
      <c r="A328" s="346"/>
      <c r="B328" s="346"/>
      <c r="C328" s="346"/>
      <c r="D328" s="369"/>
      <c r="E328" s="346"/>
      <c r="F328" s="346"/>
      <c r="G328" s="346"/>
      <c r="H328" s="345"/>
    </row>
    <row r="329" spans="1:8" ht="14.25" customHeight="1" x14ac:dyDescent="0.4">
      <c r="A329" s="346"/>
      <c r="B329" s="346"/>
      <c r="C329" s="346"/>
      <c r="D329" s="369"/>
      <c r="E329" s="346"/>
      <c r="F329" s="346"/>
      <c r="G329" s="346"/>
      <c r="H329" s="345"/>
    </row>
    <row r="330" spans="1:8" ht="14.25" customHeight="1" x14ac:dyDescent="0.4">
      <c r="A330" s="346"/>
      <c r="B330" s="346"/>
      <c r="C330" s="346"/>
      <c r="D330" s="369"/>
      <c r="E330" s="346"/>
      <c r="F330" s="346"/>
      <c r="G330" s="346"/>
      <c r="H330" s="345"/>
    </row>
    <row r="331" spans="1:8" ht="14.25" customHeight="1" x14ac:dyDescent="0.4">
      <c r="A331" s="346"/>
      <c r="B331" s="346"/>
      <c r="C331" s="346"/>
      <c r="D331" s="369"/>
      <c r="E331" s="346"/>
      <c r="F331" s="346"/>
      <c r="G331" s="346"/>
      <c r="H331" s="345"/>
    </row>
    <row r="332" spans="1:8" ht="14.25" customHeight="1" x14ac:dyDescent="0.4">
      <c r="A332" s="346"/>
      <c r="B332" s="346"/>
      <c r="C332" s="346"/>
      <c r="D332" s="369"/>
      <c r="E332" s="346"/>
      <c r="F332" s="346"/>
      <c r="G332" s="346"/>
      <c r="H332" s="345"/>
    </row>
    <row r="333" spans="1:8" ht="14.25" customHeight="1" x14ac:dyDescent="0.4">
      <c r="A333" s="346"/>
      <c r="B333" s="346"/>
      <c r="C333" s="346"/>
      <c r="D333" s="369"/>
      <c r="E333" s="346"/>
      <c r="F333" s="346"/>
      <c r="G333" s="346"/>
      <c r="H333" s="345"/>
    </row>
    <row r="334" spans="1:8" ht="14.25" customHeight="1" x14ac:dyDescent="0.4">
      <c r="A334" s="346"/>
      <c r="B334" s="346"/>
      <c r="C334" s="346"/>
      <c r="D334" s="369"/>
      <c r="E334" s="346"/>
      <c r="F334" s="346"/>
      <c r="G334" s="346"/>
      <c r="H334" s="345"/>
    </row>
    <row r="335" spans="1:8" ht="14.25" customHeight="1" x14ac:dyDescent="0.4">
      <c r="A335" s="346"/>
      <c r="B335" s="346"/>
      <c r="C335" s="346"/>
      <c r="D335" s="369"/>
      <c r="E335" s="346"/>
      <c r="F335" s="346"/>
      <c r="G335" s="346"/>
      <c r="H335" s="345"/>
    </row>
    <row r="336" spans="1:8" ht="14.25" customHeight="1" x14ac:dyDescent="0.4">
      <c r="A336" s="346"/>
      <c r="B336" s="346"/>
      <c r="C336" s="346"/>
      <c r="D336" s="369"/>
      <c r="E336" s="346"/>
      <c r="F336" s="346"/>
      <c r="G336" s="346"/>
      <c r="H336" s="345"/>
    </row>
    <row r="337" spans="1:8" ht="14.25" customHeight="1" x14ac:dyDescent="0.4">
      <c r="A337" s="346"/>
      <c r="B337" s="346"/>
      <c r="C337" s="346"/>
      <c r="D337" s="369"/>
      <c r="E337" s="346"/>
      <c r="F337" s="346"/>
      <c r="G337" s="346"/>
      <c r="H337" s="345"/>
    </row>
    <row r="338" spans="1:8" ht="14.25" customHeight="1" x14ac:dyDescent="0.4">
      <c r="A338" s="346"/>
      <c r="B338" s="346"/>
      <c r="C338" s="346"/>
      <c r="D338" s="369"/>
      <c r="E338" s="346"/>
      <c r="F338" s="346"/>
      <c r="G338" s="346"/>
      <c r="H338" s="345"/>
    </row>
    <row r="339" spans="1:8" ht="14.25" customHeight="1" x14ac:dyDescent="0.4">
      <c r="A339" s="346"/>
      <c r="B339" s="346"/>
      <c r="C339" s="346"/>
      <c r="D339" s="369"/>
      <c r="E339" s="346"/>
      <c r="F339" s="346"/>
      <c r="G339" s="346"/>
      <c r="H339" s="345"/>
    </row>
    <row r="340" spans="1:8" ht="14.25" customHeight="1" x14ac:dyDescent="0.4">
      <c r="A340" s="346"/>
      <c r="B340" s="346"/>
      <c r="C340" s="346"/>
      <c r="D340" s="369"/>
      <c r="E340" s="346"/>
      <c r="F340" s="346"/>
      <c r="G340" s="346"/>
      <c r="H340" s="345"/>
    </row>
    <row r="341" spans="1:8" ht="14.25" customHeight="1" x14ac:dyDescent="0.4">
      <c r="A341" s="346"/>
      <c r="B341" s="346"/>
      <c r="C341" s="346"/>
      <c r="D341" s="369"/>
      <c r="E341" s="346"/>
      <c r="F341" s="346"/>
      <c r="G341" s="346"/>
      <c r="H341" s="345"/>
    </row>
    <row r="342" spans="1:8" ht="14.25" customHeight="1" x14ac:dyDescent="0.4">
      <c r="A342" s="346"/>
      <c r="B342" s="346"/>
      <c r="C342" s="346"/>
      <c r="D342" s="369"/>
      <c r="E342" s="346"/>
      <c r="F342" s="346"/>
      <c r="G342" s="346"/>
      <c r="H342" s="345"/>
    </row>
    <row r="343" spans="1:8" ht="14.25" customHeight="1" x14ac:dyDescent="0.4">
      <c r="A343" s="346"/>
      <c r="B343" s="346"/>
      <c r="C343" s="346"/>
      <c r="D343" s="369"/>
      <c r="E343" s="346"/>
      <c r="F343" s="346"/>
      <c r="G343" s="346"/>
      <c r="H343" s="345"/>
    </row>
    <row r="344" spans="1:8" ht="14.25" customHeight="1" x14ac:dyDescent="0.4">
      <c r="A344" s="346"/>
      <c r="B344" s="346"/>
      <c r="C344" s="346"/>
      <c r="D344" s="369"/>
      <c r="E344" s="346"/>
      <c r="F344" s="346"/>
      <c r="G344" s="346"/>
      <c r="H344" s="345"/>
    </row>
    <row r="345" spans="1:8" ht="14.25" customHeight="1" x14ac:dyDescent="0.4">
      <c r="A345" s="346"/>
      <c r="B345" s="346"/>
      <c r="C345" s="346"/>
      <c r="D345" s="369"/>
      <c r="E345" s="346"/>
      <c r="F345" s="346"/>
      <c r="G345" s="346"/>
      <c r="H345" s="345"/>
    </row>
    <row r="346" spans="1:8" ht="14.25" customHeight="1" x14ac:dyDescent="0.4">
      <c r="A346" s="346"/>
      <c r="B346" s="346"/>
      <c r="C346" s="346"/>
      <c r="D346" s="369"/>
      <c r="E346" s="346"/>
      <c r="F346" s="346"/>
      <c r="G346" s="346"/>
      <c r="H346" s="345"/>
    </row>
    <row r="347" spans="1:8" ht="14.25" customHeight="1" x14ac:dyDescent="0.4">
      <c r="A347" s="346"/>
      <c r="B347" s="346"/>
      <c r="C347" s="346"/>
      <c r="D347" s="369"/>
      <c r="E347" s="346"/>
      <c r="F347" s="346"/>
      <c r="G347" s="346"/>
      <c r="H347" s="345"/>
    </row>
    <row r="348" spans="1:8" ht="14.25" customHeight="1" x14ac:dyDescent="0.4">
      <c r="A348" s="346"/>
      <c r="B348" s="346"/>
      <c r="C348" s="346"/>
      <c r="D348" s="369"/>
      <c r="E348" s="346"/>
      <c r="F348" s="346"/>
      <c r="G348" s="346"/>
      <c r="H348" s="345"/>
    </row>
    <row r="349" spans="1:8" x14ac:dyDescent="0.4">
      <c r="A349" s="344"/>
      <c r="B349" s="344" t="s">
        <v>83</v>
      </c>
      <c r="C349" s="344"/>
      <c r="D349" s="368"/>
      <c r="E349" s="344"/>
      <c r="F349" s="344"/>
      <c r="G349" s="344"/>
      <c r="H349" s="345"/>
    </row>
    <row r="350" spans="1:8" x14ac:dyDescent="0.4">
      <c r="A350" s="346"/>
      <c r="B350" s="346"/>
      <c r="C350" s="346"/>
      <c r="D350" s="369"/>
      <c r="E350" s="346"/>
      <c r="F350" s="346"/>
      <c r="G350" s="346"/>
      <c r="H350" s="345"/>
    </row>
    <row r="351" spans="1:8" x14ac:dyDescent="0.4">
      <c r="A351" s="346" t="s">
        <v>954</v>
      </c>
      <c r="B351" s="346"/>
      <c r="C351" s="346" t="s">
        <v>955</v>
      </c>
      <c r="D351" s="369" t="s">
        <v>11</v>
      </c>
      <c r="E351" s="346"/>
      <c r="F351" s="346"/>
      <c r="G351" s="346"/>
      <c r="H351" s="345"/>
    </row>
    <row r="352" spans="1:8" x14ac:dyDescent="0.4">
      <c r="A352" s="346"/>
      <c r="B352" s="346"/>
      <c r="C352" s="346"/>
      <c r="D352" s="369"/>
      <c r="E352" s="346"/>
      <c r="F352" s="346"/>
      <c r="G352" s="346"/>
      <c r="H352" s="345"/>
    </row>
    <row r="353" spans="1:8" x14ac:dyDescent="0.4">
      <c r="A353" s="346"/>
      <c r="B353" s="346"/>
      <c r="C353" s="346"/>
      <c r="D353" s="369"/>
      <c r="E353" s="346"/>
      <c r="F353" s="346"/>
      <c r="G353" s="346"/>
      <c r="H353" s="345"/>
    </row>
    <row r="354" spans="1:8" x14ac:dyDescent="0.4">
      <c r="A354" s="346"/>
      <c r="B354" s="346"/>
      <c r="C354" s="346"/>
      <c r="D354" s="369"/>
      <c r="E354" s="346"/>
      <c r="F354" s="346"/>
      <c r="G354" s="346"/>
      <c r="H354" s="345"/>
    </row>
    <row r="355" spans="1:8" x14ac:dyDescent="0.4">
      <c r="A355" s="346"/>
      <c r="B355" s="346"/>
      <c r="C355" s="346"/>
      <c r="D355" s="369"/>
      <c r="E355" s="346"/>
      <c r="F355" s="346"/>
      <c r="G355" s="346"/>
      <c r="H355" s="345"/>
    </row>
    <row r="356" spans="1:8" x14ac:dyDescent="0.4">
      <c r="A356" s="346"/>
      <c r="B356" s="346"/>
      <c r="C356" s="346"/>
      <c r="D356" s="369"/>
      <c r="E356" s="346"/>
      <c r="F356" s="346"/>
      <c r="G356" s="346"/>
      <c r="H356" s="345"/>
    </row>
    <row r="357" spans="1:8" x14ac:dyDescent="0.4">
      <c r="A357" s="346"/>
      <c r="B357" s="346"/>
      <c r="C357" s="346"/>
      <c r="D357" s="369"/>
      <c r="E357" s="346"/>
      <c r="F357" s="346"/>
      <c r="G357" s="346"/>
      <c r="H357" s="345"/>
    </row>
    <row r="358" spans="1:8" x14ac:dyDescent="0.4">
      <c r="A358" s="346"/>
      <c r="B358" s="346"/>
      <c r="C358" s="346"/>
      <c r="D358" s="369"/>
      <c r="E358" s="346"/>
      <c r="F358" s="346"/>
      <c r="G358" s="346"/>
      <c r="H358" s="345"/>
    </row>
    <row r="359" spans="1:8" x14ac:dyDescent="0.4">
      <c r="A359" s="346"/>
      <c r="B359" s="346"/>
      <c r="C359" s="346"/>
      <c r="D359" s="369"/>
      <c r="E359" s="346"/>
      <c r="F359" s="346"/>
      <c r="G359" s="346"/>
      <c r="H359" s="345"/>
    </row>
    <row r="360" spans="1:8" x14ac:dyDescent="0.4">
      <c r="A360" s="346"/>
      <c r="B360" s="346"/>
      <c r="C360" s="346"/>
      <c r="D360" s="369"/>
      <c r="E360" s="346"/>
      <c r="F360" s="346"/>
      <c r="G360" s="346"/>
      <c r="H360" s="345"/>
    </row>
    <row r="361" spans="1:8" x14ac:dyDescent="0.4">
      <c r="A361" s="346"/>
      <c r="B361" s="346"/>
      <c r="C361" s="346"/>
      <c r="D361" s="369"/>
      <c r="E361" s="346"/>
      <c r="F361" s="346"/>
      <c r="G361" s="346"/>
      <c r="H361" s="345"/>
    </row>
    <row r="362" spans="1:8" x14ac:dyDescent="0.4">
      <c r="A362" s="346"/>
      <c r="B362" s="346"/>
      <c r="C362" s="346"/>
      <c r="D362" s="369"/>
      <c r="E362" s="346"/>
      <c r="F362" s="346"/>
      <c r="G362" s="346"/>
      <c r="H362" s="345"/>
    </row>
    <row r="363" spans="1:8" x14ac:dyDescent="0.4">
      <c r="A363" s="346"/>
      <c r="B363" s="346"/>
      <c r="C363" s="346"/>
      <c r="D363" s="369"/>
      <c r="E363" s="346"/>
      <c r="F363" s="346"/>
      <c r="G363" s="346"/>
      <c r="H363" s="345"/>
    </row>
    <row r="364" spans="1:8" x14ac:dyDescent="0.4">
      <c r="A364" s="346"/>
      <c r="B364" s="346"/>
      <c r="C364" s="346"/>
      <c r="D364" s="369"/>
      <c r="E364" s="346"/>
      <c r="F364" s="346"/>
      <c r="G364" s="346"/>
      <c r="H364" s="345"/>
    </row>
    <row r="365" spans="1:8" x14ac:dyDescent="0.4">
      <c r="A365" s="346"/>
      <c r="B365" s="346"/>
      <c r="C365" s="346"/>
      <c r="D365" s="369"/>
      <c r="E365" s="346"/>
      <c r="F365" s="346"/>
      <c r="G365" s="346"/>
      <c r="H365" s="345"/>
    </row>
    <row r="366" spans="1:8" x14ac:dyDescent="0.4">
      <c r="A366" s="346"/>
      <c r="B366" s="346"/>
      <c r="C366" s="346"/>
      <c r="D366" s="369"/>
      <c r="E366" s="346"/>
      <c r="F366" s="346"/>
      <c r="G366" s="346"/>
      <c r="H366" s="345"/>
    </row>
    <row r="367" spans="1:8" x14ac:dyDescent="0.4">
      <c r="A367" s="346"/>
      <c r="B367" s="346"/>
      <c r="C367" s="346"/>
      <c r="D367" s="369"/>
      <c r="E367" s="346"/>
      <c r="F367" s="346"/>
      <c r="G367" s="346"/>
      <c r="H367" s="345"/>
    </row>
    <row r="368" spans="1:8" x14ac:dyDescent="0.4">
      <c r="A368" s="346"/>
      <c r="B368" s="346"/>
      <c r="C368" s="346"/>
      <c r="D368" s="369"/>
      <c r="E368" s="346"/>
      <c r="F368" s="346"/>
      <c r="G368" s="346"/>
      <c r="H368" s="345"/>
    </row>
    <row r="369" spans="1:8" x14ac:dyDescent="0.4">
      <c r="A369" s="346"/>
      <c r="B369" s="346"/>
      <c r="C369" s="346"/>
      <c r="D369" s="369"/>
      <c r="E369" s="346"/>
      <c r="F369" s="346"/>
      <c r="G369" s="346"/>
      <c r="H369" s="345"/>
    </row>
    <row r="370" spans="1:8" x14ac:dyDescent="0.4">
      <c r="A370" s="346"/>
      <c r="B370" s="346"/>
      <c r="C370" s="346"/>
      <c r="D370" s="369"/>
      <c r="E370" s="346"/>
      <c r="F370" s="346"/>
      <c r="G370" s="346"/>
      <c r="H370" s="345"/>
    </row>
    <row r="371" spans="1:8" x14ac:dyDescent="0.4">
      <c r="A371" s="346"/>
      <c r="B371" s="346"/>
      <c r="C371" s="346"/>
      <c r="D371" s="369"/>
      <c r="E371" s="346"/>
      <c r="F371" s="346"/>
      <c r="G371" s="346"/>
      <c r="H371" s="345"/>
    </row>
    <row r="372" spans="1:8" x14ac:dyDescent="0.4">
      <c r="A372" s="346"/>
      <c r="B372" s="346"/>
      <c r="C372" s="346"/>
      <c r="D372" s="369"/>
      <c r="E372" s="346"/>
      <c r="F372" s="346"/>
      <c r="G372" s="346"/>
      <c r="H372" s="345"/>
    </row>
    <row r="373" spans="1:8" x14ac:dyDescent="0.4">
      <c r="A373" s="346"/>
      <c r="B373" s="346"/>
      <c r="C373" s="346"/>
      <c r="D373" s="369"/>
      <c r="E373" s="346"/>
      <c r="F373" s="346"/>
      <c r="G373" s="346"/>
      <c r="H373" s="345"/>
    </row>
    <row r="374" spans="1:8" x14ac:dyDescent="0.4">
      <c r="A374" s="346"/>
      <c r="B374" s="346"/>
      <c r="C374" s="346"/>
      <c r="D374" s="369"/>
      <c r="E374" s="346"/>
      <c r="F374" s="346"/>
      <c r="G374" s="346"/>
      <c r="H374" s="345"/>
    </row>
    <row r="375" spans="1:8" x14ac:dyDescent="0.4">
      <c r="A375" s="346"/>
      <c r="B375" s="346"/>
      <c r="C375" s="346"/>
      <c r="D375" s="369"/>
      <c r="E375" s="346"/>
      <c r="F375" s="346"/>
      <c r="G375" s="346"/>
      <c r="H375" s="345"/>
    </row>
    <row r="376" spans="1:8" x14ac:dyDescent="0.4">
      <c r="A376" s="346"/>
      <c r="B376" s="346"/>
      <c r="C376" s="346"/>
      <c r="D376" s="369"/>
      <c r="E376" s="346"/>
      <c r="F376" s="346"/>
      <c r="G376" s="346"/>
      <c r="H376" s="345"/>
    </row>
    <row r="377" spans="1:8" x14ac:dyDescent="0.4">
      <c r="A377" s="346"/>
      <c r="B377" s="346"/>
      <c r="C377" s="346"/>
      <c r="D377" s="369"/>
      <c r="E377" s="346"/>
      <c r="F377" s="346"/>
      <c r="G377" s="346"/>
      <c r="H377" s="345"/>
    </row>
    <row r="378" spans="1:8" x14ac:dyDescent="0.4">
      <c r="A378" s="346"/>
      <c r="B378" s="346"/>
      <c r="C378" s="346"/>
      <c r="D378" s="369"/>
      <c r="E378" s="346"/>
      <c r="F378" s="346"/>
      <c r="G378" s="346"/>
      <c r="H378" s="345"/>
    </row>
    <row r="379" spans="1:8" x14ac:dyDescent="0.4">
      <c r="A379" s="346"/>
      <c r="B379" s="346"/>
      <c r="C379" s="346"/>
      <c r="D379" s="369"/>
      <c r="E379" s="346"/>
      <c r="F379" s="346"/>
      <c r="G379" s="346"/>
      <c r="H379" s="345"/>
    </row>
    <row r="380" spans="1:8" x14ac:dyDescent="0.4">
      <c r="A380" s="346"/>
      <c r="B380" s="346"/>
      <c r="C380" s="346"/>
      <c r="D380" s="369"/>
      <c r="E380" s="346"/>
      <c r="F380" s="346"/>
      <c r="G380" s="346"/>
      <c r="H380" s="345"/>
    </row>
    <row r="381" spans="1:8" x14ac:dyDescent="0.4">
      <c r="A381" s="344"/>
      <c r="B381" s="344" t="s">
        <v>87</v>
      </c>
      <c r="C381" s="344"/>
      <c r="D381" s="368"/>
      <c r="E381" s="344"/>
      <c r="F381" s="344"/>
      <c r="G381" s="344"/>
      <c r="H381" s="345"/>
    </row>
    <row r="382" spans="1:8" x14ac:dyDescent="0.4">
      <c r="A382" s="346"/>
      <c r="B382" s="346"/>
      <c r="C382" s="346"/>
      <c r="D382" s="369"/>
      <c r="E382" s="346"/>
      <c r="F382" s="346"/>
      <c r="G382" s="346"/>
      <c r="H382" s="345"/>
    </row>
    <row r="383" spans="1:8" x14ac:dyDescent="0.4">
      <c r="A383" s="346"/>
      <c r="B383" s="346"/>
      <c r="C383" s="346"/>
      <c r="D383" s="369"/>
      <c r="E383" s="346"/>
      <c r="F383" s="346"/>
      <c r="G383" s="346"/>
      <c r="H383" s="345"/>
    </row>
    <row r="384" spans="1:8" x14ac:dyDescent="0.4">
      <c r="A384" s="346"/>
      <c r="B384" s="346"/>
      <c r="C384" s="346"/>
      <c r="D384" s="369"/>
      <c r="E384" s="346"/>
      <c r="F384" s="346"/>
      <c r="G384" s="346"/>
      <c r="H384" s="345"/>
    </row>
    <row r="385" spans="1:8" x14ac:dyDescent="0.4">
      <c r="A385" s="346"/>
      <c r="B385" s="346"/>
      <c r="C385" s="346"/>
      <c r="D385" s="369"/>
      <c r="E385" s="346"/>
      <c r="F385" s="346"/>
      <c r="G385" s="346"/>
      <c r="H385" s="345"/>
    </row>
    <row r="386" spans="1:8" x14ac:dyDescent="0.4">
      <c r="A386" s="346"/>
      <c r="B386" s="346"/>
      <c r="C386" s="346"/>
      <c r="D386" s="369"/>
      <c r="E386" s="346"/>
      <c r="F386" s="346"/>
      <c r="G386" s="346"/>
      <c r="H386" s="345"/>
    </row>
    <row r="387" spans="1:8" x14ac:dyDescent="0.4">
      <c r="A387" s="346"/>
      <c r="B387" s="346"/>
      <c r="C387" s="346"/>
      <c r="D387" s="369"/>
      <c r="E387" s="346"/>
      <c r="F387" s="346"/>
      <c r="G387" s="346"/>
      <c r="H387" s="345"/>
    </row>
    <row r="388" spans="1:8" x14ac:dyDescent="0.4">
      <c r="A388" s="346"/>
      <c r="B388" s="346"/>
      <c r="C388" s="346"/>
      <c r="D388" s="369"/>
      <c r="E388" s="346"/>
      <c r="F388" s="346"/>
      <c r="G388" s="346"/>
      <c r="H388" s="345"/>
    </row>
    <row r="389" spans="1:8" x14ac:dyDescent="0.4">
      <c r="A389" s="346"/>
      <c r="B389" s="346"/>
      <c r="C389" s="346"/>
      <c r="D389" s="369"/>
      <c r="E389" s="346"/>
      <c r="F389" s="346"/>
      <c r="G389" s="346"/>
      <c r="H389" s="345"/>
    </row>
    <row r="390" spans="1:8" x14ac:dyDescent="0.4">
      <c r="A390" s="346"/>
      <c r="B390" s="346"/>
      <c r="C390" s="346"/>
      <c r="D390" s="369"/>
      <c r="E390" s="346"/>
      <c r="F390" s="346"/>
      <c r="G390" s="346"/>
      <c r="H390" s="345"/>
    </row>
    <row r="391" spans="1:8" x14ac:dyDescent="0.4">
      <c r="A391" s="346"/>
      <c r="B391" s="346"/>
      <c r="C391" s="346"/>
      <c r="D391" s="369"/>
      <c r="E391" s="346"/>
      <c r="F391" s="346"/>
      <c r="G391" s="346"/>
      <c r="H391" s="345"/>
    </row>
    <row r="392" spans="1:8" x14ac:dyDescent="0.4">
      <c r="A392" s="346"/>
      <c r="B392" s="346"/>
      <c r="C392" s="346"/>
      <c r="D392" s="369"/>
      <c r="E392" s="346"/>
      <c r="F392" s="346"/>
      <c r="G392" s="346"/>
      <c r="H392" s="345"/>
    </row>
    <row r="393" spans="1:8" x14ac:dyDescent="0.4">
      <c r="A393" s="346"/>
      <c r="B393" s="346"/>
      <c r="C393" s="346"/>
      <c r="D393" s="369"/>
      <c r="E393" s="346"/>
      <c r="F393" s="346"/>
      <c r="G393" s="346"/>
      <c r="H393" s="345"/>
    </row>
    <row r="394" spans="1:8" x14ac:dyDescent="0.4">
      <c r="A394" s="346"/>
      <c r="B394" s="346"/>
      <c r="C394" s="346"/>
      <c r="D394" s="369"/>
      <c r="E394" s="346"/>
      <c r="F394" s="346"/>
      <c r="G394" s="346"/>
      <c r="H394" s="345"/>
    </row>
    <row r="395" spans="1:8" x14ac:dyDescent="0.4">
      <c r="A395" s="346"/>
      <c r="B395" s="346"/>
      <c r="C395" s="346"/>
      <c r="D395" s="369"/>
      <c r="E395" s="346"/>
      <c r="F395" s="346"/>
      <c r="G395" s="346"/>
      <c r="H395" s="345"/>
    </row>
    <row r="396" spans="1:8" x14ac:dyDescent="0.4">
      <c r="A396" s="346"/>
      <c r="B396" s="346"/>
      <c r="C396" s="346"/>
      <c r="D396" s="369"/>
      <c r="E396" s="346"/>
      <c r="F396" s="346"/>
      <c r="G396" s="346"/>
      <c r="H396" s="345"/>
    </row>
    <row r="397" spans="1:8" x14ac:dyDescent="0.4">
      <c r="A397" s="346"/>
      <c r="B397" s="346"/>
      <c r="C397" s="346"/>
      <c r="D397" s="369"/>
      <c r="E397" s="346"/>
      <c r="F397" s="346"/>
      <c r="G397" s="346"/>
      <c r="H397" s="345"/>
    </row>
    <row r="398" spans="1:8" x14ac:dyDescent="0.4">
      <c r="A398" s="346"/>
      <c r="B398" s="346"/>
      <c r="C398" s="346"/>
      <c r="D398" s="369"/>
      <c r="E398" s="346"/>
      <c r="F398" s="346"/>
      <c r="G398" s="346"/>
      <c r="H398" s="345"/>
    </row>
    <row r="399" spans="1:8" x14ac:dyDescent="0.4">
      <c r="A399" s="346"/>
      <c r="B399" s="346"/>
      <c r="C399" s="346"/>
      <c r="D399" s="369"/>
      <c r="E399" s="346"/>
      <c r="F399" s="346"/>
      <c r="G399" s="346"/>
      <c r="H399" s="345"/>
    </row>
    <row r="400" spans="1:8" x14ac:dyDescent="0.4">
      <c r="A400" s="346"/>
      <c r="B400" s="346"/>
      <c r="C400" s="346"/>
      <c r="D400" s="369"/>
      <c r="E400" s="346"/>
      <c r="F400" s="346"/>
      <c r="G400" s="346"/>
      <c r="H400" s="345"/>
    </row>
    <row r="401" spans="1:8" x14ac:dyDescent="0.4">
      <c r="A401" s="344"/>
      <c r="B401" s="344" t="s">
        <v>90</v>
      </c>
      <c r="C401" s="344"/>
      <c r="D401" s="368"/>
      <c r="E401" s="344"/>
      <c r="F401" s="344"/>
      <c r="G401" s="344"/>
      <c r="H401" s="345"/>
    </row>
    <row r="402" spans="1:8" x14ac:dyDescent="0.4">
      <c r="A402" s="346"/>
      <c r="B402" s="346"/>
      <c r="C402" s="346"/>
      <c r="D402" s="369"/>
      <c r="E402" s="346"/>
      <c r="F402" s="346"/>
      <c r="G402" s="346"/>
      <c r="H402" s="345"/>
    </row>
    <row r="403" spans="1:8" x14ac:dyDescent="0.4">
      <c r="A403" s="346"/>
      <c r="B403" s="346"/>
      <c r="C403" s="346"/>
      <c r="D403" s="369"/>
      <c r="E403" s="346"/>
      <c r="F403" s="346"/>
      <c r="G403" s="346"/>
      <c r="H403" s="345"/>
    </row>
    <row r="404" spans="1:8" x14ac:dyDescent="0.4">
      <c r="A404" s="346"/>
      <c r="B404" s="346"/>
      <c r="C404" s="346"/>
      <c r="D404" s="369"/>
      <c r="E404" s="346"/>
      <c r="F404" s="346"/>
      <c r="G404" s="346"/>
      <c r="H404" s="345"/>
    </row>
    <row r="405" spans="1:8" x14ac:dyDescent="0.4">
      <c r="A405" s="346"/>
      <c r="B405" s="346"/>
      <c r="C405" s="346"/>
      <c r="D405" s="369"/>
      <c r="E405" s="346"/>
      <c r="F405" s="346"/>
      <c r="G405" s="346"/>
      <c r="H405" s="345"/>
    </row>
    <row r="406" spans="1:8" x14ac:dyDescent="0.4">
      <c r="A406" s="346"/>
      <c r="B406" s="346"/>
      <c r="C406" s="346"/>
      <c r="D406" s="369"/>
      <c r="E406" s="346"/>
      <c r="F406" s="346"/>
      <c r="G406" s="346"/>
      <c r="H406" s="345"/>
    </row>
    <row r="407" spans="1:8" x14ac:dyDescent="0.4">
      <c r="A407" s="346"/>
      <c r="B407" s="346"/>
      <c r="C407" s="346"/>
      <c r="D407" s="369"/>
      <c r="E407" s="346"/>
      <c r="F407" s="346"/>
      <c r="G407" s="346"/>
      <c r="H407" s="345"/>
    </row>
    <row r="408" spans="1:8" x14ac:dyDescent="0.4">
      <c r="A408" s="346"/>
      <c r="B408" s="346"/>
      <c r="C408" s="346"/>
      <c r="D408" s="369"/>
      <c r="E408" s="346"/>
      <c r="F408" s="346"/>
      <c r="G408" s="346"/>
      <c r="H408" s="345"/>
    </row>
    <row r="409" spans="1:8" x14ac:dyDescent="0.4">
      <c r="A409" s="346"/>
      <c r="B409" s="346"/>
      <c r="C409" s="346"/>
      <c r="D409" s="369"/>
      <c r="E409" s="346"/>
      <c r="F409" s="346"/>
      <c r="G409" s="346"/>
      <c r="H409" s="345"/>
    </row>
    <row r="410" spans="1:8" x14ac:dyDescent="0.4">
      <c r="A410" s="346"/>
      <c r="B410" s="346"/>
      <c r="C410" s="346"/>
      <c r="D410" s="369"/>
      <c r="E410" s="346"/>
      <c r="F410" s="346"/>
      <c r="G410" s="346"/>
      <c r="H410" s="345"/>
    </row>
    <row r="411" spans="1:8" x14ac:dyDescent="0.4">
      <c r="A411" s="346"/>
      <c r="B411" s="346"/>
      <c r="C411" s="346"/>
      <c r="D411" s="369"/>
      <c r="E411" s="346"/>
      <c r="F411" s="346"/>
      <c r="G411" s="346"/>
      <c r="H411" s="345"/>
    </row>
    <row r="412" spans="1:8" x14ac:dyDescent="0.4">
      <c r="A412" s="346"/>
      <c r="B412" s="346"/>
      <c r="C412" s="346"/>
      <c r="D412" s="369"/>
      <c r="E412" s="346"/>
      <c r="F412" s="346"/>
      <c r="G412" s="346"/>
      <c r="H412" s="345"/>
    </row>
    <row r="413" spans="1:8" x14ac:dyDescent="0.4">
      <c r="A413" s="346"/>
      <c r="B413" s="346"/>
      <c r="C413" s="346"/>
      <c r="D413" s="369"/>
      <c r="E413" s="346"/>
      <c r="F413" s="346"/>
      <c r="G413" s="346"/>
      <c r="H413" s="345"/>
    </row>
    <row r="414" spans="1:8" x14ac:dyDescent="0.4">
      <c r="A414" s="346"/>
      <c r="B414" s="346"/>
      <c r="C414" s="346"/>
      <c r="D414" s="369"/>
      <c r="E414" s="346"/>
      <c r="F414" s="346"/>
      <c r="G414" s="346"/>
      <c r="H414" s="345"/>
    </row>
    <row r="415" spans="1:8" x14ac:dyDescent="0.4">
      <c r="A415" s="346"/>
      <c r="B415" s="346"/>
      <c r="C415" s="346"/>
      <c r="D415" s="369"/>
      <c r="E415" s="346"/>
      <c r="F415" s="346"/>
      <c r="G415" s="346"/>
      <c r="H415" s="345"/>
    </row>
    <row r="416" spans="1:8" x14ac:dyDescent="0.4">
      <c r="A416" s="346"/>
      <c r="B416" s="346"/>
      <c r="C416" s="346"/>
      <c r="D416" s="369"/>
      <c r="E416" s="346"/>
      <c r="F416" s="346"/>
      <c r="G416" s="346"/>
      <c r="H416" s="345"/>
    </row>
    <row r="417" spans="1:8" x14ac:dyDescent="0.4">
      <c r="A417" s="346"/>
      <c r="B417" s="346"/>
      <c r="C417" s="346"/>
      <c r="D417" s="369"/>
      <c r="E417" s="346"/>
      <c r="F417" s="346"/>
      <c r="G417" s="346"/>
      <c r="H417" s="345"/>
    </row>
    <row r="418" spans="1:8" x14ac:dyDescent="0.4">
      <c r="A418" s="346"/>
      <c r="B418" s="346"/>
      <c r="C418" s="346"/>
      <c r="D418" s="369"/>
      <c r="E418" s="346"/>
      <c r="F418" s="346"/>
      <c r="G418" s="346"/>
      <c r="H418" s="345"/>
    </row>
    <row r="419" spans="1:8" x14ac:dyDescent="0.4">
      <c r="A419" s="346"/>
      <c r="B419" s="346"/>
      <c r="C419" s="346"/>
      <c r="D419" s="369"/>
      <c r="E419" s="346"/>
      <c r="F419" s="346"/>
      <c r="G419" s="346"/>
      <c r="H419" s="345"/>
    </row>
    <row r="420" spans="1:8" x14ac:dyDescent="0.4">
      <c r="A420" s="346"/>
      <c r="B420" s="346"/>
      <c r="C420" s="346"/>
      <c r="D420" s="369"/>
      <c r="E420" s="346"/>
      <c r="F420" s="346"/>
      <c r="G420" s="346"/>
      <c r="H420" s="345"/>
    </row>
    <row r="421" spans="1:8" x14ac:dyDescent="0.4">
      <c r="A421" s="346"/>
      <c r="B421" s="346"/>
      <c r="C421" s="346"/>
      <c r="D421" s="369"/>
      <c r="E421" s="346"/>
      <c r="F421" s="346"/>
      <c r="G421" s="346"/>
      <c r="H421" s="345"/>
    </row>
    <row r="422" spans="1:8" x14ac:dyDescent="0.4">
      <c r="A422" s="346"/>
      <c r="B422" s="346"/>
      <c r="C422" s="346"/>
      <c r="D422" s="369"/>
      <c r="E422" s="346"/>
      <c r="F422" s="346"/>
      <c r="G422" s="346"/>
      <c r="H422" s="345"/>
    </row>
    <row r="423" spans="1:8" x14ac:dyDescent="0.4">
      <c r="A423" s="346"/>
      <c r="B423" s="346"/>
      <c r="C423" s="346"/>
      <c r="D423" s="369"/>
      <c r="E423" s="346"/>
      <c r="F423" s="346"/>
      <c r="G423" s="346"/>
      <c r="H423" s="345"/>
    </row>
    <row r="424" spans="1:8" x14ac:dyDescent="0.4">
      <c r="A424" s="346"/>
      <c r="B424" s="346"/>
      <c r="C424" s="346"/>
      <c r="D424" s="369"/>
      <c r="E424" s="346"/>
      <c r="F424" s="346"/>
      <c r="G424" s="346"/>
      <c r="H424" s="345"/>
    </row>
    <row r="425" spans="1:8" x14ac:dyDescent="0.4">
      <c r="A425" s="346"/>
      <c r="B425" s="346"/>
      <c r="C425" s="346"/>
      <c r="D425" s="369"/>
      <c r="E425" s="346"/>
      <c r="F425" s="346"/>
      <c r="G425" s="346"/>
      <c r="H425" s="345"/>
    </row>
    <row r="426" spans="1:8" x14ac:dyDescent="0.4">
      <c r="A426" s="346"/>
      <c r="B426" s="346"/>
      <c r="C426" s="346"/>
      <c r="D426" s="369"/>
      <c r="E426" s="346"/>
      <c r="F426" s="346"/>
      <c r="G426" s="346"/>
      <c r="H426" s="345"/>
    </row>
    <row r="427" spans="1:8" x14ac:dyDescent="0.4">
      <c r="A427" s="346"/>
      <c r="B427" s="346"/>
      <c r="C427" s="346"/>
      <c r="D427" s="369"/>
      <c r="E427" s="346"/>
      <c r="F427" s="346"/>
      <c r="G427" s="346"/>
      <c r="H427" s="345"/>
    </row>
    <row r="428" spans="1:8" x14ac:dyDescent="0.4">
      <c r="A428" s="346"/>
      <c r="B428" s="346"/>
      <c r="C428" s="346"/>
      <c r="D428" s="369"/>
      <c r="E428" s="346"/>
      <c r="F428" s="346"/>
      <c r="G428" s="346"/>
      <c r="H428" s="345"/>
    </row>
    <row r="429" spans="1:8" x14ac:dyDescent="0.4">
      <c r="A429" s="346"/>
      <c r="B429" s="346"/>
      <c r="C429" s="346"/>
      <c r="D429" s="369"/>
      <c r="E429" s="346"/>
      <c r="F429" s="346"/>
      <c r="G429" s="346"/>
      <c r="H429" s="345"/>
    </row>
    <row r="430" spans="1:8" x14ac:dyDescent="0.4">
      <c r="A430" s="346"/>
      <c r="B430" s="346"/>
      <c r="C430" s="346"/>
      <c r="D430" s="369"/>
      <c r="E430" s="346"/>
      <c r="F430" s="346"/>
      <c r="G430" s="346"/>
      <c r="H430" s="345"/>
    </row>
    <row r="431" spans="1:8" x14ac:dyDescent="0.4">
      <c r="A431" s="346"/>
      <c r="B431" s="346"/>
      <c r="C431" s="346"/>
      <c r="D431" s="369"/>
      <c r="E431" s="346"/>
      <c r="F431" s="346"/>
      <c r="G431" s="346"/>
      <c r="H431" s="345"/>
    </row>
    <row r="432" spans="1:8" x14ac:dyDescent="0.4">
      <c r="A432" s="346"/>
      <c r="B432" s="346"/>
      <c r="C432" s="346"/>
      <c r="D432" s="369"/>
      <c r="E432" s="346"/>
      <c r="F432" s="346"/>
      <c r="G432" s="346"/>
      <c r="H432" s="345"/>
    </row>
    <row r="433" spans="1:8" x14ac:dyDescent="0.4">
      <c r="A433" s="346"/>
      <c r="B433" s="346"/>
      <c r="C433" s="346"/>
      <c r="D433" s="369"/>
      <c r="E433" s="346"/>
      <c r="F433" s="346"/>
      <c r="G433" s="346"/>
      <c r="H433" s="345"/>
    </row>
    <row r="434" spans="1:8" x14ac:dyDescent="0.4">
      <c r="A434" s="346"/>
      <c r="B434" s="346"/>
      <c r="C434" s="346"/>
      <c r="D434" s="369"/>
      <c r="E434" s="346"/>
      <c r="F434" s="346"/>
      <c r="G434" s="346"/>
      <c r="H434" s="345"/>
    </row>
    <row r="435" spans="1:8" x14ac:dyDescent="0.4">
      <c r="A435" s="346"/>
      <c r="B435" s="346"/>
      <c r="C435" s="346"/>
      <c r="D435" s="369"/>
      <c r="E435" s="346"/>
      <c r="F435" s="346"/>
      <c r="G435" s="346"/>
      <c r="H435" s="345"/>
    </row>
    <row r="436" spans="1:8" x14ac:dyDescent="0.4">
      <c r="A436" s="346"/>
      <c r="B436" s="346"/>
      <c r="C436" s="346"/>
      <c r="D436" s="369"/>
      <c r="E436" s="346"/>
      <c r="F436" s="346"/>
      <c r="G436" s="346"/>
      <c r="H436" s="345"/>
    </row>
    <row r="437" spans="1:8" x14ac:dyDescent="0.4">
      <c r="A437" s="346"/>
      <c r="B437" s="346"/>
      <c r="C437" s="346"/>
      <c r="D437" s="369"/>
      <c r="E437" s="346"/>
      <c r="F437" s="346"/>
      <c r="G437" s="346"/>
      <c r="H437" s="345"/>
    </row>
    <row r="438" spans="1:8" x14ac:dyDescent="0.4">
      <c r="A438" s="346"/>
      <c r="B438" s="346"/>
      <c r="C438" s="346"/>
      <c r="D438" s="369"/>
      <c r="E438" s="346"/>
      <c r="F438" s="346"/>
      <c r="G438" s="346"/>
      <c r="H438" s="345"/>
    </row>
    <row r="439" spans="1:8" x14ac:dyDescent="0.4">
      <c r="A439" s="346"/>
      <c r="B439" s="346"/>
      <c r="C439" s="346"/>
      <c r="D439" s="369"/>
      <c r="E439" s="346"/>
      <c r="F439" s="346"/>
      <c r="G439" s="346"/>
      <c r="H439" s="345"/>
    </row>
    <row r="440" spans="1:8" x14ac:dyDescent="0.4">
      <c r="A440" s="346"/>
      <c r="B440" s="346"/>
      <c r="C440" s="346"/>
      <c r="D440" s="369"/>
      <c r="E440" s="346"/>
      <c r="F440" s="346"/>
      <c r="G440" s="346"/>
      <c r="H440" s="345"/>
    </row>
    <row r="441" spans="1:8" x14ac:dyDescent="0.4">
      <c r="A441" s="346"/>
      <c r="B441" s="346"/>
      <c r="C441" s="346"/>
      <c r="D441" s="369"/>
      <c r="E441" s="346"/>
      <c r="F441" s="346"/>
      <c r="G441" s="346"/>
      <c r="H441" s="345"/>
    </row>
    <row r="442" spans="1:8" x14ac:dyDescent="0.4">
      <c r="A442" s="346"/>
      <c r="B442" s="346"/>
      <c r="C442" s="346"/>
      <c r="D442" s="369"/>
      <c r="E442" s="346"/>
      <c r="F442" s="346"/>
      <c r="G442" s="346"/>
      <c r="H442" s="345"/>
    </row>
    <row r="443" spans="1:8" x14ac:dyDescent="0.4">
      <c r="A443" s="346"/>
      <c r="B443" s="346"/>
      <c r="C443" s="346"/>
      <c r="D443" s="369"/>
      <c r="E443" s="346"/>
      <c r="F443" s="346"/>
      <c r="G443" s="346"/>
      <c r="H443" s="345"/>
    </row>
    <row r="444" spans="1:8" x14ac:dyDescent="0.4">
      <c r="A444" s="346"/>
      <c r="B444" s="346"/>
      <c r="C444" s="346"/>
      <c r="D444" s="369"/>
      <c r="E444" s="346"/>
      <c r="F444" s="346"/>
      <c r="G444" s="346"/>
      <c r="H444" s="345"/>
    </row>
  </sheetData>
  <phoneticPr fontId="3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F72C0-5559-4357-A453-7F24C627BDF7}">
  <sheetPr codeName="Sheet14"/>
  <dimension ref="A1:H444"/>
  <sheetViews>
    <sheetView zoomScale="80" zoomScaleNormal="80" workbookViewId="0">
      <selection activeCell="A3" sqref="A3:A64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 t="s">
        <v>956</v>
      </c>
      <c r="B4" s="346"/>
      <c r="C4" s="346" t="s">
        <v>957</v>
      </c>
      <c r="D4" s="354"/>
      <c r="E4" s="354"/>
      <c r="F4" s="354"/>
      <c r="G4" s="354"/>
      <c r="H4" s="345" t="s">
        <v>64</v>
      </c>
    </row>
    <row r="5" spans="1:8" x14ac:dyDescent="0.4">
      <c r="A5" s="346" t="s">
        <v>958</v>
      </c>
      <c r="B5" s="346"/>
      <c r="C5" s="346" t="s">
        <v>959</v>
      </c>
      <c r="D5" s="354"/>
      <c r="E5" s="354"/>
      <c r="F5" s="354"/>
      <c r="G5" s="354"/>
      <c r="H5" s="345" t="s">
        <v>67</v>
      </c>
    </row>
    <row r="6" spans="1:8" x14ac:dyDescent="0.4">
      <c r="A6" s="346" t="s">
        <v>960</v>
      </c>
      <c r="B6" s="346"/>
      <c r="C6" s="346" t="s">
        <v>961</v>
      </c>
      <c r="D6" s="354"/>
      <c r="E6" s="354"/>
      <c r="F6" s="354"/>
      <c r="G6" s="354"/>
      <c r="H6" s="347" t="s">
        <v>70</v>
      </c>
    </row>
    <row r="7" spans="1:8" x14ac:dyDescent="0.4">
      <c r="A7" s="346" t="s">
        <v>962</v>
      </c>
      <c r="B7" s="346"/>
      <c r="C7" s="346" t="s">
        <v>963</v>
      </c>
      <c r="D7" s="354"/>
      <c r="E7" s="354"/>
      <c r="F7" s="354"/>
      <c r="G7" s="354"/>
      <c r="H7" s="345" t="s">
        <v>73</v>
      </c>
    </row>
    <row r="8" spans="1:8" x14ac:dyDescent="0.4">
      <c r="A8" s="346" t="s">
        <v>964</v>
      </c>
      <c r="B8" s="346"/>
      <c r="C8" s="346" t="s">
        <v>965</v>
      </c>
      <c r="D8" s="354"/>
      <c r="E8" s="354"/>
      <c r="F8" s="354"/>
      <c r="G8" s="354"/>
      <c r="H8" s="345" t="s">
        <v>77</v>
      </c>
    </row>
    <row r="9" spans="1:8" x14ac:dyDescent="0.4">
      <c r="A9" s="346" t="s">
        <v>966</v>
      </c>
      <c r="B9" s="346"/>
      <c r="C9" s="346" t="s">
        <v>967</v>
      </c>
      <c r="D9" s="354"/>
      <c r="E9" s="354"/>
      <c r="F9" s="354"/>
      <c r="G9" s="354"/>
      <c r="H9" s="345" t="s">
        <v>80</v>
      </c>
    </row>
    <row r="10" spans="1:8" x14ac:dyDescent="0.4">
      <c r="A10" s="346" t="s">
        <v>968</v>
      </c>
      <c r="B10" s="346"/>
      <c r="C10" s="346" t="s">
        <v>969</v>
      </c>
      <c r="D10" s="354"/>
      <c r="E10" s="354"/>
      <c r="F10" s="354"/>
      <c r="G10" s="354"/>
      <c r="H10" s="345" t="s">
        <v>83</v>
      </c>
    </row>
    <row r="11" spans="1:8" x14ac:dyDescent="0.4">
      <c r="A11" s="346" t="s">
        <v>970</v>
      </c>
      <c r="B11" s="346"/>
      <c r="C11" s="346" t="s">
        <v>971</v>
      </c>
      <c r="D11" s="354"/>
      <c r="E11" s="354"/>
      <c r="F11" s="354"/>
      <c r="G11" s="354"/>
      <c r="H11" s="345" t="s">
        <v>87</v>
      </c>
    </row>
    <row r="12" spans="1:8" x14ac:dyDescent="0.4">
      <c r="A12" s="346" t="s">
        <v>972</v>
      </c>
      <c r="B12" s="346"/>
      <c r="C12" s="346" t="s">
        <v>973</v>
      </c>
      <c r="D12" s="354"/>
      <c r="E12" s="354"/>
      <c r="F12" s="354"/>
      <c r="G12" s="354"/>
      <c r="H12" s="345" t="s">
        <v>90</v>
      </c>
    </row>
    <row r="13" spans="1:8" x14ac:dyDescent="0.4">
      <c r="A13" s="346" t="s">
        <v>974</v>
      </c>
      <c r="B13" s="346"/>
      <c r="C13" s="346" t="s">
        <v>975</v>
      </c>
      <c r="D13" s="354"/>
      <c r="E13" s="354"/>
      <c r="F13" s="354"/>
      <c r="G13" s="354"/>
      <c r="H13" s="345"/>
    </row>
    <row r="14" spans="1:8" x14ac:dyDescent="0.4">
      <c r="A14" s="346" t="s">
        <v>976</v>
      </c>
      <c r="B14" s="346"/>
      <c r="C14" s="346" t="s">
        <v>977</v>
      </c>
      <c r="D14" s="354"/>
      <c r="E14" s="354"/>
      <c r="F14" s="354"/>
      <c r="G14" s="354"/>
      <c r="H14" s="345"/>
    </row>
    <row r="15" spans="1:8" x14ac:dyDescent="0.4">
      <c r="A15" s="346" t="s">
        <v>978</v>
      </c>
      <c r="B15" s="346"/>
      <c r="C15" s="346" t="s">
        <v>979</v>
      </c>
      <c r="D15" s="354"/>
      <c r="E15" s="354"/>
      <c r="F15" s="354"/>
      <c r="G15" s="354"/>
      <c r="H15" s="345"/>
    </row>
    <row r="16" spans="1:8" x14ac:dyDescent="0.4">
      <c r="A16" s="346" t="s">
        <v>980</v>
      </c>
      <c r="B16" s="346"/>
      <c r="C16" s="346" t="s">
        <v>981</v>
      </c>
      <c r="D16" s="354"/>
      <c r="E16" s="354"/>
      <c r="F16" s="354"/>
      <c r="G16" s="354"/>
      <c r="H16" s="345"/>
    </row>
    <row r="17" spans="1:8" x14ac:dyDescent="0.4">
      <c r="A17" s="346" t="s">
        <v>982</v>
      </c>
      <c r="B17" s="346"/>
      <c r="C17" s="346" t="s">
        <v>983</v>
      </c>
      <c r="D17" s="354"/>
      <c r="E17" s="354"/>
      <c r="F17" s="354"/>
      <c r="G17" s="354"/>
      <c r="H17" s="345"/>
    </row>
    <row r="18" spans="1:8" x14ac:dyDescent="0.4">
      <c r="A18" s="346" t="s">
        <v>984</v>
      </c>
      <c r="B18" s="346"/>
      <c r="C18" s="346" t="s">
        <v>985</v>
      </c>
      <c r="D18" s="354"/>
      <c r="E18" s="354"/>
      <c r="F18" s="354"/>
      <c r="G18" s="354"/>
      <c r="H18" s="345"/>
    </row>
    <row r="19" spans="1:8" x14ac:dyDescent="0.4">
      <c r="A19" s="346" t="s">
        <v>986</v>
      </c>
      <c r="B19" s="346"/>
      <c r="C19" s="346" t="s">
        <v>987</v>
      </c>
      <c r="D19" s="354" t="s">
        <v>988</v>
      </c>
      <c r="E19" s="354"/>
      <c r="F19" s="354"/>
      <c r="G19" s="354"/>
      <c r="H19" s="345"/>
    </row>
    <row r="20" spans="1:8" x14ac:dyDescent="0.4">
      <c r="A20" s="346" t="s">
        <v>989</v>
      </c>
      <c r="B20" s="346"/>
      <c r="C20" s="346" t="s">
        <v>990</v>
      </c>
      <c r="D20" s="354"/>
      <c r="E20" s="354"/>
      <c r="F20" s="354"/>
      <c r="G20" s="354"/>
      <c r="H20" s="345"/>
    </row>
    <row r="21" spans="1:8" x14ac:dyDescent="0.4">
      <c r="A21" s="346" t="s">
        <v>991</v>
      </c>
      <c r="B21" s="346"/>
      <c r="C21" s="346" t="s">
        <v>992</v>
      </c>
      <c r="D21" s="354"/>
      <c r="E21" s="354"/>
      <c r="F21" s="354"/>
      <c r="G21" s="354"/>
      <c r="H21" s="345"/>
    </row>
    <row r="22" spans="1:8" x14ac:dyDescent="0.4">
      <c r="A22" s="346" t="s">
        <v>956</v>
      </c>
      <c r="B22" s="346"/>
      <c r="C22" s="346" t="s">
        <v>957</v>
      </c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2163</v>
      </c>
      <c r="B66" s="346" t="s">
        <v>2318</v>
      </c>
      <c r="C66" s="346" t="s">
        <v>2766</v>
      </c>
      <c r="D66" s="354"/>
      <c r="E66" s="354"/>
      <c r="F66" s="354"/>
      <c r="G66" s="354"/>
      <c r="H66" s="345"/>
    </row>
    <row r="67" spans="1:8" x14ac:dyDescent="0.4">
      <c r="A67" s="346" t="s">
        <v>2790</v>
      </c>
      <c r="B67" s="346" t="s">
        <v>2318</v>
      </c>
      <c r="C67" s="346" t="s">
        <v>2791</v>
      </c>
      <c r="D67" s="354"/>
      <c r="E67" s="354"/>
      <c r="F67" s="354"/>
      <c r="G67" s="354"/>
      <c r="H67" s="345"/>
    </row>
    <row r="68" spans="1:8" x14ac:dyDescent="0.4">
      <c r="A68" s="346" t="s">
        <v>993</v>
      </c>
      <c r="B68" s="346"/>
      <c r="C68" s="346" t="s">
        <v>994</v>
      </c>
      <c r="D68" s="354" t="s">
        <v>995</v>
      </c>
      <c r="E68" s="354"/>
      <c r="F68" s="354"/>
      <c r="G68" s="354"/>
      <c r="H68" s="345"/>
    </row>
    <row r="69" spans="1:8" x14ac:dyDescent="0.4">
      <c r="A69" s="346" t="s">
        <v>996</v>
      </c>
      <c r="B69" s="346"/>
      <c r="C69" s="346" t="s">
        <v>997</v>
      </c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 t="s">
        <v>998</v>
      </c>
      <c r="B103" s="346"/>
      <c r="C103" s="346" t="s">
        <v>999</v>
      </c>
      <c r="D103" s="354"/>
      <c r="E103" s="354"/>
      <c r="F103" s="354"/>
      <c r="G103" s="354"/>
      <c r="H103" s="345"/>
    </row>
    <row r="104" spans="1:8" x14ac:dyDescent="0.4">
      <c r="A104" s="346" t="s">
        <v>1000</v>
      </c>
      <c r="B104" s="346"/>
      <c r="C104" s="346" t="s">
        <v>1001</v>
      </c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1002</v>
      </c>
      <c r="B143" s="346"/>
      <c r="C143" s="346" t="s">
        <v>1003</v>
      </c>
      <c r="D143" s="354"/>
      <c r="E143" s="354" t="s">
        <v>1013</v>
      </c>
      <c r="F143" s="354"/>
      <c r="G143" s="354"/>
      <c r="H143" s="345"/>
    </row>
    <row r="144" spans="1:8" x14ac:dyDescent="0.4">
      <c r="A144" s="346" t="s">
        <v>1004</v>
      </c>
      <c r="B144" s="346"/>
      <c r="C144" s="346" t="s">
        <v>1005</v>
      </c>
      <c r="D144" s="354"/>
      <c r="E144" s="354"/>
      <c r="F144" s="354"/>
      <c r="G144" s="354"/>
      <c r="H144" s="345"/>
    </row>
    <row r="145" spans="1:8" x14ac:dyDescent="0.4">
      <c r="A145" s="346" t="s">
        <v>1006</v>
      </c>
      <c r="B145" s="346"/>
      <c r="C145" s="346" t="s">
        <v>1007</v>
      </c>
      <c r="D145" s="354"/>
      <c r="E145" s="354"/>
      <c r="F145" s="354"/>
      <c r="G145" s="354"/>
      <c r="H145" s="345"/>
    </row>
    <row r="146" spans="1:8" x14ac:dyDescent="0.4">
      <c r="A146" s="346" t="s">
        <v>1008</v>
      </c>
      <c r="B146" s="346"/>
      <c r="C146" s="346" t="s">
        <v>1009</v>
      </c>
      <c r="D146" s="354" t="s">
        <v>1010</v>
      </c>
      <c r="E146" s="354"/>
      <c r="F146" s="354"/>
      <c r="G146" s="354"/>
      <c r="H146" s="345"/>
    </row>
    <row r="147" spans="1:8" x14ac:dyDescent="0.4">
      <c r="A147" s="346" t="s">
        <v>1011</v>
      </c>
      <c r="B147" s="346"/>
      <c r="C147" s="346" t="s">
        <v>1012</v>
      </c>
      <c r="D147" s="354"/>
      <c r="E147" s="354"/>
      <c r="F147" s="354" t="s">
        <v>1014</v>
      </c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ht="12.75" customHeight="1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 t="s">
        <v>1015</v>
      </c>
      <c r="B203" s="346"/>
      <c r="C203" s="346" t="s">
        <v>1016</v>
      </c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2536</v>
      </c>
      <c r="B232" s="346" t="s">
        <v>2320</v>
      </c>
      <c r="C232" s="346" t="s">
        <v>2537</v>
      </c>
      <c r="D232" s="354" t="s">
        <v>2538</v>
      </c>
      <c r="E232" s="354"/>
      <c r="F232" s="354" t="s">
        <v>2534</v>
      </c>
      <c r="G232" s="354"/>
      <c r="H232" s="345"/>
    </row>
    <row r="233" spans="1:8" x14ac:dyDescent="0.4">
      <c r="A233" s="346" t="s">
        <v>1017</v>
      </c>
      <c r="B233" s="346"/>
      <c r="C233" s="346" t="s">
        <v>1018</v>
      </c>
      <c r="D233" s="354"/>
      <c r="E233" s="354"/>
      <c r="F233" s="354"/>
      <c r="G233" s="354"/>
      <c r="H233" s="345" t="s">
        <v>11</v>
      </c>
    </row>
    <row r="234" spans="1:8" x14ac:dyDescent="0.4">
      <c r="A234" s="346" t="s">
        <v>1019</v>
      </c>
      <c r="B234" s="346"/>
      <c r="C234" s="346" t="s">
        <v>1020</v>
      </c>
      <c r="D234" s="354"/>
      <c r="E234" s="354"/>
      <c r="F234" s="354"/>
      <c r="G234" s="354"/>
      <c r="H234" s="345"/>
    </row>
    <row r="235" spans="1:8" x14ac:dyDescent="0.4">
      <c r="A235" s="346" t="s">
        <v>1021</v>
      </c>
      <c r="B235" s="346"/>
      <c r="C235" s="346" t="s">
        <v>1022</v>
      </c>
      <c r="D235" s="354" t="s">
        <v>1023</v>
      </c>
      <c r="E235" s="354"/>
      <c r="F235" s="354"/>
      <c r="G235" s="354"/>
      <c r="H235" s="345"/>
    </row>
    <row r="236" spans="1:8" x14ac:dyDescent="0.4">
      <c r="A236" s="346" t="s">
        <v>2275</v>
      </c>
      <c r="B236" s="346"/>
      <c r="C236" s="346" t="s">
        <v>2274</v>
      </c>
      <c r="D236" s="354"/>
      <c r="E236" s="354" t="s">
        <v>1013</v>
      </c>
      <c r="F236" s="354"/>
      <c r="G236" s="354"/>
      <c r="H236" s="345"/>
    </row>
    <row r="237" spans="1:8" x14ac:dyDescent="0.4">
      <c r="A237" s="346" t="s">
        <v>2536</v>
      </c>
      <c r="B237" s="346" t="s">
        <v>2320</v>
      </c>
      <c r="C237" s="346" t="s">
        <v>2537</v>
      </c>
      <c r="D237" s="354" t="s">
        <v>2538</v>
      </c>
      <c r="E237" s="354"/>
      <c r="F237" s="354" t="s">
        <v>2534</v>
      </c>
      <c r="G237" s="354"/>
      <c r="H237" s="345"/>
    </row>
    <row r="238" spans="1:8" x14ac:dyDescent="0.4">
      <c r="A238" s="346" t="s">
        <v>2749</v>
      </c>
      <c r="B238" s="346" t="s">
        <v>2320</v>
      </c>
      <c r="C238" s="346" t="s">
        <v>2748</v>
      </c>
      <c r="D238" s="354" t="s">
        <v>2455</v>
      </c>
      <c r="E238" s="354"/>
      <c r="F238" s="354"/>
      <c r="G238" s="354"/>
      <c r="H238" s="345"/>
    </row>
    <row r="239" spans="1:8" x14ac:dyDescent="0.4">
      <c r="A239" s="346" t="s">
        <v>2795</v>
      </c>
      <c r="B239" s="346" t="s">
        <v>2320</v>
      </c>
      <c r="C239" s="346" t="s">
        <v>2794</v>
      </c>
      <c r="D239" s="354" t="s">
        <v>205</v>
      </c>
      <c r="E239" s="354" t="s">
        <v>2534</v>
      </c>
      <c r="F239" s="354"/>
      <c r="G239" s="354"/>
      <c r="H239" s="345"/>
    </row>
    <row r="240" spans="1:8" x14ac:dyDescent="0.4">
      <c r="A240" s="346" t="s">
        <v>2813</v>
      </c>
      <c r="B240" s="346" t="s">
        <v>2320</v>
      </c>
      <c r="C240" s="346" t="s">
        <v>2815</v>
      </c>
      <c r="D240" s="354" t="s">
        <v>2455</v>
      </c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1024</v>
      </c>
      <c r="B291" s="346"/>
      <c r="C291" s="346" t="s">
        <v>1025</v>
      </c>
      <c r="D291" s="354"/>
      <c r="E291" s="354"/>
      <c r="F291" s="354"/>
      <c r="G291" s="354"/>
      <c r="H291" s="345"/>
    </row>
    <row r="292" spans="1:8" x14ac:dyDescent="0.4">
      <c r="A292" s="346" t="s">
        <v>1026</v>
      </c>
      <c r="B292" s="346"/>
      <c r="C292" s="346" t="s">
        <v>1027</v>
      </c>
      <c r="D292" s="354" t="s">
        <v>1028</v>
      </c>
      <c r="E292" s="354"/>
      <c r="F292" s="354"/>
      <c r="G292" s="354"/>
      <c r="H292" s="345"/>
    </row>
    <row r="293" spans="1:8" x14ac:dyDescent="0.4">
      <c r="A293" s="346" t="s">
        <v>1029</v>
      </c>
      <c r="B293" s="346"/>
      <c r="C293" s="346" t="s">
        <v>1030</v>
      </c>
      <c r="D293" s="354"/>
      <c r="E293" s="354" t="s">
        <v>1013</v>
      </c>
      <c r="F293" s="354"/>
      <c r="G293" s="354"/>
      <c r="H293" s="345"/>
    </row>
    <row r="294" spans="1:8" x14ac:dyDescent="0.4">
      <c r="A294" s="346" t="s">
        <v>1031</v>
      </c>
      <c r="B294" s="346"/>
      <c r="C294" s="346" t="s">
        <v>1032</v>
      </c>
      <c r="D294" s="354"/>
      <c r="E294" s="354"/>
      <c r="F294" s="354"/>
      <c r="G294" s="354"/>
      <c r="H294" s="345"/>
    </row>
    <row r="295" spans="1:8" x14ac:dyDescent="0.4">
      <c r="A295" s="346" t="s">
        <v>2248</v>
      </c>
      <c r="B295" s="346"/>
      <c r="C295" s="346" t="s">
        <v>2249</v>
      </c>
      <c r="D295" s="354"/>
      <c r="E295" s="354" t="s">
        <v>2250</v>
      </c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 t="s">
        <v>11</v>
      </c>
      <c r="B314" s="346"/>
      <c r="C314" s="346" t="s">
        <v>11</v>
      </c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 t="s">
        <v>1033</v>
      </c>
      <c r="B324" s="346"/>
      <c r="C324" s="346" t="s">
        <v>1034</v>
      </c>
      <c r="D324" s="354" t="s">
        <v>1035</v>
      </c>
      <c r="E324" s="354" t="s">
        <v>1013</v>
      </c>
      <c r="F324" s="354"/>
      <c r="G324" s="354"/>
      <c r="H324" s="345"/>
    </row>
    <row r="325" spans="1:8" x14ac:dyDescent="0.4">
      <c r="A325" s="346" t="s">
        <v>1036</v>
      </c>
      <c r="B325" s="346"/>
      <c r="C325" s="346" t="s">
        <v>1037</v>
      </c>
      <c r="D325" s="354" t="s">
        <v>1038</v>
      </c>
      <c r="E325" s="354" t="s">
        <v>1013</v>
      </c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 t="s">
        <v>1039</v>
      </c>
      <c r="B351" s="346"/>
      <c r="C351" s="346" t="s">
        <v>1040</v>
      </c>
      <c r="D351" s="354" t="s">
        <v>105</v>
      </c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3DF2-C350-4090-A6A3-91AD2BE1BB17}">
  <sheetPr codeName="Sheet16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2505</v>
      </c>
      <c r="B3" s="346" t="s">
        <v>2311</v>
      </c>
      <c r="C3" s="346" t="s">
        <v>2506</v>
      </c>
      <c r="D3" s="354"/>
      <c r="E3" s="354"/>
      <c r="F3" s="354"/>
      <c r="G3" s="354"/>
      <c r="H3" s="345" t="s">
        <v>60</v>
      </c>
    </row>
    <row r="4" spans="1:8" x14ac:dyDescent="0.4">
      <c r="A4" s="346" t="s">
        <v>1247</v>
      </c>
      <c r="B4" s="346"/>
      <c r="C4" s="346" t="s">
        <v>1248</v>
      </c>
      <c r="D4" s="354"/>
      <c r="E4" s="354" t="s">
        <v>1249</v>
      </c>
      <c r="F4" s="354"/>
      <c r="G4" s="354"/>
      <c r="H4" s="345" t="s">
        <v>64</v>
      </c>
    </row>
    <row r="5" spans="1:8" x14ac:dyDescent="0.4">
      <c r="A5" s="346" t="s">
        <v>1250</v>
      </c>
      <c r="B5" s="346"/>
      <c r="C5" s="346" t="s">
        <v>1251</v>
      </c>
      <c r="D5" s="354"/>
      <c r="E5" s="354" t="s">
        <v>1249</v>
      </c>
      <c r="F5" s="354"/>
      <c r="G5" s="354"/>
      <c r="H5" s="345" t="s">
        <v>67</v>
      </c>
    </row>
    <row r="6" spans="1:8" x14ac:dyDescent="0.4">
      <c r="A6" s="346" t="s">
        <v>1252</v>
      </c>
      <c r="B6" s="346"/>
      <c r="C6" s="346" t="s">
        <v>1253</v>
      </c>
      <c r="D6" s="354"/>
      <c r="E6" s="354" t="s">
        <v>1249</v>
      </c>
      <c r="F6" s="354"/>
      <c r="G6" s="354"/>
      <c r="H6" s="347" t="s">
        <v>70</v>
      </c>
    </row>
    <row r="7" spans="1:8" x14ac:dyDescent="0.4">
      <c r="A7" s="346" t="s">
        <v>1254</v>
      </c>
      <c r="B7" s="346"/>
      <c r="C7" s="346" t="s">
        <v>1255</v>
      </c>
      <c r="D7" s="354"/>
      <c r="E7" s="354" t="s">
        <v>1249</v>
      </c>
      <c r="F7" s="354"/>
      <c r="G7" s="354"/>
      <c r="H7" s="345" t="s">
        <v>73</v>
      </c>
    </row>
    <row r="8" spans="1:8" x14ac:dyDescent="0.4">
      <c r="A8" s="346" t="s">
        <v>1256</v>
      </c>
      <c r="B8" s="346"/>
      <c r="C8" s="346" t="s">
        <v>1257</v>
      </c>
      <c r="D8" s="354"/>
      <c r="E8" s="354" t="s">
        <v>1249</v>
      </c>
      <c r="F8" s="354"/>
      <c r="G8" s="354"/>
      <c r="H8" s="345" t="s">
        <v>77</v>
      </c>
    </row>
    <row r="9" spans="1:8" x14ac:dyDescent="0.4">
      <c r="A9" s="346" t="s">
        <v>1258</v>
      </c>
      <c r="B9" s="346"/>
      <c r="C9" s="346" t="s">
        <v>1259</v>
      </c>
      <c r="D9" s="354" t="s">
        <v>1260</v>
      </c>
      <c r="E9" s="354" t="s">
        <v>1249</v>
      </c>
      <c r="F9" s="354"/>
      <c r="G9" s="354"/>
      <c r="H9" s="345" t="s">
        <v>80</v>
      </c>
    </row>
    <row r="10" spans="1:8" x14ac:dyDescent="0.4">
      <c r="A10" s="346" t="s">
        <v>1261</v>
      </c>
      <c r="B10" s="346"/>
      <c r="C10" s="346" t="s">
        <v>1262</v>
      </c>
      <c r="D10" s="354"/>
      <c r="E10" s="354" t="s">
        <v>1249</v>
      </c>
      <c r="F10" s="354"/>
      <c r="G10" s="354"/>
      <c r="H10" s="345" t="s">
        <v>83</v>
      </c>
    </row>
    <row r="11" spans="1:8" x14ac:dyDescent="0.4">
      <c r="A11" s="346" t="s">
        <v>1256</v>
      </c>
      <c r="B11" s="346"/>
      <c r="C11" s="346" t="s">
        <v>1263</v>
      </c>
      <c r="D11" s="354"/>
      <c r="E11" s="354" t="s">
        <v>1249</v>
      </c>
      <c r="F11" s="354"/>
      <c r="G11" s="354"/>
      <c r="H11" s="345" t="s">
        <v>87</v>
      </c>
    </row>
    <row r="12" spans="1:8" x14ac:dyDescent="0.4">
      <c r="A12" s="346" t="s">
        <v>1264</v>
      </c>
      <c r="B12" s="346"/>
      <c r="C12" s="346" t="s">
        <v>1265</v>
      </c>
      <c r="D12" s="354"/>
      <c r="E12" s="354" t="s">
        <v>1249</v>
      </c>
      <c r="F12" s="354"/>
      <c r="G12" s="354"/>
      <c r="H12" s="345" t="s">
        <v>90</v>
      </c>
    </row>
    <row r="13" spans="1:8" x14ac:dyDescent="0.4">
      <c r="A13" s="346" t="s">
        <v>1266</v>
      </c>
      <c r="B13" s="346"/>
      <c r="C13" s="346" t="s">
        <v>1267</v>
      </c>
      <c r="D13" s="354"/>
      <c r="E13" s="354" t="s">
        <v>1249</v>
      </c>
      <c r="F13" s="354"/>
      <c r="G13" s="354"/>
      <c r="H13" s="345"/>
    </row>
    <row r="14" spans="1:8" x14ac:dyDescent="0.4">
      <c r="A14" s="346" t="s">
        <v>1268</v>
      </c>
      <c r="B14" s="346"/>
      <c r="C14" s="346" t="s">
        <v>1269</v>
      </c>
      <c r="D14" s="354"/>
      <c r="E14" s="354" t="s">
        <v>1249</v>
      </c>
      <c r="F14" s="354"/>
      <c r="G14" s="354"/>
      <c r="H14" s="345"/>
    </row>
    <row r="15" spans="1:8" x14ac:dyDescent="0.4">
      <c r="A15" s="346" t="s">
        <v>1270</v>
      </c>
      <c r="B15" s="346"/>
      <c r="C15" s="346" t="s">
        <v>1271</v>
      </c>
      <c r="D15" s="354" t="s">
        <v>1272</v>
      </c>
      <c r="E15" s="354" t="s">
        <v>1249</v>
      </c>
      <c r="F15" s="354"/>
      <c r="G15" s="354"/>
      <c r="H15" s="345"/>
    </row>
    <row r="16" spans="1:8" x14ac:dyDescent="0.4">
      <c r="A16" s="346" t="s">
        <v>1273</v>
      </c>
      <c r="B16" s="346"/>
      <c r="C16" s="346" t="s">
        <v>1274</v>
      </c>
      <c r="D16" s="354"/>
      <c r="E16" s="354" t="s">
        <v>1249</v>
      </c>
      <c r="F16" s="354"/>
      <c r="G16" s="354"/>
      <c r="H16" s="345"/>
    </row>
    <row r="17" spans="1:8" x14ac:dyDescent="0.4">
      <c r="A17" s="346" t="s">
        <v>1275</v>
      </c>
      <c r="B17" s="346"/>
      <c r="C17" s="346" t="s">
        <v>1276</v>
      </c>
      <c r="D17" s="354"/>
      <c r="E17" s="354" t="s">
        <v>1277</v>
      </c>
      <c r="F17" s="354"/>
      <c r="G17" s="354"/>
      <c r="H17" s="345"/>
    </row>
    <row r="18" spans="1:8" x14ac:dyDescent="0.4">
      <c r="A18" s="346" t="s">
        <v>1278</v>
      </c>
      <c r="B18" s="346"/>
      <c r="C18" s="346" t="s">
        <v>1279</v>
      </c>
      <c r="D18" s="354"/>
      <c r="E18" s="354"/>
      <c r="F18" s="354"/>
      <c r="G18" s="354"/>
      <c r="H18" s="345"/>
    </row>
    <row r="19" spans="1:8" x14ac:dyDescent="0.4">
      <c r="A19" s="346" t="s">
        <v>1280</v>
      </c>
      <c r="B19" s="346"/>
      <c r="C19" s="346" t="s">
        <v>1281</v>
      </c>
      <c r="D19" s="354"/>
      <c r="E19" s="354"/>
      <c r="F19" s="354"/>
      <c r="G19" s="354"/>
      <c r="H19" s="345"/>
    </row>
    <row r="20" spans="1:8" x14ac:dyDescent="0.4">
      <c r="A20" s="346" t="s">
        <v>1282</v>
      </c>
      <c r="B20" s="346"/>
      <c r="C20" s="346" t="s">
        <v>1283</v>
      </c>
      <c r="D20" s="354"/>
      <c r="E20" s="354" t="s">
        <v>1249</v>
      </c>
      <c r="F20" s="354"/>
      <c r="G20" s="354"/>
      <c r="H20" s="345"/>
    </row>
    <row r="21" spans="1:8" x14ac:dyDescent="0.4">
      <c r="A21" s="346" t="s">
        <v>1284</v>
      </c>
      <c r="B21" s="346"/>
      <c r="C21" s="346" t="s">
        <v>1285</v>
      </c>
      <c r="D21" s="354"/>
      <c r="E21" s="354" t="s">
        <v>638</v>
      </c>
      <c r="F21" s="354"/>
      <c r="G21" s="354"/>
      <c r="H21" s="345"/>
    </row>
    <row r="22" spans="1:8" x14ac:dyDescent="0.4">
      <c r="A22" s="346" t="s">
        <v>1286</v>
      </c>
      <c r="B22" s="346"/>
      <c r="C22" s="346" t="s">
        <v>1287</v>
      </c>
      <c r="D22" s="354"/>
      <c r="E22" s="354"/>
      <c r="F22" s="354"/>
      <c r="G22" s="354"/>
      <c r="H22" s="345"/>
    </row>
    <row r="23" spans="1:8" x14ac:dyDescent="0.4">
      <c r="A23" s="346" t="s">
        <v>1288</v>
      </c>
      <c r="B23" s="346"/>
      <c r="C23" s="346" t="s">
        <v>1289</v>
      </c>
      <c r="D23" s="354" t="s">
        <v>638</v>
      </c>
      <c r="E23" s="354"/>
      <c r="F23" s="354"/>
      <c r="G23" s="354"/>
      <c r="H23" s="345"/>
    </row>
    <row r="24" spans="1:8" x14ac:dyDescent="0.4">
      <c r="A24" s="346" t="s">
        <v>1290</v>
      </c>
      <c r="B24" s="346"/>
      <c r="C24" s="346" t="s">
        <v>1291</v>
      </c>
      <c r="D24" s="354"/>
      <c r="E24" s="354"/>
      <c r="F24" s="354"/>
      <c r="G24" s="354"/>
      <c r="H24" s="345"/>
    </row>
    <row r="25" spans="1:8" x14ac:dyDescent="0.4">
      <c r="A25" s="346" t="s">
        <v>1292</v>
      </c>
      <c r="B25" s="346"/>
      <c r="C25" s="346" t="s">
        <v>1293</v>
      </c>
      <c r="D25" s="354"/>
      <c r="E25" s="354"/>
      <c r="F25" s="354"/>
      <c r="G25" s="354"/>
      <c r="H25" s="345"/>
    </row>
    <row r="26" spans="1:8" x14ac:dyDescent="0.4">
      <c r="A26" s="346" t="s">
        <v>1294</v>
      </c>
      <c r="B26" s="346"/>
      <c r="C26" s="346" t="s">
        <v>1295</v>
      </c>
      <c r="D26" s="354"/>
      <c r="E26" s="354"/>
      <c r="F26" s="354"/>
      <c r="G26" s="354"/>
      <c r="H26" s="345"/>
    </row>
    <row r="27" spans="1:8" x14ac:dyDescent="0.4">
      <c r="A27" s="346" t="s">
        <v>1296</v>
      </c>
      <c r="B27" s="346"/>
      <c r="C27" s="346" t="s">
        <v>1297</v>
      </c>
      <c r="D27" s="354"/>
      <c r="E27" s="354"/>
      <c r="F27" s="354"/>
      <c r="G27" s="354"/>
      <c r="H27" s="345"/>
    </row>
    <row r="28" spans="1:8" x14ac:dyDescent="0.4">
      <c r="A28" s="346" t="s">
        <v>1290</v>
      </c>
      <c r="B28" s="346"/>
      <c r="C28" s="346" t="s">
        <v>1291</v>
      </c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 t="s">
        <v>1298</v>
      </c>
      <c r="B67" s="346"/>
      <c r="C67" s="346" t="s">
        <v>1307</v>
      </c>
      <c r="D67" s="354"/>
      <c r="E67" s="354" t="s">
        <v>1249</v>
      </c>
      <c r="F67" s="354"/>
      <c r="G67" s="354"/>
      <c r="H67" s="345"/>
    </row>
    <row r="68" spans="1:8" x14ac:dyDescent="0.4">
      <c r="A68" s="346" t="s">
        <v>1299</v>
      </c>
      <c r="B68" s="346"/>
      <c r="C68" s="346" t="s">
        <v>1308</v>
      </c>
      <c r="D68" s="354"/>
      <c r="E68" s="354" t="s">
        <v>1249</v>
      </c>
      <c r="F68" s="354"/>
      <c r="G68" s="354"/>
      <c r="H68" s="345"/>
    </row>
    <row r="69" spans="1:8" x14ac:dyDescent="0.4">
      <c r="A69" s="346" t="s">
        <v>1300</v>
      </c>
      <c r="B69" s="346"/>
      <c r="C69" s="346" t="s">
        <v>1309</v>
      </c>
      <c r="D69" s="354"/>
      <c r="E69" s="354" t="s">
        <v>1249</v>
      </c>
      <c r="F69" s="354"/>
      <c r="G69" s="354"/>
      <c r="H69" s="345"/>
    </row>
    <row r="70" spans="1:8" x14ac:dyDescent="0.4">
      <c r="A70" s="346" t="s">
        <v>1301</v>
      </c>
      <c r="B70" s="346"/>
      <c r="C70" s="346" t="s">
        <v>1310</v>
      </c>
      <c r="D70" s="354"/>
      <c r="E70" s="354" t="s">
        <v>1249</v>
      </c>
      <c r="F70" s="354"/>
      <c r="G70" s="354"/>
      <c r="H70" s="345"/>
    </row>
    <row r="71" spans="1:8" x14ac:dyDescent="0.4">
      <c r="A71" s="346" t="s">
        <v>1302</v>
      </c>
      <c r="B71" s="346"/>
      <c r="C71" s="346" t="s">
        <v>1311</v>
      </c>
      <c r="D71" s="354"/>
      <c r="E71" s="354" t="s">
        <v>1249</v>
      </c>
      <c r="F71" s="354"/>
      <c r="G71" s="354"/>
      <c r="H71" s="345"/>
    </row>
    <row r="72" spans="1:8" x14ac:dyDescent="0.4">
      <c r="A72" s="346" t="s">
        <v>1303</v>
      </c>
      <c r="B72" s="346"/>
      <c r="C72" s="346" t="s">
        <v>1312</v>
      </c>
      <c r="D72" s="354"/>
      <c r="E72" s="354" t="s">
        <v>1249</v>
      </c>
      <c r="F72" s="354"/>
      <c r="G72" s="354"/>
      <c r="H72" s="345"/>
    </row>
    <row r="73" spans="1:8" x14ac:dyDescent="0.4">
      <c r="A73" s="346" t="s">
        <v>1304</v>
      </c>
      <c r="B73" s="346"/>
      <c r="C73" s="346" t="s">
        <v>1313</v>
      </c>
      <c r="D73" s="354"/>
      <c r="E73" s="354" t="s">
        <v>1249</v>
      </c>
      <c r="F73" s="354"/>
      <c r="G73" s="354"/>
      <c r="H73" s="345"/>
    </row>
    <row r="74" spans="1:8" x14ac:dyDescent="0.4">
      <c r="A74" s="346" t="s">
        <v>1305</v>
      </c>
      <c r="B74" s="346"/>
      <c r="C74" s="346" t="s">
        <v>1314</v>
      </c>
      <c r="D74" s="354"/>
      <c r="E74" s="354" t="s">
        <v>1249</v>
      </c>
      <c r="F74" s="354"/>
      <c r="G74" s="354"/>
      <c r="H74" s="345"/>
    </row>
    <row r="75" spans="1:8" x14ac:dyDescent="0.4">
      <c r="A75" s="346" t="s">
        <v>1306</v>
      </c>
      <c r="B75" s="346"/>
      <c r="C75" s="346" t="s">
        <v>1315</v>
      </c>
      <c r="D75" s="354"/>
      <c r="E75" s="354" t="s">
        <v>1249</v>
      </c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2467</v>
      </c>
      <c r="B102" s="346" t="s">
        <v>2312</v>
      </c>
      <c r="C102" s="346" t="s">
        <v>2468</v>
      </c>
      <c r="D102" s="354" t="s">
        <v>2369</v>
      </c>
      <c r="E102" s="354">
        <v>1323</v>
      </c>
      <c r="F102" s="354" t="s">
        <v>2455</v>
      </c>
      <c r="G102" s="354"/>
      <c r="H102" s="345"/>
    </row>
    <row r="103" spans="1:8" x14ac:dyDescent="0.4">
      <c r="A103" s="346" t="s">
        <v>1316</v>
      </c>
      <c r="B103" s="346"/>
      <c r="C103" s="346" t="s">
        <v>1340</v>
      </c>
      <c r="D103" s="354"/>
      <c r="E103" s="354" t="s">
        <v>1249</v>
      </c>
      <c r="F103" s="354"/>
      <c r="G103" s="354"/>
      <c r="H103" s="345"/>
    </row>
    <row r="104" spans="1:8" x14ac:dyDescent="0.4">
      <c r="A104" s="346" t="s">
        <v>1317</v>
      </c>
      <c r="B104" s="346"/>
      <c r="C104" s="346" t="s">
        <v>1341</v>
      </c>
      <c r="D104" s="354"/>
      <c r="E104" s="354" t="s">
        <v>1249</v>
      </c>
      <c r="F104" s="354"/>
      <c r="G104" s="354"/>
      <c r="H104" s="345"/>
    </row>
    <row r="105" spans="1:8" x14ac:dyDescent="0.4">
      <c r="A105" s="346" t="s">
        <v>1318</v>
      </c>
      <c r="B105" s="346"/>
      <c r="C105" s="346" t="s">
        <v>1342</v>
      </c>
      <c r="D105" s="354"/>
      <c r="E105" s="354" t="s">
        <v>1249</v>
      </c>
      <c r="F105" s="354"/>
      <c r="G105" s="354"/>
      <c r="H105" s="345"/>
    </row>
    <row r="106" spans="1:8" x14ac:dyDescent="0.4">
      <c r="A106" s="346" t="s">
        <v>1319</v>
      </c>
      <c r="B106" s="346"/>
      <c r="C106" s="346" t="s">
        <v>1343</v>
      </c>
      <c r="D106" s="354"/>
      <c r="E106" s="354" t="s">
        <v>1249</v>
      </c>
      <c r="F106" s="354"/>
      <c r="G106" s="354"/>
      <c r="H106" s="345"/>
    </row>
    <row r="107" spans="1:8" x14ac:dyDescent="0.4">
      <c r="A107" s="346" t="s">
        <v>1320</v>
      </c>
      <c r="B107" s="346"/>
      <c r="C107" s="346" t="s">
        <v>1344</v>
      </c>
      <c r="D107" s="354"/>
      <c r="E107" s="354" t="s">
        <v>1249</v>
      </c>
      <c r="F107" s="354"/>
      <c r="G107" s="354"/>
      <c r="H107" s="345"/>
    </row>
    <row r="108" spans="1:8" x14ac:dyDescent="0.4">
      <c r="A108" s="346" t="s">
        <v>1321</v>
      </c>
      <c r="B108" s="346"/>
      <c r="C108" s="346" t="s">
        <v>1345</v>
      </c>
      <c r="D108" s="354"/>
      <c r="E108" s="354" t="s">
        <v>1249</v>
      </c>
      <c r="F108" s="354"/>
      <c r="G108" s="354"/>
      <c r="H108" s="345"/>
    </row>
    <row r="109" spans="1:8" x14ac:dyDescent="0.4">
      <c r="A109" s="346" t="s">
        <v>1322</v>
      </c>
      <c r="B109" s="346"/>
      <c r="C109" s="346" t="s">
        <v>1346</v>
      </c>
      <c r="D109" s="354"/>
      <c r="E109" s="354" t="s">
        <v>1249</v>
      </c>
      <c r="F109" s="354"/>
      <c r="G109" s="354"/>
      <c r="H109" s="345"/>
    </row>
    <row r="110" spans="1:8" x14ac:dyDescent="0.4">
      <c r="A110" s="346" t="s">
        <v>1323</v>
      </c>
      <c r="B110" s="346"/>
      <c r="C110" s="346" t="s">
        <v>1347</v>
      </c>
      <c r="D110" s="354"/>
      <c r="E110" s="354" t="s">
        <v>1249</v>
      </c>
      <c r="F110" s="354"/>
      <c r="G110" s="354"/>
      <c r="H110" s="345"/>
    </row>
    <row r="111" spans="1:8" x14ac:dyDescent="0.4">
      <c r="A111" s="346" t="s">
        <v>1324</v>
      </c>
      <c r="B111" s="346"/>
      <c r="C111" s="346" t="s">
        <v>1348</v>
      </c>
      <c r="D111" s="354"/>
      <c r="E111" s="354" t="s">
        <v>1249</v>
      </c>
      <c r="F111" s="354"/>
      <c r="G111" s="354"/>
      <c r="H111" s="345"/>
    </row>
    <row r="112" spans="1:8" x14ac:dyDescent="0.4">
      <c r="A112" s="346" t="s">
        <v>1325</v>
      </c>
      <c r="B112" s="346"/>
      <c r="C112" s="346" t="s">
        <v>1349</v>
      </c>
      <c r="D112" s="354"/>
      <c r="E112" s="354" t="s">
        <v>1249</v>
      </c>
      <c r="F112" s="354"/>
      <c r="G112" s="354"/>
      <c r="H112" s="345"/>
    </row>
    <row r="113" spans="1:8" x14ac:dyDescent="0.4">
      <c r="A113" s="346" t="s">
        <v>1326</v>
      </c>
      <c r="B113" s="346"/>
      <c r="C113" s="346" t="s">
        <v>1350</v>
      </c>
      <c r="D113" s="354"/>
      <c r="E113" s="354" t="s">
        <v>1249</v>
      </c>
      <c r="F113" s="354"/>
      <c r="G113" s="354"/>
      <c r="H113" s="345"/>
    </row>
    <row r="114" spans="1:8" x14ac:dyDescent="0.4">
      <c r="A114" s="346" t="s">
        <v>1320</v>
      </c>
      <c r="B114" s="346"/>
      <c r="C114" s="346" t="s">
        <v>1344</v>
      </c>
      <c r="D114" s="354"/>
      <c r="E114" s="354" t="s">
        <v>1249</v>
      </c>
      <c r="F114" s="354"/>
      <c r="G114" s="354"/>
      <c r="H114" s="345"/>
    </row>
    <row r="115" spans="1:8" x14ac:dyDescent="0.4">
      <c r="A115" s="346" t="s">
        <v>1327</v>
      </c>
      <c r="B115" s="346"/>
      <c r="C115" s="346" t="s">
        <v>1351</v>
      </c>
      <c r="D115" s="354"/>
      <c r="E115" s="354" t="s">
        <v>1249</v>
      </c>
      <c r="F115" s="354"/>
      <c r="G115" s="354"/>
      <c r="H115" s="345"/>
    </row>
    <row r="116" spans="1:8" x14ac:dyDescent="0.4">
      <c r="A116" s="346" t="s">
        <v>1328</v>
      </c>
      <c r="B116" s="346"/>
      <c r="C116" s="346" t="s">
        <v>1352</v>
      </c>
      <c r="D116" s="354"/>
      <c r="E116" s="354" t="s">
        <v>1249</v>
      </c>
      <c r="F116" s="354"/>
      <c r="G116" s="354"/>
      <c r="H116" s="345"/>
    </row>
    <row r="117" spans="1:8" x14ac:dyDescent="0.4">
      <c r="A117" s="346" t="s">
        <v>1329</v>
      </c>
      <c r="B117" s="346"/>
      <c r="C117" s="346" t="s">
        <v>1353</v>
      </c>
      <c r="D117" s="354"/>
      <c r="E117" s="354" t="s">
        <v>1249</v>
      </c>
      <c r="F117" s="354"/>
      <c r="G117" s="354"/>
      <c r="H117" s="345"/>
    </row>
    <row r="118" spans="1:8" x14ac:dyDescent="0.4">
      <c r="A118" s="346" t="s">
        <v>1330</v>
      </c>
      <c r="B118" s="346"/>
      <c r="C118" s="346" t="s">
        <v>1354</v>
      </c>
      <c r="D118" s="354"/>
      <c r="E118" s="354" t="s">
        <v>1249</v>
      </c>
      <c r="F118" s="354"/>
      <c r="G118" s="354"/>
      <c r="H118" s="345"/>
    </row>
    <row r="119" spans="1:8" x14ac:dyDescent="0.4">
      <c r="A119" s="346" t="s">
        <v>1331</v>
      </c>
      <c r="B119" s="346"/>
      <c r="C119" s="346" t="s">
        <v>1355</v>
      </c>
      <c r="D119" s="354"/>
      <c r="E119" s="354" t="s">
        <v>1249</v>
      </c>
      <c r="F119" s="354"/>
      <c r="G119" s="354"/>
      <c r="H119" s="345"/>
    </row>
    <row r="120" spans="1:8" x14ac:dyDescent="0.4">
      <c r="A120" s="346" t="s">
        <v>1332</v>
      </c>
      <c r="B120" s="346"/>
      <c r="C120" s="346" t="s">
        <v>1356</v>
      </c>
      <c r="D120" s="354"/>
      <c r="E120" s="354" t="s">
        <v>1249</v>
      </c>
      <c r="F120" s="354"/>
      <c r="G120" s="354"/>
      <c r="H120" s="345"/>
    </row>
    <row r="121" spans="1:8" x14ac:dyDescent="0.4">
      <c r="A121" s="346" t="s">
        <v>1333</v>
      </c>
      <c r="B121" s="346"/>
      <c r="C121" s="346" t="s">
        <v>1357</v>
      </c>
      <c r="D121" s="354"/>
      <c r="E121" s="354" t="s">
        <v>1249</v>
      </c>
      <c r="F121" s="354"/>
      <c r="G121" s="354"/>
      <c r="H121" s="345"/>
    </row>
    <row r="122" spans="1:8" x14ac:dyDescent="0.4">
      <c r="A122" s="346" t="s">
        <v>1334</v>
      </c>
      <c r="B122" s="346"/>
      <c r="C122" s="346" t="s">
        <v>1358</v>
      </c>
      <c r="D122" s="354"/>
      <c r="E122" s="354" t="s">
        <v>1249</v>
      </c>
      <c r="F122" s="354"/>
      <c r="G122" s="354"/>
      <c r="H122" s="345"/>
    </row>
    <row r="123" spans="1:8" x14ac:dyDescent="0.4">
      <c r="A123" s="346" t="s">
        <v>1335</v>
      </c>
      <c r="B123" s="346"/>
      <c r="C123" s="346" t="s">
        <v>1359</v>
      </c>
      <c r="D123" s="354"/>
      <c r="E123" s="354"/>
      <c r="F123" s="354"/>
      <c r="G123" s="354"/>
      <c r="H123" s="345"/>
    </row>
    <row r="124" spans="1:8" x14ac:dyDescent="0.4">
      <c r="A124" s="346" t="s">
        <v>1336</v>
      </c>
      <c r="B124" s="346"/>
      <c r="C124" s="346" t="s">
        <v>1360</v>
      </c>
      <c r="D124" s="354"/>
      <c r="E124" s="354" t="s">
        <v>1249</v>
      </c>
      <c r="F124" s="354"/>
      <c r="G124" s="354"/>
      <c r="H124" s="345"/>
    </row>
    <row r="125" spans="1:8" x14ac:dyDescent="0.4">
      <c r="A125" s="346" t="s">
        <v>1337</v>
      </c>
      <c r="B125" s="346"/>
      <c r="C125" s="346" t="s">
        <v>1361</v>
      </c>
      <c r="D125" s="354"/>
      <c r="E125" s="354" t="s">
        <v>1249</v>
      </c>
      <c r="F125" s="354"/>
      <c r="G125" s="354"/>
      <c r="H125" s="345"/>
    </row>
    <row r="126" spans="1:8" x14ac:dyDescent="0.4">
      <c r="A126" s="346" t="s">
        <v>1338</v>
      </c>
      <c r="B126" s="346"/>
      <c r="C126" s="346" t="s">
        <v>1362</v>
      </c>
      <c r="D126" s="354"/>
      <c r="E126" s="354" t="s">
        <v>1249</v>
      </c>
      <c r="F126" s="354"/>
      <c r="G126" s="354"/>
      <c r="H126" s="345"/>
    </row>
    <row r="127" spans="1:8" x14ac:dyDescent="0.4">
      <c r="A127" s="346" t="s">
        <v>1339</v>
      </c>
      <c r="B127" s="346"/>
      <c r="C127" s="346" t="s">
        <v>1363</v>
      </c>
      <c r="D127" s="354"/>
      <c r="E127" s="354">
        <v>1323</v>
      </c>
      <c r="F127" s="354"/>
      <c r="G127" s="354"/>
      <c r="H127" s="345"/>
    </row>
    <row r="128" spans="1:8" x14ac:dyDescent="0.4">
      <c r="A128" s="346" t="s">
        <v>2255</v>
      </c>
      <c r="B128" s="346"/>
      <c r="C128" s="346" t="s">
        <v>2256</v>
      </c>
      <c r="D128" s="354"/>
      <c r="E128" s="354"/>
      <c r="F128" s="354"/>
      <c r="G128" s="354"/>
      <c r="H128" s="345"/>
    </row>
    <row r="129" spans="1:8" x14ac:dyDescent="0.4">
      <c r="A129" s="346" t="s">
        <v>2692</v>
      </c>
      <c r="B129" s="346" t="s">
        <v>2312</v>
      </c>
      <c r="C129" s="346" t="s">
        <v>2693</v>
      </c>
      <c r="D129" s="354" t="s">
        <v>2455</v>
      </c>
      <c r="E129" s="354"/>
      <c r="F129" s="354" t="s">
        <v>2455</v>
      </c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 t="s">
        <v>2451</v>
      </c>
      <c r="B142" s="346" t="s">
        <v>2449</v>
      </c>
      <c r="C142" s="346" t="s">
        <v>2450</v>
      </c>
      <c r="D142" s="354"/>
      <c r="E142" s="354"/>
      <c r="F142" s="354">
        <v>1323</v>
      </c>
      <c r="G142" s="354"/>
      <c r="H142" s="345"/>
    </row>
    <row r="143" spans="1:8" x14ac:dyDescent="0.4">
      <c r="A143" s="346" t="s">
        <v>1364</v>
      </c>
      <c r="B143" s="346"/>
      <c r="C143" s="346" t="s">
        <v>1379</v>
      </c>
      <c r="D143" s="354"/>
      <c r="E143" s="354" t="s">
        <v>1249</v>
      </c>
      <c r="F143" s="354"/>
      <c r="G143" s="354"/>
      <c r="H143" s="345"/>
    </row>
    <row r="144" spans="1:8" x14ac:dyDescent="0.4">
      <c r="A144" s="346" t="s">
        <v>1365</v>
      </c>
      <c r="B144" s="346"/>
      <c r="C144" s="346" t="s">
        <v>1380</v>
      </c>
      <c r="D144" s="354"/>
      <c r="E144" s="354" t="s">
        <v>1249</v>
      </c>
      <c r="F144" s="354"/>
      <c r="G144" s="354"/>
      <c r="H144" s="345"/>
    </row>
    <row r="145" spans="1:8" x14ac:dyDescent="0.4">
      <c r="A145" s="346" t="s">
        <v>1366</v>
      </c>
      <c r="B145" s="346"/>
      <c r="C145" s="346" t="s">
        <v>1381</v>
      </c>
      <c r="D145" s="354"/>
      <c r="E145" s="354" t="s">
        <v>1249</v>
      </c>
      <c r="F145" s="354"/>
      <c r="G145" s="354"/>
      <c r="H145" s="345"/>
    </row>
    <row r="146" spans="1:8" x14ac:dyDescent="0.4">
      <c r="A146" s="346" t="s">
        <v>1367</v>
      </c>
      <c r="B146" s="346"/>
      <c r="C146" s="346" t="s">
        <v>1382</v>
      </c>
      <c r="D146" s="354"/>
      <c r="E146" s="354" t="s">
        <v>1249</v>
      </c>
      <c r="F146" s="354"/>
      <c r="G146" s="354"/>
      <c r="H146" s="345"/>
    </row>
    <row r="147" spans="1:8" x14ac:dyDescent="0.4">
      <c r="A147" s="346" t="s">
        <v>1368</v>
      </c>
      <c r="B147" s="346"/>
      <c r="C147" s="346" t="s">
        <v>1383</v>
      </c>
      <c r="D147" s="354"/>
      <c r="E147" s="354" t="s">
        <v>1249</v>
      </c>
      <c r="F147" s="354"/>
      <c r="G147" s="354"/>
      <c r="H147" s="345"/>
    </row>
    <row r="148" spans="1:8" x14ac:dyDescent="0.4">
      <c r="A148" s="346" t="s">
        <v>1369</v>
      </c>
      <c r="B148" s="346"/>
      <c r="C148" s="346" t="s">
        <v>1384</v>
      </c>
      <c r="D148" s="354"/>
      <c r="E148" s="354" t="s">
        <v>1249</v>
      </c>
      <c r="F148" s="354"/>
      <c r="G148" s="354"/>
      <c r="H148" s="345"/>
    </row>
    <row r="149" spans="1:8" x14ac:dyDescent="0.4">
      <c r="A149" s="346" t="s">
        <v>1370</v>
      </c>
      <c r="B149" s="346"/>
      <c r="C149" s="346" t="s">
        <v>1385</v>
      </c>
      <c r="D149" s="354"/>
      <c r="E149" s="354" t="s">
        <v>1249</v>
      </c>
      <c r="F149" s="354"/>
      <c r="G149" s="354"/>
      <c r="H149" s="345"/>
    </row>
    <row r="150" spans="1:8" x14ac:dyDescent="0.4">
      <c r="A150" s="346" t="s">
        <v>1371</v>
      </c>
      <c r="B150" s="346"/>
      <c r="C150" s="346" t="s">
        <v>1386</v>
      </c>
      <c r="D150" s="354"/>
      <c r="E150" s="354" t="s">
        <v>1249</v>
      </c>
      <c r="F150" s="354"/>
      <c r="G150" s="354"/>
      <c r="H150" s="345"/>
    </row>
    <row r="151" spans="1:8" x14ac:dyDescent="0.4">
      <c r="A151" s="346" t="s">
        <v>1372</v>
      </c>
      <c r="B151" s="346"/>
      <c r="C151" s="346" t="s">
        <v>1387</v>
      </c>
      <c r="D151" s="354"/>
      <c r="E151" s="354" t="s">
        <v>1249</v>
      </c>
      <c r="F151" s="354"/>
      <c r="G151" s="354"/>
      <c r="H151" s="345"/>
    </row>
    <row r="152" spans="1:8" x14ac:dyDescent="0.4">
      <c r="A152" s="346" t="s">
        <v>1373</v>
      </c>
      <c r="B152" s="346"/>
      <c r="C152" s="346" t="s">
        <v>1388</v>
      </c>
      <c r="D152" s="354" t="s">
        <v>56</v>
      </c>
      <c r="E152" s="354" t="s">
        <v>1249</v>
      </c>
      <c r="F152" s="354"/>
      <c r="G152" s="354"/>
      <c r="H152" s="345"/>
    </row>
    <row r="153" spans="1:8" x14ac:dyDescent="0.4">
      <c r="A153" s="346" t="s">
        <v>1374</v>
      </c>
      <c r="B153" s="346"/>
      <c r="C153" s="346" t="s">
        <v>1389</v>
      </c>
      <c r="D153" s="354"/>
      <c r="E153" s="354" t="s">
        <v>1249</v>
      </c>
      <c r="F153" s="354"/>
      <c r="G153" s="354"/>
      <c r="H153" s="345"/>
    </row>
    <row r="154" spans="1:8" x14ac:dyDescent="0.4">
      <c r="A154" s="346" t="s">
        <v>1375</v>
      </c>
      <c r="B154" s="346"/>
      <c r="C154" s="346" t="s">
        <v>1390</v>
      </c>
      <c r="D154" s="354"/>
      <c r="E154" s="354"/>
      <c r="F154" s="354"/>
      <c r="G154" s="354"/>
      <c r="H154" s="345"/>
    </row>
    <row r="155" spans="1:8" x14ac:dyDescent="0.4">
      <c r="A155" s="346" t="s">
        <v>1376</v>
      </c>
      <c r="B155" s="346"/>
      <c r="C155" s="346" t="s">
        <v>1391</v>
      </c>
      <c r="D155" s="354"/>
      <c r="E155" s="354"/>
      <c r="F155" s="354"/>
      <c r="G155" s="354"/>
      <c r="H155" s="345"/>
    </row>
    <row r="156" spans="1:8" x14ac:dyDescent="0.4">
      <c r="A156" s="346" t="s">
        <v>1377</v>
      </c>
      <c r="B156" s="346"/>
      <c r="C156" s="346" t="s">
        <v>1392</v>
      </c>
      <c r="D156" s="354"/>
      <c r="E156" s="354" t="s">
        <v>1393</v>
      </c>
      <c r="F156" s="354"/>
      <c r="G156" s="354"/>
      <c r="H156" s="345"/>
    </row>
    <row r="157" spans="1:8" x14ac:dyDescent="0.4">
      <c r="A157" s="346" t="s">
        <v>1378</v>
      </c>
      <c r="B157" s="346"/>
      <c r="C157" s="346" t="s">
        <v>1394</v>
      </c>
      <c r="D157" s="354"/>
      <c r="E157" s="354"/>
      <c r="F157" s="354"/>
      <c r="G157" s="354"/>
      <c r="H157" s="345"/>
    </row>
    <row r="158" spans="1:8" x14ac:dyDescent="0.4">
      <c r="A158" s="346" t="s">
        <v>2681</v>
      </c>
      <c r="B158" s="346" t="s">
        <v>2449</v>
      </c>
      <c r="C158" s="346" t="s">
        <v>2682</v>
      </c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ht="12.75" customHeight="1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 t="s">
        <v>1395</v>
      </c>
      <c r="B203" s="346"/>
      <c r="C203" s="346" t="s">
        <v>1404</v>
      </c>
      <c r="D203" s="354"/>
      <c r="E203" s="354" t="s">
        <v>1249</v>
      </c>
      <c r="F203" s="354"/>
      <c r="G203" s="354"/>
      <c r="H203" s="345"/>
    </row>
    <row r="204" spans="1:8" x14ac:dyDescent="0.4">
      <c r="A204" s="346" t="s">
        <v>1396</v>
      </c>
      <c r="B204" s="346"/>
      <c r="C204" s="346" t="s">
        <v>1405</v>
      </c>
      <c r="D204" s="354"/>
      <c r="E204" s="354" t="s">
        <v>1249</v>
      </c>
      <c r="F204" s="354"/>
      <c r="G204" s="354"/>
      <c r="H204" s="345"/>
    </row>
    <row r="205" spans="1:8" x14ac:dyDescent="0.4">
      <c r="A205" s="346" t="s">
        <v>1397</v>
      </c>
      <c r="B205" s="346"/>
      <c r="C205" s="346" t="s">
        <v>1406</v>
      </c>
      <c r="D205" s="354"/>
      <c r="E205" s="354" t="s">
        <v>1249</v>
      </c>
      <c r="F205" s="354"/>
      <c r="G205" s="354"/>
      <c r="H205" s="345"/>
    </row>
    <row r="206" spans="1:8" x14ac:dyDescent="0.4">
      <c r="A206" s="346" t="s">
        <v>1398</v>
      </c>
      <c r="B206" s="346"/>
      <c r="C206" s="346" t="s">
        <v>1407</v>
      </c>
      <c r="D206" s="354"/>
      <c r="E206" s="354" t="s">
        <v>1249</v>
      </c>
      <c r="F206" s="354"/>
      <c r="G206" s="354"/>
      <c r="H206" s="345"/>
    </row>
    <row r="207" spans="1:8" x14ac:dyDescent="0.4">
      <c r="A207" s="346" t="s">
        <v>1399</v>
      </c>
      <c r="B207" s="346"/>
      <c r="C207" s="346" t="s">
        <v>1408</v>
      </c>
      <c r="D207" s="354"/>
      <c r="E207" s="354" t="s">
        <v>1249</v>
      </c>
      <c r="F207" s="354"/>
      <c r="G207" s="354"/>
      <c r="H207" s="345"/>
    </row>
    <row r="208" spans="1:8" x14ac:dyDescent="0.4">
      <c r="A208" s="346" t="s">
        <v>1400</v>
      </c>
      <c r="B208" s="346"/>
      <c r="C208" s="346" t="s">
        <v>1409</v>
      </c>
      <c r="D208" s="354"/>
      <c r="E208" s="354">
        <v>1323</v>
      </c>
      <c r="F208" s="354"/>
      <c r="G208" s="354"/>
      <c r="H208" s="345"/>
    </row>
    <row r="209" spans="1:8" x14ac:dyDescent="0.4">
      <c r="A209" s="346" t="s">
        <v>1401</v>
      </c>
      <c r="B209" s="346"/>
      <c r="C209" s="346" t="s">
        <v>1410</v>
      </c>
      <c r="D209" s="354"/>
      <c r="E209" s="354"/>
      <c r="F209" s="354"/>
      <c r="G209" s="354"/>
      <c r="H209" s="345"/>
    </row>
    <row r="210" spans="1:8" x14ac:dyDescent="0.4">
      <c r="A210" s="346" t="s">
        <v>1402</v>
      </c>
      <c r="B210" s="346"/>
      <c r="C210" s="346" t="s">
        <v>1411</v>
      </c>
      <c r="D210" s="354"/>
      <c r="E210" s="354"/>
      <c r="F210" s="354"/>
      <c r="G210" s="354"/>
      <c r="H210" s="345"/>
    </row>
    <row r="211" spans="1:8" x14ac:dyDescent="0.4">
      <c r="A211" s="346" t="s">
        <v>1403</v>
      </c>
      <c r="B211" s="346"/>
      <c r="C211" s="346" t="s">
        <v>1412</v>
      </c>
      <c r="D211" s="354"/>
      <c r="E211" s="354"/>
      <c r="F211" s="354"/>
      <c r="G211" s="354"/>
      <c r="H211" s="345"/>
    </row>
    <row r="212" spans="1:8" x14ac:dyDescent="0.4">
      <c r="A212" s="346" t="s">
        <v>2251</v>
      </c>
      <c r="B212" s="346"/>
      <c r="C212" s="346" t="s">
        <v>2252</v>
      </c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2452</v>
      </c>
      <c r="B232" s="346" t="s">
        <v>2320</v>
      </c>
      <c r="C232" s="346" t="s">
        <v>2453</v>
      </c>
      <c r="D232" s="354" t="s">
        <v>2454</v>
      </c>
      <c r="E232" s="354"/>
      <c r="F232" s="354" t="s">
        <v>2455</v>
      </c>
      <c r="G232" s="354"/>
      <c r="H232" s="345"/>
    </row>
    <row r="233" spans="1:8" x14ac:dyDescent="0.4">
      <c r="A233" s="346" t="s">
        <v>1413</v>
      </c>
      <c r="B233" s="346"/>
      <c r="C233" s="346" t="s">
        <v>1432</v>
      </c>
      <c r="D233" s="354"/>
      <c r="E233" s="354" t="s">
        <v>1249</v>
      </c>
      <c r="F233" s="354"/>
      <c r="G233" s="354"/>
      <c r="H233" s="345" t="s">
        <v>11</v>
      </c>
    </row>
    <row r="234" spans="1:8" x14ac:dyDescent="0.4">
      <c r="A234" s="346" t="s">
        <v>1414</v>
      </c>
      <c r="B234" s="346"/>
      <c r="C234" s="346" t="s">
        <v>1433</v>
      </c>
      <c r="D234" s="354"/>
      <c r="E234" s="354" t="s">
        <v>1249</v>
      </c>
      <c r="F234" s="354"/>
      <c r="G234" s="354"/>
      <c r="H234" s="345"/>
    </row>
    <row r="235" spans="1:8" x14ac:dyDescent="0.4">
      <c r="A235" s="346" t="s">
        <v>1415</v>
      </c>
      <c r="B235" s="346"/>
      <c r="C235" s="346" t="s">
        <v>1434</v>
      </c>
      <c r="D235" s="354"/>
      <c r="E235" s="354" t="s">
        <v>1249</v>
      </c>
      <c r="F235" s="354"/>
      <c r="G235" s="354"/>
      <c r="H235" s="345"/>
    </row>
    <row r="236" spans="1:8" x14ac:dyDescent="0.4">
      <c r="A236" s="346" t="s">
        <v>1416</v>
      </c>
      <c r="B236" s="346"/>
      <c r="C236" s="346" t="s">
        <v>1435</v>
      </c>
      <c r="D236" s="354"/>
      <c r="E236" s="354" t="s">
        <v>1249</v>
      </c>
      <c r="F236" s="354"/>
      <c r="G236" s="354"/>
      <c r="H236" s="345"/>
    </row>
    <row r="237" spans="1:8" x14ac:dyDescent="0.4">
      <c r="A237" s="346" t="s">
        <v>1417</v>
      </c>
      <c r="B237" s="346"/>
      <c r="C237" s="346" t="s">
        <v>1436</v>
      </c>
      <c r="D237" s="354"/>
      <c r="E237" s="354" t="s">
        <v>1249</v>
      </c>
      <c r="F237" s="354"/>
      <c r="G237" s="354"/>
      <c r="H237" s="345"/>
    </row>
    <row r="238" spans="1:8" x14ac:dyDescent="0.4">
      <c r="A238" s="346" t="s">
        <v>1418</v>
      </c>
      <c r="B238" s="346"/>
      <c r="C238" s="346" t="s">
        <v>1437</v>
      </c>
      <c r="D238" s="354"/>
      <c r="E238" s="354" t="s">
        <v>1249</v>
      </c>
      <c r="F238" s="354"/>
      <c r="G238" s="354"/>
      <c r="H238" s="345"/>
    </row>
    <row r="239" spans="1:8" x14ac:dyDescent="0.4">
      <c r="A239" s="346" t="s">
        <v>1419</v>
      </c>
      <c r="B239" s="346"/>
      <c r="C239" s="346" t="s">
        <v>1438</v>
      </c>
      <c r="D239" s="354"/>
      <c r="E239" s="354" t="s">
        <v>1249</v>
      </c>
      <c r="F239" s="354"/>
      <c r="G239" s="354"/>
      <c r="H239" s="345"/>
    </row>
    <row r="240" spans="1:8" x14ac:dyDescent="0.4">
      <c r="A240" s="346" t="s">
        <v>1420</v>
      </c>
      <c r="B240" s="346"/>
      <c r="C240" s="346" t="s">
        <v>1439</v>
      </c>
      <c r="D240" s="354"/>
      <c r="E240" s="354" t="s">
        <v>1249</v>
      </c>
      <c r="F240" s="354"/>
      <c r="G240" s="354"/>
      <c r="H240" s="345"/>
    </row>
    <row r="241" spans="1:8" x14ac:dyDescent="0.4">
      <c r="A241" s="346" t="s">
        <v>1421</v>
      </c>
      <c r="B241" s="346"/>
      <c r="C241" s="346" t="s">
        <v>1440</v>
      </c>
      <c r="D241" s="354"/>
      <c r="E241" s="354" t="s">
        <v>1249</v>
      </c>
      <c r="F241" s="354"/>
      <c r="G241" s="354"/>
      <c r="H241" s="345"/>
    </row>
    <row r="242" spans="1:8" x14ac:dyDescent="0.4">
      <c r="A242" s="346" t="s">
        <v>1422</v>
      </c>
      <c r="B242" s="346"/>
      <c r="C242" s="346" t="s">
        <v>1441</v>
      </c>
      <c r="D242" s="354"/>
      <c r="E242" s="354" t="s">
        <v>1249</v>
      </c>
      <c r="F242" s="354"/>
      <c r="G242" s="354"/>
      <c r="H242" s="345"/>
    </row>
    <row r="243" spans="1:8" x14ac:dyDescent="0.4">
      <c r="A243" s="346" t="s">
        <v>1423</v>
      </c>
      <c r="B243" s="346"/>
      <c r="C243" s="346" t="s">
        <v>1442</v>
      </c>
      <c r="D243" s="354"/>
      <c r="E243" s="354" t="s">
        <v>1249</v>
      </c>
      <c r="F243" s="354"/>
      <c r="G243" s="354"/>
      <c r="H243" s="345"/>
    </row>
    <row r="244" spans="1:8" x14ac:dyDescent="0.4">
      <c r="A244" s="346" t="s">
        <v>1424</v>
      </c>
      <c r="B244" s="346"/>
      <c r="C244" s="346" t="s">
        <v>1443</v>
      </c>
      <c r="D244" s="354"/>
      <c r="E244" s="354" t="s">
        <v>1444</v>
      </c>
      <c r="F244" s="354"/>
      <c r="G244" s="354"/>
      <c r="H244" s="345"/>
    </row>
    <row r="245" spans="1:8" x14ac:dyDescent="0.4">
      <c r="A245" s="346" t="s">
        <v>1425</v>
      </c>
      <c r="B245" s="346"/>
      <c r="C245" s="346" t="s">
        <v>1445</v>
      </c>
      <c r="D245" s="354"/>
      <c r="E245" s="354" t="s">
        <v>1249</v>
      </c>
      <c r="F245" s="354"/>
      <c r="G245" s="354"/>
      <c r="H245" s="345"/>
    </row>
    <row r="246" spans="1:8" x14ac:dyDescent="0.4">
      <c r="A246" s="346" t="s">
        <v>1426</v>
      </c>
      <c r="B246" s="346"/>
      <c r="C246" s="346" t="s">
        <v>1446</v>
      </c>
      <c r="D246" s="354"/>
      <c r="E246" s="354"/>
      <c r="F246" s="354"/>
      <c r="G246" s="354"/>
      <c r="H246" s="345"/>
    </row>
    <row r="247" spans="1:8" x14ac:dyDescent="0.4">
      <c r="A247" s="346" t="s">
        <v>1413</v>
      </c>
      <c r="B247" s="346"/>
      <c r="C247" s="346" t="s">
        <v>1432</v>
      </c>
      <c r="D247" s="354"/>
      <c r="E247" s="354"/>
      <c r="F247" s="354"/>
      <c r="G247" s="354"/>
      <c r="H247" s="345"/>
    </row>
    <row r="248" spans="1:8" x14ac:dyDescent="0.4">
      <c r="A248" s="346" t="s">
        <v>1427</v>
      </c>
      <c r="B248" s="346"/>
      <c r="C248" s="346" t="s">
        <v>1447</v>
      </c>
      <c r="D248" s="354"/>
      <c r="E248" s="354"/>
      <c r="F248" s="354"/>
      <c r="G248" s="354"/>
      <c r="H248" s="345"/>
    </row>
    <row r="249" spans="1:8" x14ac:dyDescent="0.4">
      <c r="A249" s="346" t="s">
        <v>1428</v>
      </c>
      <c r="B249" s="346"/>
      <c r="C249" s="346" t="s">
        <v>1448</v>
      </c>
      <c r="D249" s="354" t="s">
        <v>76</v>
      </c>
      <c r="E249" s="354"/>
      <c r="F249" s="354"/>
      <c r="G249" s="354"/>
      <c r="H249" s="345"/>
    </row>
    <row r="250" spans="1:8" x14ac:dyDescent="0.4">
      <c r="A250" s="346" t="s">
        <v>1429</v>
      </c>
      <c r="B250" s="346"/>
      <c r="C250" s="346" t="s">
        <v>1449</v>
      </c>
      <c r="D250" s="354"/>
      <c r="E250" s="354"/>
      <c r="F250" s="354"/>
      <c r="G250" s="354"/>
      <c r="H250" s="345"/>
    </row>
    <row r="251" spans="1:8" x14ac:dyDescent="0.4">
      <c r="A251" s="346" t="s">
        <v>1430</v>
      </c>
      <c r="B251" s="346"/>
      <c r="C251" s="346" t="s">
        <v>1450</v>
      </c>
      <c r="D251" s="354"/>
      <c r="E251" s="354"/>
      <c r="F251" s="354"/>
      <c r="G251" s="354"/>
      <c r="H251" s="345"/>
    </row>
    <row r="252" spans="1:8" x14ac:dyDescent="0.4">
      <c r="A252" s="346" t="s">
        <v>1431</v>
      </c>
      <c r="B252" s="346"/>
      <c r="C252" s="346" t="s">
        <v>1451</v>
      </c>
      <c r="D252" s="354" t="s">
        <v>1452</v>
      </c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2480</v>
      </c>
      <c r="B290" s="346" t="s">
        <v>2314</v>
      </c>
      <c r="C290" s="346" t="s">
        <v>2481</v>
      </c>
      <c r="D290" s="354" t="s">
        <v>2455</v>
      </c>
      <c r="E290" s="354"/>
      <c r="F290" s="354" t="s">
        <v>2455</v>
      </c>
      <c r="G290" s="354"/>
      <c r="H290" s="345"/>
    </row>
    <row r="291" spans="1:8" x14ac:dyDescent="0.4">
      <c r="A291" s="346" t="s">
        <v>1453</v>
      </c>
      <c r="B291" s="346"/>
      <c r="C291" s="346" t="s">
        <v>1471</v>
      </c>
      <c r="D291" s="354"/>
      <c r="E291" s="354" t="s">
        <v>1249</v>
      </c>
      <c r="F291" s="354"/>
      <c r="G291" s="354"/>
      <c r="H291" s="345"/>
    </row>
    <row r="292" spans="1:8" x14ac:dyDescent="0.4">
      <c r="A292" s="346" t="s">
        <v>1454</v>
      </c>
      <c r="B292" s="346"/>
      <c r="C292" s="346" t="s">
        <v>1472</v>
      </c>
      <c r="D292" s="354" t="s">
        <v>56</v>
      </c>
      <c r="E292" s="354" t="s">
        <v>1249</v>
      </c>
      <c r="F292" s="354"/>
      <c r="G292" s="354"/>
      <c r="H292" s="345"/>
    </row>
    <row r="293" spans="1:8" x14ac:dyDescent="0.4">
      <c r="A293" s="346" t="s">
        <v>1455</v>
      </c>
      <c r="B293" s="346"/>
      <c r="C293" s="346" t="s">
        <v>1473</v>
      </c>
      <c r="D293" s="354"/>
      <c r="E293" s="354" t="s">
        <v>1249</v>
      </c>
      <c r="F293" s="354"/>
      <c r="G293" s="354"/>
      <c r="H293" s="345"/>
    </row>
    <row r="294" spans="1:8" x14ac:dyDescent="0.4">
      <c r="A294" s="346" t="s">
        <v>1456</v>
      </c>
      <c r="B294" s="346"/>
      <c r="C294" s="346" t="s">
        <v>1474</v>
      </c>
      <c r="D294" s="354"/>
      <c r="E294" s="354" t="s">
        <v>1249</v>
      </c>
      <c r="F294" s="354"/>
      <c r="G294" s="354"/>
      <c r="H294" s="345"/>
    </row>
    <row r="295" spans="1:8" x14ac:dyDescent="0.4">
      <c r="A295" s="346" t="s">
        <v>1457</v>
      </c>
      <c r="B295" s="346"/>
      <c r="C295" s="346" t="s">
        <v>1475</v>
      </c>
      <c r="D295" s="354"/>
      <c r="E295" s="354" t="s">
        <v>1249</v>
      </c>
      <c r="F295" s="354"/>
      <c r="G295" s="354"/>
      <c r="H295" s="345"/>
    </row>
    <row r="296" spans="1:8" x14ac:dyDescent="0.4">
      <c r="A296" s="346" t="s">
        <v>1458</v>
      </c>
      <c r="B296" s="346"/>
      <c r="C296" s="346" t="s">
        <v>1476</v>
      </c>
      <c r="D296" s="354"/>
      <c r="E296" s="354" t="s">
        <v>1249</v>
      </c>
      <c r="F296" s="354"/>
      <c r="G296" s="354"/>
      <c r="H296" s="345"/>
    </row>
    <row r="297" spans="1:8" x14ac:dyDescent="0.4">
      <c r="A297" s="346" t="s">
        <v>1459</v>
      </c>
      <c r="B297" s="346"/>
      <c r="C297" s="346" t="s">
        <v>1477</v>
      </c>
      <c r="D297" s="354"/>
      <c r="E297" s="354" t="s">
        <v>1249</v>
      </c>
      <c r="F297" s="354"/>
      <c r="G297" s="354"/>
      <c r="H297" s="345"/>
    </row>
    <row r="298" spans="1:8" x14ac:dyDescent="0.4">
      <c r="A298" s="346" t="s">
        <v>1460</v>
      </c>
      <c r="B298" s="346"/>
      <c r="C298" s="346" t="s">
        <v>1478</v>
      </c>
      <c r="D298" s="354"/>
      <c r="E298" s="354" t="s">
        <v>1249</v>
      </c>
      <c r="F298" s="354"/>
      <c r="G298" s="354"/>
      <c r="H298" s="345"/>
    </row>
    <row r="299" spans="1:8" x14ac:dyDescent="0.4">
      <c r="A299" s="346" t="s">
        <v>1461</v>
      </c>
      <c r="B299" s="346"/>
      <c r="C299" s="346" t="s">
        <v>1479</v>
      </c>
      <c r="D299" s="354"/>
      <c r="E299" s="354" t="s">
        <v>1249</v>
      </c>
      <c r="F299" s="354"/>
      <c r="G299" s="354"/>
      <c r="H299" s="345"/>
    </row>
    <row r="300" spans="1:8" x14ac:dyDescent="0.4">
      <c r="A300" s="346" t="s">
        <v>1462</v>
      </c>
      <c r="B300" s="346"/>
      <c r="C300" s="346" t="s">
        <v>1480</v>
      </c>
      <c r="D300" s="354"/>
      <c r="E300" s="354" t="s">
        <v>1249</v>
      </c>
      <c r="F300" s="354"/>
      <c r="G300" s="354"/>
      <c r="H300" s="345"/>
    </row>
    <row r="301" spans="1:8" x14ac:dyDescent="0.4">
      <c r="A301" s="346" t="s">
        <v>1463</v>
      </c>
      <c r="B301" s="346"/>
      <c r="C301" s="346" t="s">
        <v>1481</v>
      </c>
      <c r="D301" s="354"/>
      <c r="E301" s="354" t="s">
        <v>1249</v>
      </c>
      <c r="F301" s="354"/>
      <c r="G301" s="354"/>
      <c r="H301" s="345"/>
    </row>
    <row r="302" spans="1:8" x14ac:dyDescent="0.4">
      <c r="A302" s="346" t="s">
        <v>1464</v>
      </c>
      <c r="B302" s="346"/>
      <c r="C302" s="346" t="s">
        <v>1482</v>
      </c>
      <c r="D302" s="354"/>
      <c r="E302" s="354" t="s">
        <v>1249</v>
      </c>
      <c r="F302" s="354"/>
      <c r="G302" s="354"/>
      <c r="H302" s="345"/>
    </row>
    <row r="303" spans="1:8" x14ac:dyDescent="0.4">
      <c r="A303" s="346" t="s">
        <v>1465</v>
      </c>
      <c r="B303" s="346"/>
      <c r="C303" s="346" t="s">
        <v>1483</v>
      </c>
      <c r="D303" s="354"/>
      <c r="E303" s="354"/>
      <c r="F303" s="354"/>
      <c r="G303" s="354"/>
      <c r="H303" s="345"/>
    </row>
    <row r="304" spans="1:8" x14ac:dyDescent="0.4">
      <c r="A304" s="346" t="s">
        <v>1466</v>
      </c>
      <c r="B304" s="346"/>
      <c r="C304" s="346" t="s">
        <v>1484</v>
      </c>
      <c r="D304" s="354"/>
      <c r="E304" s="354" t="s">
        <v>1249</v>
      </c>
      <c r="F304" s="354"/>
      <c r="G304" s="354"/>
      <c r="H304" s="345"/>
    </row>
    <row r="305" spans="1:8" x14ac:dyDescent="0.4">
      <c r="A305" s="346" t="s">
        <v>1467</v>
      </c>
      <c r="B305" s="346"/>
      <c r="C305" s="346" t="s">
        <v>1485</v>
      </c>
      <c r="D305" s="354"/>
      <c r="E305" s="354" t="s">
        <v>1249</v>
      </c>
      <c r="F305" s="354"/>
      <c r="G305" s="354"/>
      <c r="H305" s="345"/>
    </row>
    <row r="306" spans="1:8" x14ac:dyDescent="0.4">
      <c r="A306" s="346" t="s">
        <v>1468</v>
      </c>
      <c r="B306" s="346"/>
      <c r="C306" s="346" t="s">
        <v>1486</v>
      </c>
      <c r="D306" s="354"/>
      <c r="E306" s="354" t="s">
        <v>1249</v>
      </c>
      <c r="F306" s="354"/>
      <c r="G306" s="354"/>
      <c r="H306" s="345"/>
    </row>
    <row r="307" spans="1:8" x14ac:dyDescent="0.4">
      <c r="A307" s="346" t="s">
        <v>1469</v>
      </c>
      <c r="B307" s="346"/>
      <c r="C307" s="346" t="s">
        <v>1487</v>
      </c>
      <c r="D307" s="354"/>
      <c r="E307" s="354"/>
      <c r="F307" s="354"/>
      <c r="G307" s="354"/>
      <c r="H307" s="345"/>
    </row>
    <row r="308" spans="1:8" x14ac:dyDescent="0.4">
      <c r="A308" s="346" t="s">
        <v>1470</v>
      </c>
      <c r="B308" s="346"/>
      <c r="C308" s="346" t="s">
        <v>1488</v>
      </c>
      <c r="D308" s="354"/>
      <c r="E308" s="354" t="s">
        <v>1249</v>
      </c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 t="s">
        <v>2492</v>
      </c>
      <c r="B323" s="346" t="s">
        <v>2321</v>
      </c>
      <c r="C323" s="346" t="s">
        <v>2493</v>
      </c>
      <c r="D323" s="354" t="s">
        <v>2455</v>
      </c>
      <c r="E323" s="354"/>
      <c r="F323" s="354"/>
      <c r="G323" s="354"/>
      <c r="H323" s="345"/>
    </row>
    <row r="324" spans="1:8" x14ac:dyDescent="0.4">
      <c r="A324" s="346" t="s">
        <v>1489</v>
      </c>
      <c r="B324" s="346"/>
      <c r="C324" s="346" t="s">
        <v>1492</v>
      </c>
      <c r="D324" s="354"/>
      <c r="E324" s="354" t="s">
        <v>1249</v>
      </c>
      <c r="F324" s="354"/>
      <c r="G324" s="354"/>
      <c r="H324" s="345"/>
    </row>
    <row r="325" spans="1:8" x14ac:dyDescent="0.4">
      <c r="A325" s="346" t="s">
        <v>1490</v>
      </c>
      <c r="B325" s="346"/>
      <c r="C325" s="346" t="s">
        <v>1493</v>
      </c>
      <c r="D325" s="354"/>
      <c r="E325" s="354" t="s">
        <v>1249</v>
      </c>
      <c r="F325" s="354"/>
      <c r="G325" s="354"/>
      <c r="H325" s="345"/>
    </row>
    <row r="326" spans="1:8" x14ac:dyDescent="0.4">
      <c r="A326" s="346" t="s">
        <v>1491</v>
      </c>
      <c r="B326" s="346"/>
      <c r="C326" s="346" t="s">
        <v>1494</v>
      </c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 t="s">
        <v>1495</v>
      </c>
      <c r="B351" s="346"/>
      <c r="C351" s="346" t="s">
        <v>1499</v>
      </c>
      <c r="D351" s="354"/>
      <c r="E351" s="354" t="s">
        <v>1249</v>
      </c>
      <c r="F351" s="354"/>
      <c r="G351" s="354"/>
      <c r="H351" s="345"/>
    </row>
    <row r="352" spans="1:8" x14ac:dyDescent="0.4">
      <c r="A352" s="346" t="s">
        <v>1496</v>
      </c>
      <c r="B352" s="346"/>
      <c r="C352" s="346" t="s">
        <v>1500</v>
      </c>
      <c r="D352" s="354"/>
      <c r="E352" s="354" t="s">
        <v>1249</v>
      </c>
      <c r="F352" s="354"/>
      <c r="G352" s="354"/>
      <c r="H352" s="345"/>
    </row>
    <row r="353" spans="1:8" x14ac:dyDescent="0.4">
      <c r="A353" s="346" t="s">
        <v>1497</v>
      </c>
      <c r="B353" s="346"/>
      <c r="C353" s="346" t="s">
        <v>1501</v>
      </c>
      <c r="D353" s="354"/>
      <c r="E353" s="354"/>
      <c r="F353" s="354"/>
      <c r="G353" s="354"/>
      <c r="H353" s="345"/>
    </row>
    <row r="354" spans="1:8" x14ac:dyDescent="0.4">
      <c r="A354" s="346" t="s">
        <v>1498</v>
      </c>
      <c r="B354" s="346"/>
      <c r="C354" s="346" t="s">
        <v>1502</v>
      </c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 t="s">
        <v>1503</v>
      </c>
      <c r="B383" s="346"/>
      <c r="C383" s="346" t="s">
        <v>1510</v>
      </c>
      <c r="D383" s="354"/>
      <c r="E383" s="354" t="s">
        <v>1249</v>
      </c>
      <c r="F383" s="354"/>
      <c r="G383" s="354"/>
      <c r="H383" s="345"/>
    </row>
    <row r="384" spans="1:8" x14ac:dyDescent="0.4">
      <c r="A384" s="346" t="s">
        <v>1504</v>
      </c>
      <c r="B384" s="346"/>
      <c r="C384" s="346" t="s">
        <v>1511</v>
      </c>
      <c r="D384" s="354"/>
      <c r="E384" s="354" t="s">
        <v>1249</v>
      </c>
      <c r="F384" s="354"/>
      <c r="G384" s="354"/>
      <c r="H384" s="345"/>
    </row>
    <row r="385" spans="1:8" x14ac:dyDescent="0.4">
      <c r="A385" s="346" t="s">
        <v>1505</v>
      </c>
      <c r="B385" s="346"/>
      <c r="C385" s="346" t="s">
        <v>1511</v>
      </c>
      <c r="D385" s="354"/>
      <c r="E385" s="354" t="s">
        <v>1249</v>
      </c>
      <c r="F385" s="354"/>
      <c r="G385" s="354"/>
      <c r="H385" s="345"/>
    </row>
    <row r="386" spans="1:8" x14ac:dyDescent="0.4">
      <c r="A386" s="346" t="s">
        <v>1506</v>
      </c>
      <c r="B386" s="346"/>
      <c r="C386" s="346" t="s">
        <v>1512</v>
      </c>
      <c r="D386" s="354"/>
      <c r="E386" s="354" t="s">
        <v>1249</v>
      </c>
      <c r="F386" s="354"/>
      <c r="G386" s="354"/>
      <c r="H386" s="345"/>
    </row>
    <row r="387" spans="1:8" x14ac:dyDescent="0.4">
      <c r="A387" s="346" t="s">
        <v>1507</v>
      </c>
      <c r="B387" s="346"/>
      <c r="C387" s="346" t="s">
        <v>1513</v>
      </c>
      <c r="D387" s="354"/>
      <c r="E387" s="354" t="s">
        <v>1249</v>
      </c>
      <c r="F387" s="354"/>
      <c r="G387" s="354"/>
      <c r="H387" s="345"/>
    </row>
    <row r="388" spans="1:8" x14ac:dyDescent="0.4">
      <c r="A388" s="346" t="s">
        <v>1508</v>
      </c>
      <c r="B388" s="346"/>
      <c r="C388" s="346" t="s">
        <v>1514</v>
      </c>
      <c r="D388" s="354"/>
      <c r="E388" s="354"/>
      <c r="F388" s="354"/>
      <c r="G388" s="354"/>
      <c r="H388" s="345"/>
    </row>
    <row r="389" spans="1:8" x14ac:dyDescent="0.4">
      <c r="A389" s="346" t="s">
        <v>1509</v>
      </c>
      <c r="B389" s="346"/>
      <c r="C389" s="346" t="s">
        <v>1515</v>
      </c>
      <c r="D389" s="354"/>
      <c r="E389" s="354" t="s">
        <v>1249</v>
      </c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5B670-657A-420A-9768-688F539C3631}">
  <sheetPr codeName="Sheet20"/>
  <dimension ref="A1:H448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x14ac:dyDescent="0.4">
      <c r="A5" s="346" t="s">
        <v>1578</v>
      </c>
      <c r="B5" s="346"/>
      <c r="C5" s="346" t="s">
        <v>1631</v>
      </c>
      <c r="D5" s="354"/>
      <c r="E5" s="354"/>
      <c r="F5" s="354"/>
      <c r="G5" s="354"/>
      <c r="H5" s="345" t="s">
        <v>67</v>
      </c>
    </row>
    <row r="6" spans="1:8" x14ac:dyDescent="0.4">
      <c r="A6" s="346" t="s">
        <v>1579</v>
      </c>
      <c r="B6" s="346"/>
      <c r="C6" s="346" t="s">
        <v>1632</v>
      </c>
      <c r="D6" s="354" t="s">
        <v>1633</v>
      </c>
      <c r="E6" s="354">
        <v>9600</v>
      </c>
      <c r="F6" s="354"/>
      <c r="G6" s="354"/>
      <c r="H6" s="347" t="s">
        <v>70</v>
      </c>
    </row>
    <row r="7" spans="1:8" x14ac:dyDescent="0.4">
      <c r="A7" s="346" t="s">
        <v>1580</v>
      </c>
      <c r="B7" s="346"/>
      <c r="C7" s="346" t="s">
        <v>1634</v>
      </c>
      <c r="D7" s="354" t="s">
        <v>1633</v>
      </c>
      <c r="E7" s="354">
        <v>6400</v>
      </c>
      <c r="F7" s="354"/>
      <c r="G7" s="354"/>
      <c r="H7" s="345" t="s">
        <v>73</v>
      </c>
    </row>
    <row r="8" spans="1:8" x14ac:dyDescent="0.4">
      <c r="A8" s="346" t="s">
        <v>1581</v>
      </c>
      <c r="B8" s="346"/>
      <c r="C8" s="346" t="s">
        <v>1635</v>
      </c>
      <c r="D8" s="354" t="s">
        <v>1633</v>
      </c>
      <c r="E8" s="354">
        <v>2900</v>
      </c>
      <c r="F8" s="354"/>
      <c r="G8" s="354"/>
      <c r="H8" s="345" t="s">
        <v>77</v>
      </c>
    </row>
    <row r="9" spans="1:8" x14ac:dyDescent="0.4">
      <c r="A9" s="346" t="s">
        <v>1582</v>
      </c>
      <c r="B9" s="346"/>
      <c r="C9" s="346" t="s">
        <v>1636</v>
      </c>
      <c r="D9" s="354" t="s">
        <v>1633</v>
      </c>
      <c r="E9" s="354">
        <v>1500</v>
      </c>
      <c r="F9" s="354"/>
      <c r="G9" s="354"/>
      <c r="H9" s="345" t="s">
        <v>80</v>
      </c>
    </row>
    <row r="10" spans="1:8" x14ac:dyDescent="0.4">
      <c r="A10" s="346" t="s">
        <v>1583</v>
      </c>
      <c r="B10" s="346"/>
      <c r="C10" s="346" t="s">
        <v>1637</v>
      </c>
      <c r="D10" s="354" t="s">
        <v>1633</v>
      </c>
      <c r="E10" s="354">
        <v>5200</v>
      </c>
      <c r="F10" s="354"/>
      <c r="G10" s="354"/>
      <c r="H10" s="345" t="s">
        <v>83</v>
      </c>
    </row>
    <row r="11" spans="1:8" x14ac:dyDescent="0.4">
      <c r="A11" s="346" t="s">
        <v>1584</v>
      </c>
      <c r="B11" s="346"/>
      <c r="C11" s="346" t="s">
        <v>1638</v>
      </c>
      <c r="D11" s="354" t="s">
        <v>1639</v>
      </c>
      <c r="E11" s="354" t="s">
        <v>1640</v>
      </c>
      <c r="F11" s="354"/>
      <c r="G11" s="354"/>
      <c r="H11" s="345" t="s">
        <v>87</v>
      </c>
    </row>
    <row r="12" spans="1:8" x14ac:dyDescent="0.4">
      <c r="A12" s="346" t="s">
        <v>1585</v>
      </c>
      <c r="B12" s="346"/>
      <c r="C12" s="346" t="s">
        <v>1641</v>
      </c>
      <c r="D12" s="354" t="s">
        <v>1633</v>
      </c>
      <c r="E12" s="354"/>
      <c r="F12" s="354"/>
      <c r="G12" s="354"/>
      <c r="H12" s="345" t="s">
        <v>90</v>
      </c>
    </row>
    <row r="13" spans="1:8" x14ac:dyDescent="0.4">
      <c r="A13" s="346" t="s">
        <v>1586</v>
      </c>
      <c r="B13" s="346"/>
      <c r="C13" s="346" t="s">
        <v>1642</v>
      </c>
      <c r="D13" s="354" t="s">
        <v>1643</v>
      </c>
      <c r="E13" s="354" t="s">
        <v>1644</v>
      </c>
      <c r="F13" s="354"/>
      <c r="G13" s="354"/>
      <c r="H13" s="345"/>
    </row>
    <row r="14" spans="1:8" x14ac:dyDescent="0.4">
      <c r="A14" s="346" t="s">
        <v>1587</v>
      </c>
      <c r="B14" s="346"/>
      <c r="C14" s="346" t="s">
        <v>1645</v>
      </c>
      <c r="D14" s="354" t="s">
        <v>1633</v>
      </c>
      <c r="E14" s="354" t="s">
        <v>1646</v>
      </c>
      <c r="F14" s="354"/>
      <c r="G14" s="354"/>
      <c r="H14" s="345"/>
    </row>
    <row r="15" spans="1:8" x14ac:dyDescent="0.4">
      <c r="A15" s="346" t="s">
        <v>1588</v>
      </c>
      <c r="B15" s="346"/>
      <c r="C15" s="346" t="s">
        <v>1647</v>
      </c>
      <c r="D15" s="354" t="s">
        <v>1648</v>
      </c>
      <c r="E15" s="354">
        <v>5800</v>
      </c>
      <c r="F15" s="354"/>
      <c r="G15" s="354"/>
      <c r="H15" s="345"/>
    </row>
    <row r="16" spans="1:8" x14ac:dyDescent="0.4">
      <c r="A16" s="346" t="s">
        <v>1589</v>
      </c>
      <c r="B16" s="346"/>
      <c r="C16" s="346" t="s">
        <v>1649</v>
      </c>
      <c r="D16" s="354" t="s">
        <v>1633</v>
      </c>
      <c r="E16" s="354">
        <v>1632</v>
      </c>
      <c r="F16" s="354"/>
      <c r="G16" s="354"/>
      <c r="H16" s="345"/>
    </row>
    <row r="17" spans="1:8" x14ac:dyDescent="0.4">
      <c r="A17" s="346" t="s">
        <v>1590</v>
      </c>
      <c r="B17" s="346"/>
      <c r="C17" s="346" t="s">
        <v>1650</v>
      </c>
      <c r="D17" s="354"/>
      <c r="E17" s="354"/>
      <c r="F17" s="354"/>
      <c r="G17" s="354"/>
      <c r="H17" s="345"/>
    </row>
    <row r="18" spans="1:8" x14ac:dyDescent="0.4">
      <c r="A18" s="346" t="s">
        <v>1591</v>
      </c>
      <c r="B18" s="346"/>
      <c r="C18" s="346" t="s">
        <v>1651</v>
      </c>
      <c r="D18" s="354"/>
      <c r="E18" s="354"/>
      <c r="F18" s="354"/>
      <c r="G18" s="354"/>
      <c r="H18" s="345"/>
    </row>
    <row r="19" spans="1:8" x14ac:dyDescent="0.4">
      <c r="A19" s="346" t="s">
        <v>1592</v>
      </c>
      <c r="B19" s="346"/>
      <c r="C19" s="346" t="s">
        <v>1652</v>
      </c>
      <c r="D19" s="354"/>
      <c r="E19" s="354"/>
      <c r="F19" s="354"/>
      <c r="G19" s="354"/>
      <c r="H19" s="345"/>
    </row>
    <row r="20" spans="1:8" x14ac:dyDescent="0.4">
      <c r="A20" s="346" t="s">
        <v>1593</v>
      </c>
      <c r="B20" s="346"/>
      <c r="C20" s="346" t="s">
        <v>1653</v>
      </c>
      <c r="D20" s="354" t="s">
        <v>1654</v>
      </c>
      <c r="E20" s="354" t="s">
        <v>1644</v>
      </c>
      <c r="F20" s="354"/>
      <c r="G20" s="354"/>
      <c r="H20" s="345"/>
    </row>
    <row r="21" spans="1:8" x14ac:dyDescent="0.4">
      <c r="A21" s="346" t="s">
        <v>1594</v>
      </c>
      <c r="B21" s="346"/>
      <c r="C21" s="346" t="s">
        <v>1655</v>
      </c>
      <c r="D21" s="354" t="s">
        <v>1656</v>
      </c>
      <c r="E21" s="354">
        <v>2000</v>
      </c>
      <c r="F21" s="354"/>
      <c r="G21" s="354"/>
      <c r="H21" s="345"/>
    </row>
    <row r="22" spans="1:8" x14ac:dyDescent="0.4">
      <c r="A22" s="346" t="s">
        <v>1595</v>
      </c>
      <c r="B22" s="346"/>
      <c r="C22" s="346" t="s">
        <v>1657</v>
      </c>
      <c r="D22" s="354" t="s">
        <v>1658</v>
      </c>
      <c r="E22" s="354">
        <v>5800</v>
      </c>
      <c r="F22" s="354"/>
      <c r="G22" s="354"/>
      <c r="H22" s="345"/>
    </row>
    <row r="23" spans="1:8" x14ac:dyDescent="0.4">
      <c r="A23" s="346" t="s">
        <v>1596</v>
      </c>
      <c r="B23" s="346"/>
      <c r="C23" s="346" t="s">
        <v>1659</v>
      </c>
      <c r="D23" s="354" t="s">
        <v>1633</v>
      </c>
      <c r="E23" s="354">
        <v>3200</v>
      </c>
      <c r="F23" s="354"/>
      <c r="G23" s="354"/>
      <c r="H23" s="345"/>
    </row>
    <row r="24" spans="1:8" x14ac:dyDescent="0.4">
      <c r="A24" s="346" t="s">
        <v>1597</v>
      </c>
      <c r="B24" s="346"/>
      <c r="C24" s="346" t="s">
        <v>1660</v>
      </c>
      <c r="D24" s="354"/>
      <c r="E24" s="354"/>
      <c r="F24" s="354"/>
      <c r="G24" s="354"/>
      <c r="H24" s="345"/>
    </row>
    <row r="25" spans="1:8" x14ac:dyDescent="0.4">
      <c r="A25" s="346" t="s">
        <v>1598</v>
      </c>
      <c r="B25" s="346"/>
      <c r="C25" s="346" t="s">
        <v>1661</v>
      </c>
      <c r="D25" s="354"/>
      <c r="E25" s="354"/>
      <c r="F25" s="354"/>
      <c r="G25" s="354"/>
      <c r="H25" s="345"/>
    </row>
    <row r="26" spans="1:8" x14ac:dyDescent="0.4">
      <c r="A26" s="346" t="s">
        <v>1599</v>
      </c>
      <c r="B26" s="346"/>
      <c r="C26" s="346" t="s">
        <v>1662</v>
      </c>
      <c r="D26" s="354" t="s">
        <v>1663</v>
      </c>
      <c r="E26" s="354">
        <v>1326</v>
      </c>
      <c r="F26" s="354"/>
      <c r="G26" s="354"/>
      <c r="H26" s="345"/>
    </row>
    <row r="27" spans="1:8" x14ac:dyDescent="0.4">
      <c r="A27" s="346" t="s">
        <v>1600</v>
      </c>
      <c r="B27" s="346"/>
      <c r="C27" s="346" t="s">
        <v>1664</v>
      </c>
      <c r="D27" s="354"/>
      <c r="E27" s="354"/>
      <c r="F27" s="354"/>
      <c r="G27" s="354"/>
      <c r="H27" s="345"/>
    </row>
    <row r="28" spans="1:8" x14ac:dyDescent="0.4">
      <c r="A28" s="346" t="s">
        <v>1601</v>
      </c>
      <c r="B28" s="346"/>
      <c r="C28" s="346" t="s">
        <v>1665</v>
      </c>
      <c r="D28" s="354"/>
      <c r="E28" s="354"/>
      <c r="F28" s="354"/>
      <c r="G28" s="354"/>
      <c r="H28" s="345"/>
    </row>
    <row r="29" spans="1:8" x14ac:dyDescent="0.4">
      <c r="A29" s="346" t="s">
        <v>1602</v>
      </c>
      <c r="B29" s="346"/>
      <c r="C29" s="346" t="s">
        <v>1666</v>
      </c>
      <c r="D29" s="354"/>
      <c r="E29" s="354"/>
      <c r="F29" s="354"/>
      <c r="G29" s="354"/>
      <c r="H29" s="345"/>
    </row>
    <row r="30" spans="1:8" x14ac:dyDescent="0.4">
      <c r="A30" s="346" t="s">
        <v>1603</v>
      </c>
      <c r="B30" s="346"/>
      <c r="C30" s="346" t="s">
        <v>1667</v>
      </c>
      <c r="D30" s="354"/>
      <c r="E30" s="354"/>
      <c r="F30" s="354"/>
      <c r="G30" s="354"/>
      <c r="H30" s="345"/>
    </row>
    <row r="31" spans="1:8" x14ac:dyDescent="0.4">
      <c r="A31" s="346" t="s">
        <v>1604</v>
      </c>
      <c r="B31" s="346"/>
      <c r="C31" s="346" t="s">
        <v>1668</v>
      </c>
      <c r="D31" s="354" t="s">
        <v>1669</v>
      </c>
      <c r="E31" s="354">
        <v>2000</v>
      </c>
      <c r="F31" s="354"/>
      <c r="G31" s="354"/>
      <c r="H31" s="345"/>
    </row>
    <row r="32" spans="1:8" x14ac:dyDescent="0.4">
      <c r="A32" s="346" t="s">
        <v>1605</v>
      </c>
      <c r="B32" s="346"/>
      <c r="C32" s="346" t="s">
        <v>1670</v>
      </c>
      <c r="D32" s="354" t="s">
        <v>1633</v>
      </c>
      <c r="E32" s="354" t="s">
        <v>1671</v>
      </c>
      <c r="F32" s="354"/>
      <c r="G32" s="354"/>
      <c r="H32" s="345"/>
    </row>
    <row r="33" spans="1:8" x14ac:dyDescent="0.4">
      <c r="A33" s="346" t="s">
        <v>1606</v>
      </c>
      <c r="B33" s="346"/>
      <c r="C33" s="346" t="s">
        <v>1672</v>
      </c>
      <c r="D33" s="354"/>
      <c r="E33" s="354"/>
      <c r="F33" s="354"/>
      <c r="G33" s="354"/>
      <c r="H33" s="345"/>
    </row>
    <row r="34" spans="1:8" x14ac:dyDescent="0.4">
      <c r="A34" s="346" t="s">
        <v>1607</v>
      </c>
      <c r="B34" s="346"/>
      <c r="C34" s="346" t="s">
        <v>1673</v>
      </c>
      <c r="D34" s="354" t="s">
        <v>1674</v>
      </c>
      <c r="E34" s="354">
        <v>5200</v>
      </c>
      <c r="F34" s="354"/>
      <c r="G34" s="354"/>
      <c r="H34" s="345"/>
    </row>
    <row r="35" spans="1:8" x14ac:dyDescent="0.4">
      <c r="A35" s="346" t="s">
        <v>1608</v>
      </c>
      <c r="B35" s="346"/>
      <c r="C35" s="346" t="s">
        <v>1675</v>
      </c>
      <c r="D35" s="354" t="s">
        <v>1676</v>
      </c>
      <c r="E35" s="354" t="s">
        <v>1676</v>
      </c>
      <c r="F35" s="354"/>
      <c r="G35" s="354"/>
      <c r="H35" s="345"/>
    </row>
    <row r="36" spans="1:8" x14ac:dyDescent="0.4">
      <c r="A36" s="346" t="s">
        <v>1609</v>
      </c>
      <c r="B36" s="346"/>
      <c r="C36" s="346" t="s">
        <v>1677</v>
      </c>
      <c r="D36" s="354"/>
      <c r="E36" s="354"/>
      <c r="F36" s="354"/>
      <c r="G36" s="354"/>
      <c r="H36" s="345"/>
    </row>
    <row r="37" spans="1:8" x14ac:dyDescent="0.4">
      <c r="A37" s="346" t="s">
        <v>1610</v>
      </c>
      <c r="B37" s="346"/>
      <c r="C37" s="346" t="s">
        <v>1678</v>
      </c>
      <c r="D37" s="354"/>
      <c r="E37" s="354"/>
      <c r="F37" s="354">
        <v>5200</v>
      </c>
      <c r="G37" s="354"/>
      <c r="H37" s="345"/>
    </row>
    <row r="38" spans="1:8" x14ac:dyDescent="0.4">
      <c r="A38" s="346" t="s">
        <v>1611</v>
      </c>
      <c r="B38" s="346"/>
      <c r="C38" s="346" t="s">
        <v>1679</v>
      </c>
      <c r="D38" s="354"/>
      <c r="E38" s="354"/>
      <c r="F38" s="354"/>
      <c r="G38" s="354"/>
      <c r="H38" s="345"/>
    </row>
    <row r="39" spans="1:8" x14ac:dyDescent="0.4">
      <c r="A39" s="346" t="s">
        <v>1612</v>
      </c>
      <c r="B39" s="346"/>
      <c r="C39" s="346" t="s">
        <v>1680</v>
      </c>
      <c r="D39" s="354" t="s">
        <v>1681</v>
      </c>
      <c r="E39" s="354" t="s">
        <v>1640</v>
      </c>
      <c r="F39" s="354"/>
      <c r="G39" s="354"/>
      <c r="H39" s="345"/>
    </row>
    <row r="40" spans="1:8" x14ac:dyDescent="0.4">
      <c r="A40" s="346" t="s">
        <v>1613</v>
      </c>
      <c r="B40" s="346"/>
      <c r="C40" s="346" t="s">
        <v>1682</v>
      </c>
      <c r="D40" s="354" t="s">
        <v>1683</v>
      </c>
      <c r="E40" s="354">
        <v>1000</v>
      </c>
      <c r="F40" s="354"/>
      <c r="G40" s="354"/>
      <c r="H40" s="345"/>
    </row>
    <row r="41" spans="1:8" x14ac:dyDescent="0.4">
      <c r="A41" s="346" t="s">
        <v>1614</v>
      </c>
      <c r="B41" s="346"/>
      <c r="C41" s="346" t="s">
        <v>1684</v>
      </c>
      <c r="D41" s="354"/>
      <c r="E41" s="354">
        <v>1500</v>
      </c>
      <c r="F41" s="354"/>
      <c r="G41" s="354"/>
      <c r="H41" s="345"/>
    </row>
    <row r="42" spans="1:8" x14ac:dyDescent="0.4">
      <c r="A42" s="346" t="s">
        <v>1615</v>
      </c>
      <c r="B42" s="346"/>
      <c r="C42" s="346" t="s">
        <v>1685</v>
      </c>
      <c r="D42" s="354" t="s">
        <v>1676</v>
      </c>
      <c r="E42" s="354"/>
      <c r="F42" s="354"/>
      <c r="G42" s="354"/>
      <c r="H42" s="345"/>
    </row>
    <row r="43" spans="1:8" x14ac:dyDescent="0.4">
      <c r="A43" s="346" t="s">
        <v>1616</v>
      </c>
      <c r="B43" s="346"/>
      <c r="C43" s="346" t="s">
        <v>1686</v>
      </c>
      <c r="D43" s="354"/>
      <c r="E43" s="354"/>
      <c r="F43" s="354" t="s">
        <v>1687</v>
      </c>
      <c r="G43" s="354"/>
      <c r="H43" s="345"/>
    </row>
    <row r="44" spans="1:8" x14ac:dyDescent="0.4">
      <c r="A44" s="346" t="s">
        <v>1617</v>
      </c>
      <c r="B44" s="346"/>
      <c r="C44" s="346" t="s">
        <v>1688</v>
      </c>
      <c r="D44" s="354" t="s">
        <v>1633</v>
      </c>
      <c r="E44" s="354">
        <v>1300</v>
      </c>
      <c r="F44" s="354"/>
      <c r="G44" s="354"/>
      <c r="H44" s="345"/>
    </row>
    <row r="45" spans="1:8" x14ac:dyDescent="0.4">
      <c r="A45" s="346" t="s">
        <v>1618</v>
      </c>
      <c r="B45" s="346"/>
      <c r="C45" s="346" t="s">
        <v>1689</v>
      </c>
      <c r="D45" s="354" t="s">
        <v>1690</v>
      </c>
      <c r="E45" s="354">
        <v>5800</v>
      </c>
      <c r="F45" s="354"/>
      <c r="G45" s="354"/>
      <c r="H45" s="345"/>
    </row>
    <row r="46" spans="1:8" x14ac:dyDescent="0.4">
      <c r="A46" s="346" t="s">
        <v>1619</v>
      </c>
      <c r="B46" s="346"/>
      <c r="C46" s="346" t="s">
        <v>1691</v>
      </c>
      <c r="D46" s="354"/>
      <c r="E46" s="354"/>
      <c r="F46" s="354"/>
      <c r="G46" s="354"/>
      <c r="H46" s="345"/>
    </row>
    <row r="47" spans="1:8" x14ac:dyDescent="0.4">
      <c r="A47" s="346" t="s">
        <v>1620</v>
      </c>
      <c r="B47" s="346"/>
      <c r="C47" s="346" t="s">
        <v>1692</v>
      </c>
      <c r="D47" s="354"/>
      <c r="E47" s="354"/>
      <c r="F47" s="354"/>
      <c r="G47" s="354"/>
      <c r="H47" s="345"/>
    </row>
    <row r="48" spans="1:8" x14ac:dyDescent="0.4">
      <c r="A48" s="346" t="s">
        <v>1621</v>
      </c>
      <c r="B48" s="346"/>
      <c r="C48" s="346" t="s">
        <v>1693</v>
      </c>
      <c r="D48" s="354"/>
      <c r="E48" s="354"/>
      <c r="F48" s="354"/>
      <c r="G48" s="354"/>
      <c r="H48" s="345"/>
    </row>
    <row r="49" spans="1:8" x14ac:dyDescent="0.4">
      <c r="A49" s="346" t="s">
        <v>1622</v>
      </c>
      <c r="B49" s="346"/>
      <c r="C49" s="346" t="s">
        <v>1694</v>
      </c>
      <c r="D49" s="354"/>
      <c r="E49" s="354">
        <v>5200</v>
      </c>
      <c r="F49" s="354"/>
      <c r="G49" s="354"/>
      <c r="H49" s="345"/>
    </row>
    <row r="50" spans="1:8" x14ac:dyDescent="0.4">
      <c r="A50" s="346" t="s">
        <v>1623</v>
      </c>
      <c r="B50" s="346"/>
      <c r="C50" s="346" t="s">
        <v>1695</v>
      </c>
      <c r="D50" s="354" t="s">
        <v>1696</v>
      </c>
      <c r="E50" s="354" t="s">
        <v>1644</v>
      </c>
      <c r="F50" s="354"/>
      <c r="G50" s="354"/>
      <c r="H50" s="345"/>
    </row>
    <row r="51" spans="1:8" x14ac:dyDescent="0.4">
      <c r="A51" s="346" t="s">
        <v>1624</v>
      </c>
      <c r="B51" s="346"/>
      <c r="C51" s="346" t="s">
        <v>1697</v>
      </c>
      <c r="D51" s="354" t="s">
        <v>1658</v>
      </c>
      <c r="E51" s="354" t="s">
        <v>1698</v>
      </c>
      <c r="F51" s="354"/>
      <c r="G51" s="354"/>
      <c r="H51" s="345"/>
    </row>
    <row r="52" spans="1:8" x14ac:dyDescent="0.4">
      <c r="A52" s="346" t="s">
        <v>1625</v>
      </c>
      <c r="B52" s="346"/>
      <c r="C52" s="346" t="s">
        <v>1699</v>
      </c>
      <c r="D52" s="354"/>
      <c r="E52" s="354"/>
      <c r="F52" s="354" t="s">
        <v>1700</v>
      </c>
      <c r="G52" s="354"/>
      <c r="H52" s="345"/>
    </row>
    <row r="53" spans="1:8" x14ac:dyDescent="0.4">
      <c r="A53" s="346" t="s">
        <v>1626</v>
      </c>
      <c r="B53" s="346"/>
      <c r="C53" s="346" t="s">
        <v>1701</v>
      </c>
      <c r="D53" s="354" t="s">
        <v>1633</v>
      </c>
      <c r="E53" s="354" t="s">
        <v>1702</v>
      </c>
      <c r="F53" s="354"/>
      <c r="G53" s="354"/>
      <c r="H53" s="345"/>
    </row>
    <row r="54" spans="1:8" x14ac:dyDescent="0.4">
      <c r="A54" s="346" t="s">
        <v>1627</v>
      </c>
      <c r="B54" s="346"/>
      <c r="C54" s="346" t="s">
        <v>1703</v>
      </c>
      <c r="D54" s="354" t="s">
        <v>1704</v>
      </c>
      <c r="E54" s="354">
        <v>3200</v>
      </c>
      <c r="F54" s="354"/>
      <c r="G54" s="354"/>
      <c r="H54" s="345"/>
    </row>
    <row r="55" spans="1:8" x14ac:dyDescent="0.4">
      <c r="A55" s="346" t="s">
        <v>1628</v>
      </c>
      <c r="B55" s="346"/>
      <c r="C55" s="346" t="s">
        <v>1705</v>
      </c>
      <c r="D55" s="354" t="s">
        <v>1676</v>
      </c>
      <c r="E55" s="354"/>
      <c r="F55" s="354"/>
      <c r="G55" s="354"/>
      <c r="H55" s="345"/>
    </row>
    <row r="56" spans="1:8" x14ac:dyDescent="0.4">
      <c r="A56" s="346" t="s">
        <v>1629</v>
      </c>
      <c r="B56" s="346"/>
      <c r="C56" s="346" t="s">
        <v>1706</v>
      </c>
      <c r="D56" s="354" t="s">
        <v>1676</v>
      </c>
      <c r="E56" s="354"/>
      <c r="F56" s="354"/>
      <c r="G56" s="354"/>
      <c r="H56" s="345"/>
    </row>
    <row r="57" spans="1:8" x14ac:dyDescent="0.4">
      <c r="A57" s="346" t="s">
        <v>1630</v>
      </c>
      <c r="B57" s="346"/>
      <c r="C57" s="346" t="s">
        <v>1707</v>
      </c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 t="s">
        <v>1708</v>
      </c>
      <c r="B67" s="346"/>
      <c r="C67" s="346" t="s">
        <v>1727</v>
      </c>
      <c r="D67" s="354" t="s">
        <v>1633</v>
      </c>
      <c r="E67" s="354" t="s">
        <v>1640</v>
      </c>
      <c r="F67" s="354"/>
      <c r="G67" s="354"/>
      <c r="H67" s="345"/>
    </row>
    <row r="68" spans="1:8" x14ac:dyDescent="0.4">
      <c r="A68" s="346" t="s">
        <v>1709</v>
      </c>
      <c r="B68" s="346"/>
      <c r="C68" s="346" t="s">
        <v>1728</v>
      </c>
      <c r="D68" s="354"/>
      <c r="E68" s="354"/>
      <c r="F68" s="354"/>
      <c r="G68" s="354"/>
      <c r="H68" s="345"/>
    </row>
    <row r="69" spans="1:8" x14ac:dyDescent="0.4">
      <c r="A69" s="346" t="s">
        <v>1721</v>
      </c>
      <c r="B69" s="346"/>
      <c r="C69" s="346" t="s">
        <v>1729</v>
      </c>
      <c r="D69" s="354"/>
      <c r="E69" s="354"/>
      <c r="F69" s="354"/>
      <c r="G69" s="354"/>
      <c r="H69" s="345"/>
    </row>
    <row r="70" spans="1:8" x14ac:dyDescent="0.4">
      <c r="A70" s="346" t="s">
        <v>1710</v>
      </c>
      <c r="B70" s="346"/>
      <c r="C70" s="346" t="s">
        <v>1730</v>
      </c>
      <c r="D70" s="354"/>
      <c r="E70" s="354"/>
      <c r="F70" s="354">
        <v>6400</v>
      </c>
      <c r="G70" s="354"/>
      <c r="H70" s="345"/>
    </row>
    <row r="71" spans="1:8" x14ac:dyDescent="0.4">
      <c r="A71" s="346" t="s">
        <v>1711</v>
      </c>
      <c r="B71" s="346"/>
      <c r="C71" s="346" t="s">
        <v>1731</v>
      </c>
      <c r="D71" s="354" t="s">
        <v>76</v>
      </c>
      <c r="E71" s="354" t="s">
        <v>1732</v>
      </c>
      <c r="F71" s="354"/>
      <c r="G71" s="354"/>
      <c r="H71" s="345"/>
    </row>
    <row r="72" spans="1:8" x14ac:dyDescent="0.4">
      <c r="A72" s="346" t="s">
        <v>1712</v>
      </c>
      <c r="B72" s="346"/>
      <c r="C72" s="346" t="s">
        <v>1733</v>
      </c>
      <c r="D72" s="354" t="s">
        <v>1676</v>
      </c>
      <c r="E72" s="354"/>
      <c r="F72" s="354"/>
      <c r="G72" s="354"/>
      <c r="H72" s="345"/>
    </row>
    <row r="73" spans="1:8" x14ac:dyDescent="0.4">
      <c r="A73" s="346" t="s">
        <v>1713</v>
      </c>
      <c r="B73" s="346"/>
      <c r="C73" s="346" t="s">
        <v>1734</v>
      </c>
      <c r="D73" s="354"/>
      <c r="E73" s="354"/>
      <c r="F73" s="354"/>
      <c r="G73" s="354"/>
      <c r="H73" s="345"/>
    </row>
    <row r="74" spans="1:8" x14ac:dyDescent="0.4">
      <c r="A74" s="346" t="s">
        <v>1714</v>
      </c>
      <c r="B74" s="346"/>
      <c r="C74" s="346" t="s">
        <v>1735</v>
      </c>
      <c r="D74" s="354"/>
      <c r="E74" s="354"/>
      <c r="F74" s="354"/>
      <c r="G74" s="354"/>
      <c r="H74" s="345"/>
    </row>
    <row r="75" spans="1:8" x14ac:dyDescent="0.4">
      <c r="A75" s="346" t="s">
        <v>1715</v>
      </c>
      <c r="B75" s="346"/>
      <c r="C75" s="346" t="s">
        <v>1736</v>
      </c>
      <c r="D75" s="354" t="s">
        <v>1633</v>
      </c>
      <c r="E75" s="354">
        <v>3900</v>
      </c>
      <c r="F75" s="354"/>
      <c r="G75" s="354"/>
      <c r="H75" s="345"/>
    </row>
    <row r="76" spans="1:8" x14ac:dyDescent="0.4">
      <c r="A76" s="346" t="s">
        <v>1716</v>
      </c>
      <c r="B76" s="346"/>
      <c r="C76" s="346" t="s">
        <v>1737</v>
      </c>
      <c r="D76" s="354" t="s">
        <v>1633</v>
      </c>
      <c r="E76" s="354">
        <v>1326</v>
      </c>
      <c r="F76" s="354"/>
      <c r="G76" s="354"/>
      <c r="H76" s="345"/>
    </row>
    <row r="77" spans="1:8" x14ac:dyDescent="0.4">
      <c r="A77" s="346" t="s">
        <v>1717</v>
      </c>
      <c r="B77" s="346"/>
      <c r="C77" s="346" t="s">
        <v>1738</v>
      </c>
      <c r="D77" s="354"/>
      <c r="E77" s="354"/>
      <c r="F77" s="354">
        <v>5200</v>
      </c>
      <c r="G77" s="354"/>
      <c r="H77" s="345"/>
    </row>
    <row r="78" spans="1:8" x14ac:dyDescent="0.4">
      <c r="A78" s="346" t="s">
        <v>1718</v>
      </c>
      <c r="B78" s="346"/>
      <c r="C78" s="346" t="s">
        <v>1739</v>
      </c>
      <c r="D78" s="354"/>
      <c r="E78" s="354">
        <v>3900</v>
      </c>
      <c r="F78" s="354"/>
      <c r="G78" s="354"/>
      <c r="H78" s="345"/>
    </row>
    <row r="79" spans="1:8" x14ac:dyDescent="0.4">
      <c r="A79" s="346" t="s">
        <v>1722</v>
      </c>
      <c r="B79" s="346"/>
      <c r="C79" s="346" t="s">
        <v>1740</v>
      </c>
      <c r="D79" s="354" t="s">
        <v>1741</v>
      </c>
      <c r="E79" s="354"/>
      <c r="F79" s="354"/>
      <c r="G79" s="354"/>
      <c r="H79" s="345"/>
    </row>
    <row r="80" spans="1:8" x14ac:dyDescent="0.4">
      <c r="A80" s="346" t="s">
        <v>1723</v>
      </c>
      <c r="B80" s="346"/>
      <c r="C80" s="346" t="s">
        <v>1742</v>
      </c>
      <c r="D80" s="354"/>
      <c r="E80" s="354">
        <v>6400</v>
      </c>
      <c r="F80" s="354"/>
      <c r="G80" s="354"/>
      <c r="H80" s="345"/>
    </row>
    <row r="81" spans="1:8" x14ac:dyDescent="0.4">
      <c r="A81" s="346" t="s">
        <v>1719</v>
      </c>
      <c r="B81" s="346"/>
      <c r="C81" s="346" t="s">
        <v>1743</v>
      </c>
      <c r="D81" s="354" t="s">
        <v>1633</v>
      </c>
      <c r="E81" s="354">
        <v>9600</v>
      </c>
      <c r="F81" s="354"/>
      <c r="G81" s="354"/>
      <c r="H81" s="345"/>
    </row>
    <row r="82" spans="1:8" x14ac:dyDescent="0.4">
      <c r="A82" s="346" t="s">
        <v>1724</v>
      </c>
      <c r="B82" s="346"/>
      <c r="C82" s="346" t="s">
        <v>1744</v>
      </c>
      <c r="D82" s="354"/>
      <c r="E82" s="354">
        <v>1326</v>
      </c>
      <c r="F82" s="354"/>
      <c r="G82" s="354"/>
      <c r="H82" s="345"/>
    </row>
    <row r="83" spans="1:8" x14ac:dyDescent="0.4">
      <c r="A83" s="346" t="s">
        <v>1725</v>
      </c>
      <c r="B83" s="346"/>
      <c r="C83" s="346" t="s">
        <v>1745</v>
      </c>
      <c r="D83" s="354"/>
      <c r="E83" s="354">
        <v>9900</v>
      </c>
      <c r="F83" s="354"/>
      <c r="G83" s="354"/>
      <c r="H83" s="345"/>
    </row>
    <row r="84" spans="1:8" x14ac:dyDescent="0.4">
      <c r="A84" s="346" t="s">
        <v>1726</v>
      </c>
      <c r="B84" s="346"/>
      <c r="C84" s="346" t="s">
        <v>1746</v>
      </c>
      <c r="D84" s="354"/>
      <c r="E84" s="354">
        <v>3900</v>
      </c>
      <c r="F84" s="354"/>
      <c r="G84" s="354"/>
      <c r="H84" s="345"/>
    </row>
    <row r="85" spans="1:8" x14ac:dyDescent="0.4">
      <c r="A85" s="346" t="s">
        <v>1720</v>
      </c>
      <c r="B85" s="346"/>
      <c r="C85" s="346" t="s">
        <v>1747</v>
      </c>
      <c r="D85" s="354"/>
      <c r="E85" s="354"/>
      <c r="F85" s="354" t="s">
        <v>1748</v>
      </c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 t="s">
        <v>1749</v>
      </c>
      <c r="B103" s="346"/>
      <c r="C103" s="346" t="s">
        <v>1765</v>
      </c>
      <c r="D103" s="354" t="s">
        <v>1766</v>
      </c>
      <c r="E103" s="354" t="s">
        <v>1644</v>
      </c>
      <c r="F103" s="354"/>
      <c r="G103" s="354"/>
      <c r="H103" s="345"/>
    </row>
    <row r="104" spans="1:8" x14ac:dyDescent="0.4">
      <c r="A104" s="346" t="s">
        <v>1750</v>
      </c>
      <c r="B104" s="346"/>
      <c r="C104" s="346" t="s">
        <v>1767</v>
      </c>
      <c r="D104" s="354"/>
      <c r="E104" s="354" t="s">
        <v>1768</v>
      </c>
      <c r="F104" s="354"/>
      <c r="G104" s="354"/>
      <c r="H104" s="345"/>
    </row>
    <row r="105" spans="1:8" x14ac:dyDescent="0.4">
      <c r="A105" s="346" t="s">
        <v>1751</v>
      </c>
      <c r="B105" s="346"/>
      <c r="C105" s="346" t="s">
        <v>1769</v>
      </c>
      <c r="D105" s="354"/>
      <c r="E105" s="354">
        <v>9600</v>
      </c>
      <c r="F105" s="354"/>
      <c r="G105" s="354"/>
      <c r="H105" s="345"/>
    </row>
    <row r="106" spans="1:8" x14ac:dyDescent="0.4">
      <c r="A106" s="346" t="s">
        <v>1752</v>
      </c>
      <c r="B106" s="346"/>
      <c r="C106" s="346" t="s">
        <v>1770</v>
      </c>
      <c r="D106" s="354"/>
      <c r="E106" s="354"/>
      <c r="F106" s="354"/>
      <c r="G106" s="354"/>
      <c r="H106" s="345"/>
    </row>
    <row r="107" spans="1:8" x14ac:dyDescent="0.4">
      <c r="A107" s="346" t="s">
        <v>1753</v>
      </c>
      <c r="B107" s="346"/>
      <c r="C107" s="346" t="s">
        <v>1771</v>
      </c>
      <c r="D107" s="354"/>
      <c r="E107" s="354" t="s">
        <v>1671</v>
      </c>
      <c r="F107" s="354"/>
      <c r="G107" s="354"/>
      <c r="H107" s="345"/>
    </row>
    <row r="108" spans="1:8" x14ac:dyDescent="0.4">
      <c r="A108" s="346" t="s">
        <v>1754</v>
      </c>
      <c r="B108" s="346"/>
      <c r="C108" s="346" t="s">
        <v>1772</v>
      </c>
      <c r="D108" s="354"/>
      <c r="E108" s="354">
        <v>2900</v>
      </c>
      <c r="F108" s="354"/>
      <c r="G108" s="354"/>
      <c r="H108" s="345"/>
    </row>
    <row r="109" spans="1:8" x14ac:dyDescent="0.4">
      <c r="A109" s="346" t="s">
        <v>1755</v>
      </c>
      <c r="B109" s="346"/>
      <c r="C109" s="346" t="s">
        <v>1773</v>
      </c>
      <c r="D109" s="354"/>
      <c r="E109" s="354">
        <v>2900</v>
      </c>
      <c r="F109" s="354"/>
      <c r="G109" s="354"/>
      <c r="H109" s="345"/>
    </row>
    <row r="110" spans="1:8" x14ac:dyDescent="0.4">
      <c r="A110" s="346" t="s">
        <v>145</v>
      </c>
      <c r="B110" s="346"/>
      <c r="C110" s="346" t="s">
        <v>1774</v>
      </c>
      <c r="D110" s="354"/>
      <c r="E110" s="354"/>
      <c r="F110" s="354"/>
      <c r="G110" s="354"/>
      <c r="H110" s="345"/>
    </row>
    <row r="111" spans="1:8" x14ac:dyDescent="0.4">
      <c r="A111" s="346" t="s">
        <v>1756</v>
      </c>
      <c r="B111" s="346"/>
      <c r="C111" s="346" t="s">
        <v>1775</v>
      </c>
      <c r="D111" s="354"/>
      <c r="E111" s="354">
        <v>2900</v>
      </c>
      <c r="F111" s="354"/>
      <c r="G111" s="354"/>
      <c r="H111" s="345"/>
    </row>
    <row r="112" spans="1:8" x14ac:dyDescent="0.4">
      <c r="A112" s="346" t="s">
        <v>1757</v>
      </c>
      <c r="B112" s="346"/>
      <c r="C112" s="346" t="s">
        <v>1776</v>
      </c>
      <c r="D112" s="354"/>
      <c r="E112" s="354" t="s">
        <v>1777</v>
      </c>
      <c r="F112" s="354"/>
      <c r="G112" s="354"/>
      <c r="H112" s="345"/>
    </row>
    <row r="113" spans="1:8" x14ac:dyDescent="0.4">
      <c r="A113" s="346" t="s">
        <v>1758</v>
      </c>
      <c r="B113" s="346"/>
      <c r="C113" s="346" t="s">
        <v>1778</v>
      </c>
      <c r="D113" s="354"/>
      <c r="E113" s="354">
        <v>2000</v>
      </c>
      <c r="F113" s="354"/>
      <c r="G113" s="354"/>
      <c r="H113" s="345"/>
    </row>
    <row r="114" spans="1:8" x14ac:dyDescent="0.4">
      <c r="A114" s="346" t="s">
        <v>1759</v>
      </c>
      <c r="B114" s="346"/>
      <c r="C114" s="346" t="s">
        <v>1779</v>
      </c>
      <c r="D114" s="354"/>
      <c r="E114" s="354">
        <v>3900</v>
      </c>
      <c r="F114" s="354"/>
      <c r="G114" s="354"/>
      <c r="H114" s="345"/>
    </row>
    <row r="115" spans="1:8" x14ac:dyDescent="0.4">
      <c r="A115" s="346" t="s">
        <v>1760</v>
      </c>
      <c r="B115" s="346"/>
      <c r="C115" s="346" t="s">
        <v>1773</v>
      </c>
      <c r="D115" s="354"/>
      <c r="E115" s="354">
        <v>2900</v>
      </c>
      <c r="F115" s="354"/>
      <c r="G115" s="354"/>
      <c r="H115" s="345"/>
    </row>
    <row r="116" spans="1:8" x14ac:dyDescent="0.4">
      <c r="A116" s="346" t="s">
        <v>1761</v>
      </c>
      <c r="B116" s="346"/>
      <c r="C116" s="346" t="s">
        <v>1780</v>
      </c>
      <c r="D116" s="354"/>
      <c r="E116" s="354">
        <v>2000</v>
      </c>
      <c r="F116" s="354"/>
      <c r="G116" s="354"/>
      <c r="H116" s="345"/>
    </row>
    <row r="117" spans="1:8" x14ac:dyDescent="0.4">
      <c r="A117" s="346" t="s">
        <v>1762</v>
      </c>
      <c r="B117" s="346"/>
      <c r="C117" s="346" t="s">
        <v>1781</v>
      </c>
      <c r="D117" s="354"/>
      <c r="E117" s="354">
        <v>5963</v>
      </c>
      <c r="F117" s="354"/>
      <c r="G117" s="354"/>
      <c r="H117" s="345"/>
    </row>
    <row r="118" spans="1:8" x14ac:dyDescent="0.4">
      <c r="A118" s="346" t="s">
        <v>1763</v>
      </c>
      <c r="B118" s="346"/>
      <c r="C118" s="346" t="s">
        <v>1782</v>
      </c>
      <c r="D118" s="354"/>
      <c r="E118" s="354">
        <v>2900</v>
      </c>
      <c r="F118" s="354"/>
      <c r="G118" s="354"/>
      <c r="H118" s="345"/>
    </row>
    <row r="119" spans="1:8" x14ac:dyDescent="0.4">
      <c r="A119" s="346" t="s">
        <v>1764</v>
      </c>
      <c r="B119" s="346"/>
      <c r="C119" s="346" t="s">
        <v>1783</v>
      </c>
      <c r="D119" s="354"/>
      <c r="E119" s="354"/>
      <c r="F119" s="354" t="s">
        <v>1784</v>
      </c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1785</v>
      </c>
      <c r="B143" s="346"/>
      <c r="C143" s="346" t="s">
        <v>1826</v>
      </c>
      <c r="D143" s="354" t="s">
        <v>1827</v>
      </c>
      <c r="E143" s="354">
        <v>2900</v>
      </c>
      <c r="F143" s="354"/>
      <c r="G143" s="354"/>
      <c r="H143" s="345"/>
    </row>
    <row r="144" spans="1:8" x14ac:dyDescent="0.4">
      <c r="A144" s="346" t="s">
        <v>1786</v>
      </c>
      <c r="B144" s="346"/>
      <c r="C144" s="346" t="s">
        <v>1828</v>
      </c>
      <c r="D144" s="354"/>
      <c r="E144" s="354"/>
      <c r="F144" s="354"/>
      <c r="G144" s="354"/>
      <c r="H144" s="345"/>
    </row>
    <row r="145" spans="1:8" x14ac:dyDescent="0.4">
      <c r="A145" s="346" t="s">
        <v>1787</v>
      </c>
      <c r="B145" s="346"/>
      <c r="C145" s="346" t="s">
        <v>1829</v>
      </c>
      <c r="D145" s="354"/>
      <c r="E145" s="354"/>
      <c r="F145" s="354"/>
      <c r="G145" s="354"/>
      <c r="H145" s="345"/>
    </row>
    <row r="146" spans="1:8" x14ac:dyDescent="0.4">
      <c r="A146" s="346" t="s">
        <v>1788</v>
      </c>
      <c r="B146" s="346"/>
      <c r="C146" s="346" t="s">
        <v>1830</v>
      </c>
      <c r="D146" s="354" t="s">
        <v>1633</v>
      </c>
      <c r="E146" s="354">
        <v>9600</v>
      </c>
      <c r="F146" s="354"/>
      <c r="G146" s="354"/>
      <c r="H146" s="345"/>
    </row>
    <row r="147" spans="1:8" x14ac:dyDescent="0.4">
      <c r="A147" s="346" t="s">
        <v>650</v>
      </c>
      <c r="B147" s="346"/>
      <c r="C147" s="346" t="s">
        <v>1831</v>
      </c>
      <c r="D147" s="354" t="s">
        <v>1633</v>
      </c>
      <c r="E147" s="354"/>
      <c r="F147" s="354"/>
      <c r="G147" s="354"/>
      <c r="H147" s="345"/>
    </row>
    <row r="148" spans="1:8" x14ac:dyDescent="0.4">
      <c r="A148" s="346" t="s">
        <v>1789</v>
      </c>
      <c r="B148" s="346"/>
      <c r="C148" s="346" t="s">
        <v>1832</v>
      </c>
      <c r="D148" s="354"/>
      <c r="E148" s="354"/>
      <c r="F148" s="354"/>
      <c r="G148" s="354"/>
      <c r="H148" s="345"/>
    </row>
    <row r="149" spans="1:8" x14ac:dyDescent="0.4">
      <c r="A149" s="346" t="s">
        <v>1790</v>
      </c>
      <c r="B149" s="346"/>
      <c r="C149" s="346" t="s">
        <v>1833</v>
      </c>
      <c r="D149" s="354" t="s">
        <v>1633</v>
      </c>
      <c r="E149" s="354">
        <v>1500</v>
      </c>
      <c r="F149" s="354"/>
      <c r="G149" s="354"/>
      <c r="H149" s="345"/>
    </row>
    <row r="150" spans="1:8" x14ac:dyDescent="0.4">
      <c r="A150" s="346" t="s">
        <v>1791</v>
      </c>
      <c r="B150" s="346"/>
      <c r="C150" s="346" t="s">
        <v>1834</v>
      </c>
      <c r="D150" s="354" t="s">
        <v>1633</v>
      </c>
      <c r="E150" s="354" t="s">
        <v>1640</v>
      </c>
      <c r="F150" s="354"/>
      <c r="G150" s="354"/>
      <c r="H150" s="345"/>
    </row>
    <row r="151" spans="1:8" x14ac:dyDescent="0.4">
      <c r="A151" s="346" t="s">
        <v>1792</v>
      </c>
      <c r="B151" s="346"/>
      <c r="C151" s="346" t="s">
        <v>1835</v>
      </c>
      <c r="D151" s="354" t="s">
        <v>1836</v>
      </c>
      <c r="E151" s="354">
        <v>5200</v>
      </c>
      <c r="F151" s="354"/>
      <c r="G151" s="354"/>
      <c r="H151" s="345"/>
    </row>
    <row r="152" spans="1:8" x14ac:dyDescent="0.4">
      <c r="A152" s="346" t="s">
        <v>1793</v>
      </c>
      <c r="B152" s="346"/>
      <c r="C152" s="346" t="s">
        <v>1837</v>
      </c>
      <c r="D152" s="354" t="s">
        <v>1633</v>
      </c>
      <c r="E152" s="354">
        <v>1300</v>
      </c>
      <c r="F152" s="354"/>
      <c r="G152" s="354"/>
      <c r="H152" s="345"/>
    </row>
    <row r="153" spans="1:8" x14ac:dyDescent="0.4">
      <c r="A153" s="346" t="s">
        <v>1794</v>
      </c>
      <c r="B153" s="346"/>
      <c r="C153" s="346" t="s">
        <v>1838</v>
      </c>
      <c r="D153" s="354" t="s">
        <v>1633</v>
      </c>
      <c r="E153" s="354">
        <v>1000</v>
      </c>
      <c r="F153" s="354"/>
      <c r="G153" s="354"/>
      <c r="H153" s="345"/>
    </row>
    <row r="154" spans="1:8" x14ac:dyDescent="0.4">
      <c r="A154" s="346" t="s">
        <v>1795</v>
      </c>
      <c r="B154" s="346"/>
      <c r="C154" s="346" t="s">
        <v>1839</v>
      </c>
      <c r="D154" s="354" t="s">
        <v>1633</v>
      </c>
      <c r="E154" s="354">
        <v>1326</v>
      </c>
      <c r="F154" s="354"/>
      <c r="G154" s="354"/>
      <c r="H154" s="345"/>
    </row>
    <row r="155" spans="1:8" x14ac:dyDescent="0.4">
      <c r="A155" s="346" t="s">
        <v>1796</v>
      </c>
      <c r="B155" s="346"/>
      <c r="C155" s="346" t="s">
        <v>1840</v>
      </c>
      <c r="D155" s="354" t="s">
        <v>1633</v>
      </c>
      <c r="E155" s="354">
        <v>2000</v>
      </c>
      <c r="F155" s="354"/>
      <c r="G155" s="354"/>
      <c r="H155" s="345"/>
    </row>
    <row r="156" spans="1:8" x14ac:dyDescent="0.4">
      <c r="A156" s="346" t="s">
        <v>1797</v>
      </c>
      <c r="B156" s="346"/>
      <c r="C156" s="346" t="s">
        <v>1841</v>
      </c>
      <c r="D156" s="354" t="s">
        <v>1842</v>
      </c>
      <c r="E156" s="354"/>
      <c r="F156" s="354"/>
      <c r="G156" s="354"/>
      <c r="H156" s="345"/>
    </row>
    <row r="157" spans="1:8" x14ac:dyDescent="0.4">
      <c r="A157" s="346" t="s">
        <v>1798</v>
      </c>
      <c r="B157" s="346"/>
      <c r="C157" s="346" t="s">
        <v>1843</v>
      </c>
      <c r="D157" s="354" t="s">
        <v>1633</v>
      </c>
      <c r="E157" s="354">
        <v>5200</v>
      </c>
      <c r="F157" s="354"/>
      <c r="G157" s="354"/>
      <c r="H157" s="345"/>
    </row>
    <row r="158" spans="1:8" x14ac:dyDescent="0.4">
      <c r="A158" s="346" t="s">
        <v>1799</v>
      </c>
      <c r="B158" s="346"/>
      <c r="C158" s="346" t="s">
        <v>1844</v>
      </c>
      <c r="D158" s="354" t="s">
        <v>1845</v>
      </c>
      <c r="E158" s="354" t="s">
        <v>1644</v>
      </c>
      <c r="F158" s="354"/>
      <c r="G158" s="354"/>
      <c r="H158" s="345"/>
    </row>
    <row r="159" spans="1:8" x14ac:dyDescent="0.4">
      <c r="A159" s="346" t="s">
        <v>1800</v>
      </c>
      <c r="B159" s="346"/>
      <c r="C159" s="346" t="s">
        <v>1846</v>
      </c>
      <c r="D159" s="354" t="s">
        <v>1633</v>
      </c>
      <c r="E159" s="354">
        <v>1632</v>
      </c>
      <c r="F159" s="354"/>
      <c r="G159" s="354"/>
      <c r="H159" s="345"/>
    </row>
    <row r="160" spans="1:8" x14ac:dyDescent="0.4">
      <c r="A160" s="346" t="s">
        <v>1801</v>
      </c>
      <c r="B160" s="346"/>
      <c r="C160" s="346" t="s">
        <v>1847</v>
      </c>
      <c r="D160" s="354"/>
      <c r="E160" s="354" t="s">
        <v>1671</v>
      </c>
      <c r="F160" s="354"/>
      <c r="G160" s="354"/>
      <c r="H160" s="345"/>
    </row>
    <row r="161" spans="1:8" x14ac:dyDescent="0.4">
      <c r="A161" s="346" t="s">
        <v>1802</v>
      </c>
      <c r="B161" s="346"/>
      <c r="C161" s="346" t="s">
        <v>1848</v>
      </c>
      <c r="D161" s="354" t="s">
        <v>1633</v>
      </c>
      <c r="E161" s="354" t="s">
        <v>1646</v>
      </c>
      <c r="F161" s="354"/>
      <c r="G161" s="354"/>
      <c r="H161" s="345"/>
    </row>
    <row r="162" spans="1:8" x14ac:dyDescent="0.4">
      <c r="A162" s="346" t="s">
        <v>1803</v>
      </c>
      <c r="B162" s="346"/>
      <c r="C162" s="346" t="s">
        <v>1849</v>
      </c>
      <c r="D162" s="354" t="s">
        <v>1845</v>
      </c>
      <c r="E162" s="354">
        <v>6400</v>
      </c>
      <c r="F162" s="354"/>
      <c r="G162" s="354"/>
      <c r="H162" s="345"/>
    </row>
    <row r="163" spans="1:8" x14ac:dyDescent="0.4">
      <c r="A163" s="346" t="s">
        <v>1804</v>
      </c>
      <c r="B163" s="346"/>
      <c r="C163" s="346" t="s">
        <v>1850</v>
      </c>
      <c r="D163" s="354"/>
      <c r="E163" s="354">
        <v>1500</v>
      </c>
      <c r="F163" s="354"/>
      <c r="G163" s="354"/>
      <c r="H163" s="345"/>
    </row>
    <row r="164" spans="1:8" x14ac:dyDescent="0.4">
      <c r="A164" s="346" t="s">
        <v>1805</v>
      </c>
      <c r="B164" s="346"/>
      <c r="C164" s="346" t="s">
        <v>1851</v>
      </c>
      <c r="D164" s="354" t="s">
        <v>1633</v>
      </c>
      <c r="E164" s="354">
        <v>3200</v>
      </c>
      <c r="F164" s="354"/>
      <c r="G164" s="354"/>
      <c r="H164" s="345"/>
    </row>
    <row r="165" spans="1:8" x14ac:dyDescent="0.4">
      <c r="A165" s="346" t="s">
        <v>1806</v>
      </c>
      <c r="B165" s="346"/>
      <c r="C165" s="346" t="s">
        <v>1852</v>
      </c>
      <c r="D165" s="354"/>
      <c r="E165" s="354"/>
      <c r="F165" s="354"/>
      <c r="G165" s="354"/>
      <c r="H165" s="345"/>
    </row>
    <row r="166" spans="1:8" x14ac:dyDescent="0.4">
      <c r="A166" s="346" t="s">
        <v>1807</v>
      </c>
      <c r="B166" s="346"/>
      <c r="C166" s="346" t="s">
        <v>1853</v>
      </c>
      <c r="D166" s="354" t="s">
        <v>1854</v>
      </c>
      <c r="E166" s="354" t="s">
        <v>1644</v>
      </c>
      <c r="F166" s="354"/>
      <c r="G166" s="354"/>
      <c r="H166" s="345"/>
    </row>
    <row r="167" spans="1:8" x14ac:dyDescent="0.4">
      <c r="A167" s="346" t="s">
        <v>1808</v>
      </c>
      <c r="B167" s="346"/>
      <c r="C167" s="346" t="s">
        <v>1855</v>
      </c>
      <c r="D167" s="354"/>
      <c r="E167" s="354">
        <v>500</v>
      </c>
      <c r="F167" s="354"/>
      <c r="G167" s="354"/>
      <c r="H167" s="345"/>
    </row>
    <row r="168" spans="1:8" x14ac:dyDescent="0.4">
      <c r="A168" s="346" t="s">
        <v>1809</v>
      </c>
      <c r="B168" s="346"/>
      <c r="C168" s="346" t="s">
        <v>1856</v>
      </c>
      <c r="D168" s="354" t="s">
        <v>1633</v>
      </c>
      <c r="E168" s="354">
        <v>1500</v>
      </c>
      <c r="F168" s="354"/>
      <c r="G168" s="354"/>
      <c r="H168" s="345"/>
    </row>
    <row r="169" spans="1:8" x14ac:dyDescent="0.4">
      <c r="A169" s="346" t="s">
        <v>1810</v>
      </c>
      <c r="B169" s="346"/>
      <c r="C169" s="346" t="s">
        <v>1857</v>
      </c>
      <c r="D169" s="354" t="s">
        <v>1633</v>
      </c>
      <c r="E169" s="354">
        <v>1632</v>
      </c>
      <c r="F169" s="354"/>
      <c r="G169" s="354"/>
      <c r="H169" s="345"/>
    </row>
    <row r="170" spans="1:8" x14ac:dyDescent="0.4">
      <c r="A170" s="346" t="s">
        <v>1811</v>
      </c>
      <c r="B170" s="346"/>
      <c r="C170" s="346" t="s">
        <v>1858</v>
      </c>
      <c r="D170" s="354"/>
      <c r="E170" s="354" t="s">
        <v>1859</v>
      </c>
      <c r="F170" s="354"/>
      <c r="G170" s="354"/>
      <c r="H170" s="345"/>
    </row>
    <row r="171" spans="1:8" x14ac:dyDescent="0.4">
      <c r="A171" s="346" t="s">
        <v>1812</v>
      </c>
      <c r="B171" s="346"/>
      <c r="C171" s="346" t="s">
        <v>1860</v>
      </c>
      <c r="D171" s="354" t="s">
        <v>1633</v>
      </c>
      <c r="E171" s="354">
        <v>2000</v>
      </c>
      <c r="F171" s="354"/>
      <c r="G171" s="354"/>
      <c r="H171" s="345"/>
    </row>
    <row r="172" spans="1:8" x14ac:dyDescent="0.4">
      <c r="A172" s="346" t="s">
        <v>1813</v>
      </c>
      <c r="B172" s="346"/>
      <c r="C172" s="346" t="s">
        <v>1861</v>
      </c>
      <c r="D172" s="354" t="s">
        <v>1633</v>
      </c>
      <c r="E172" s="354">
        <v>5800</v>
      </c>
      <c r="F172" s="354"/>
      <c r="G172" s="354"/>
      <c r="H172" s="345"/>
    </row>
    <row r="173" spans="1:8" x14ac:dyDescent="0.4">
      <c r="A173" s="346" t="s">
        <v>1814</v>
      </c>
      <c r="B173" s="346"/>
      <c r="C173" s="346" t="s">
        <v>1862</v>
      </c>
      <c r="D173" s="354"/>
      <c r="E173" s="354"/>
      <c r="F173" s="354"/>
      <c r="G173" s="354"/>
      <c r="H173" s="345"/>
    </row>
    <row r="174" spans="1:8" x14ac:dyDescent="0.4">
      <c r="A174" s="346" t="s">
        <v>1815</v>
      </c>
      <c r="B174" s="346"/>
      <c r="C174" s="346" t="s">
        <v>1863</v>
      </c>
      <c r="D174" s="354"/>
      <c r="E174" s="354"/>
      <c r="F174" s="354"/>
      <c r="G174" s="354"/>
      <c r="H174" s="345"/>
    </row>
    <row r="175" spans="1:8" x14ac:dyDescent="0.4">
      <c r="A175" s="346" t="s">
        <v>1816</v>
      </c>
      <c r="B175" s="346"/>
      <c r="C175" s="346" t="s">
        <v>1864</v>
      </c>
      <c r="D175" s="354" t="s">
        <v>1633</v>
      </c>
      <c r="E175" s="354">
        <v>2900</v>
      </c>
      <c r="F175" s="354"/>
      <c r="G175" s="354"/>
      <c r="H175" s="345"/>
    </row>
    <row r="176" spans="1:8" x14ac:dyDescent="0.4">
      <c r="A176" s="346" t="s">
        <v>1817</v>
      </c>
      <c r="B176" s="346"/>
      <c r="C176" s="346" t="s">
        <v>1865</v>
      </c>
      <c r="D176" s="354" t="s">
        <v>1866</v>
      </c>
      <c r="E176" s="354" t="s">
        <v>1768</v>
      </c>
      <c r="F176" s="354"/>
      <c r="G176" s="354"/>
      <c r="H176" s="345"/>
    </row>
    <row r="177" spans="1:8" x14ac:dyDescent="0.4">
      <c r="A177" s="346" t="s">
        <v>1818</v>
      </c>
      <c r="B177" s="346"/>
      <c r="C177" s="346" t="s">
        <v>1867</v>
      </c>
      <c r="D177" s="354"/>
      <c r="E177" s="354">
        <v>3900</v>
      </c>
      <c r="F177" s="354"/>
      <c r="G177" s="354"/>
      <c r="H177" s="345"/>
    </row>
    <row r="178" spans="1:8" x14ac:dyDescent="0.4">
      <c r="A178" s="346" t="s">
        <v>1819</v>
      </c>
      <c r="B178" s="346"/>
      <c r="C178" s="346" t="s">
        <v>1868</v>
      </c>
      <c r="D178" s="354"/>
      <c r="E178" s="354"/>
      <c r="F178" s="354"/>
      <c r="G178" s="354"/>
      <c r="H178" s="345"/>
    </row>
    <row r="179" spans="1:8" x14ac:dyDescent="0.4">
      <c r="A179" s="346" t="s">
        <v>1820</v>
      </c>
      <c r="B179" s="346"/>
      <c r="C179" s="346" t="s">
        <v>1869</v>
      </c>
      <c r="D179" s="354" t="s">
        <v>1870</v>
      </c>
      <c r="E179" s="354">
        <v>1632</v>
      </c>
      <c r="F179" s="354"/>
      <c r="G179" s="354"/>
      <c r="H179" s="345"/>
    </row>
    <row r="180" spans="1:8" x14ac:dyDescent="0.4">
      <c r="A180" s="346" t="s">
        <v>1821</v>
      </c>
      <c r="B180" s="346"/>
      <c r="C180" s="346" t="s">
        <v>1871</v>
      </c>
      <c r="D180" s="354" t="s">
        <v>1872</v>
      </c>
      <c r="E180" s="354">
        <v>5800</v>
      </c>
      <c r="F180" s="354"/>
      <c r="G180" s="354"/>
      <c r="H180" s="345"/>
    </row>
    <row r="181" spans="1:8" x14ac:dyDescent="0.4">
      <c r="A181" s="346" t="s">
        <v>1822</v>
      </c>
      <c r="B181" s="346"/>
      <c r="C181" s="346" t="s">
        <v>1873</v>
      </c>
      <c r="D181" s="354"/>
      <c r="E181" s="354">
        <v>1000</v>
      </c>
      <c r="F181" s="354"/>
      <c r="G181" s="354"/>
      <c r="H181" s="345"/>
    </row>
    <row r="182" spans="1:8" x14ac:dyDescent="0.4">
      <c r="A182" s="346" t="s">
        <v>1823</v>
      </c>
      <c r="B182" s="346"/>
      <c r="C182" s="346" t="s">
        <v>1874</v>
      </c>
      <c r="D182" s="354" t="s">
        <v>1633</v>
      </c>
      <c r="E182" s="354">
        <v>6400</v>
      </c>
      <c r="F182" s="354"/>
      <c r="G182" s="354"/>
      <c r="H182" s="345"/>
    </row>
    <row r="183" spans="1:8" x14ac:dyDescent="0.4">
      <c r="A183" s="346" t="s">
        <v>1824</v>
      </c>
      <c r="B183" s="346"/>
      <c r="C183" s="346" t="s">
        <v>1875</v>
      </c>
      <c r="D183" s="354"/>
      <c r="E183" s="354"/>
      <c r="F183" s="354">
        <v>9600</v>
      </c>
      <c r="G183" s="354"/>
      <c r="H183" s="345"/>
    </row>
    <row r="184" spans="1:8" x14ac:dyDescent="0.4">
      <c r="A184" s="346" t="s">
        <v>1825</v>
      </c>
      <c r="B184" s="346"/>
      <c r="C184" s="346" t="s">
        <v>1876</v>
      </c>
      <c r="D184" s="354" t="s">
        <v>1658</v>
      </c>
      <c r="E184" s="354" t="s">
        <v>1640</v>
      </c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 t="s">
        <v>1877</v>
      </c>
      <c r="B203" s="346"/>
      <c r="C203" s="346" t="s">
        <v>1886</v>
      </c>
      <c r="D203" s="354" t="s">
        <v>1633</v>
      </c>
      <c r="E203" s="354" t="s">
        <v>1887</v>
      </c>
      <c r="F203" s="354"/>
      <c r="G203" s="354"/>
      <c r="H203" s="345"/>
    </row>
    <row r="204" spans="1:8" x14ac:dyDescent="0.4">
      <c r="A204" s="346" t="s">
        <v>1878</v>
      </c>
      <c r="B204" s="346"/>
      <c r="C204" s="346" t="s">
        <v>1888</v>
      </c>
      <c r="D204" s="354"/>
      <c r="E204" s="354"/>
      <c r="F204" s="354"/>
      <c r="G204" s="354"/>
      <c r="H204" s="345"/>
    </row>
    <row r="205" spans="1:8" x14ac:dyDescent="0.4">
      <c r="A205" s="346" t="s">
        <v>1879</v>
      </c>
      <c r="B205" s="346"/>
      <c r="C205" s="346" t="s">
        <v>1889</v>
      </c>
      <c r="D205" s="354"/>
      <c r="E205" s="354">
        <v>1632</v>
      </c>
      <c r="F205" s="354"/>
      <c r="G205" s="354"/>
      <c r="H205" s="345"/>
    </row>
    <row r="206" spans="1:8" x14ac:dyDescent="0.4">
      <c r="A206" s="346" t="s">
        <v>1880</v>
      </c>
      <c r="B206" s="346"/>
      <c r="C206" s="346" t="s">
        <v>1890</v>
      </c>
      <c r="D206" s="354" t="s">
        <v>1676</v>
      </c>
      <c r="E206" s="354"/>
      <c r="F206" s="354"/>
      <c r="G206" s="354"/>
      <c r="H206" s="345"/>
    </row>
    <row r="207" spans="1:8" x14ac:dyDescent="0.4">
      <c r="A207" s="346" t="s">
        <v>1881</v>
      </c>
      <c r="B207" s="346"/>
      <c r="C207" s="346" t="s">
        <v>1891</v>
      </c>
      <c r="D207" s="354"/>
      <c r="E207" s="354"/>
      <c r="F207" s="354"/>
      <c r="G207" s="354"/>
      <c r="H207" s="345"/>
    </row>
    <row r="208" spans="1:8" x14ac:dyDescent="0.4">
      <c r="A208" s="346" t="s">
        <v>1882</v>
      </c>
      <c r="B208" s="346"/>
      <c r="C208" s="346" t="s">
        <v>1892</v>
      </c>
      <c r="D208" s="354" t="s">
        <v>1633</v>
      </c>
      <c r="E208" s="354">
        <v>5800</v>
      </c>
      <c r="F208" s="354"/>
      <c r="G208" s="354"/>
      <c r="H208" s="345"/>
    </row>
    <row r="209" spans="1:8" x14ac:dyDescent="0.4">
      <c r="A209" s="346" t="s">
        <v>1883</v>
      </c>
      <c r="B209" s="346"/>
      <c r="C209" s="346" t="s">
        <v>1893</v>
      </c>
      <c r="D209" s="354"/>
      <c r="E209" s="354"/>
      <c r="F209" s="354">
        <v>3900</v>
      </c>
      <c r="G209" s="354"/>
      <c r="H209" s="345"/>
    </row>
    <row r="210" spans="1:8" x14ac:dyDescent="0.4">
      <c r="A210" s="346" t="s">
        <v>1884</v>
      </c>
      <c r="B210" s="346"/>
      <c r="C210" s="346" t="s">
        <v>1894</v>
      </c>
      <c r="D210" s="354"/>
      <c r="E210" s="354"/>
      <c r="F210" s="354"/>
      <c r="G210" s="354"/>
      <c r="H210" s="345"/>
    </row>
    <row r="211" spans="1:8" x14ac:dyDescent="0.4">
      <c r="A211" s="346" t="s">
        <v>1885</v>
      </c>
      <c r="B211" s="346"/>
      <c r="C211" s="346" t="s">
        <v>1895</v>
      </c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 t="s">
        <v>1896</v>
      </c>
      <c r="B233" s="346"/>
      <c r="C233" s="346" t="s">
        <v>1934</v>
      </c>
      <c r="D233" s="354"/>
      <c r="E233" s="354">
        <v>2000</v>
      </c>
      <c r="F233" s="354"/>
      <c r="G233" s="354"/>
      <c r="H233" s="345"/>
    </row>
    <row r="234" spans="1:8" x14ac:dyDescent="0.4">
      <c r="A234" s="346" t="s">
        <v>1897</v>
      </c>
      <c r="B234" s="346"/>
      <c r="C234" s="346" t="s">
        <v>1935</v>
      </c>
      <c r="D234" s="354" t="s">
        <v>1633</v>
      </c>
      <c r="E234" s="354"/>
      <c r="F234" s="354"/>
      <c r="G234" s="354"/>
      <c r="H234" s="345"/>
    </row>
    <row r="235" spans="1:8" x14ac:dyDescent="0.4">
      <c r="A235" s="346" t="s">
        <v>1898</v>
      </c>
      <c r="B235" s="346"/>
      <c r="C235" s="346" t="s">
        <v>1936</v>
      </c>
      <c r="D235" s="354" t="s">
        <v>1633</v>
      </c>
      <c r="E235" s="354">
        <v>1000</v>
      </c>
      <c r="F235" s="354"/>
      <c r="G235" s="354"/>
      <c r="H235" s="345"/>
    </row>
    <row r="236" spans="1:8" x14ac:dyDescent="0.4">
      <c r="A236" s="346" t="s">
        <v>1899</v>
      </c>
      <c r="B236" s="346"/>
      <c r="C236" s="346" t="s">
        <v>1937</v>
      </c>
      <c r="D236" s="354"/>
      <c r="E236" s="354">
        <v>1500</v>
      </c>
      <c r="F236" s="354"/>
      <c r="G236" s="354"/>
      <c r="H236" s="345"/>
    </row>
    <row r="237" spans="1:8" x14ac:dyDescent="0.4">
      <c r="A237" s="346" t="s">
        <v>1900</v>
      </c>
      <c r="B237" s="346"/>
      <c r="C237" s="346" t="s">
        <v>1938</v>
      </c>
      <c r="D237" s="354" t="s">
        <v>1633</v>
      </c>
      <c r="E237" s="354" t="s">
        <v>1859</v>
      </c>
      <c r="F237" s="354"/>
      <c r="G237" s="354"/>
      <c r="H237" s="345"/>
    </row>
    <row r="238" spans="1:8" x14ac:dyDescent="0.4">
      <c r="A238" s="346" t="s">
        <v>1901</v>
      </c>
      <c r="B238" s="346"/>
      <c r="C238" s="346" t="s">
        <v>1939</v>
      </c>
      <c r="D238" s="354"/>
      <c r="E238" s="354"/>
      <c r="F238" s="354"/>
      <c r="G238" s="354"/>
      <c r="H238" s="345"/>
    </row>
    <row r="239" spans="1:8" x14ac:dyDescent="0.4">
      <c r="A239" s="346" t="s">
        <v>1902</v>
      </c>
      <c r="B239" s="346"/>
      <c r="C239" s="346" t="s">
        <v>1940</v>
      </c>
      <c r="D239" s="354"/>
      <c r="E239" s="354">
        <v>9600</v>
      </c>
      <c r="F239" s="354"/>
      <c r="G239" s="354"/>
      <c r="H239" s="345"/>
    </row>
    <row r="240" spans="1:8" x14ac:dyDescent="0.4">
      <c r="A240" s="346" t="s">
        <v>1903</v>
      </c>
      <c r="B240" s="346"/>
      <c r="C240" s="346" t="s">
        <v>1941</v>
      </c>
      <c r="D240" s="354"/>
      <c r="E240" s="354"/>
      <c r="F240" s="354"/>
      <c r="G240" s="354"/>
      <c r="H240" s="345"/>
    </row>
    <row r="241" spans="1:8" x14ac:dyDescent="0.4">
      <c r="A241" s="346" t="s">
        <v>1904</v>
      </c>
      <c r="B241" s="346"/>
      <c r="C241" s="346" t="s">
        <v>1942</v>
      </c>
      <c r="D241" s="354" t="s">
        <v>1633</v>
      </c>
      <c r="E241" s="354" t="s">
        <v>1644</v>
      </c>
      <c r="F241" s="354"/>
      <c r="G241" s="354"/>
      <c r="H241" s="345"/>
    </row>
    <row r="242" spans="1:8" x14ac:dyDescent="0.4">
      <c r="A242" s="346" t="s">
        <v>1905</v>
      </c>
      <c r="B242" s="346"/>
      <c r="C242" s="346" t="s">
        <v>1943</v>
      </c>
      <c r="D242" s="354"/>
      <c r="E242" s="354">
        <v>2400</v>
      </c>
      <c r="F242" s="354"/>
      <c r="G242" s="354"/>
      <c r="H242" s="345"/>
    </row>
    <row r="243" spans="1:8" x14ac:dyDescent="0.4">
      <c r="A243" s="346" t="s">
        <v>1906</v>
      </c>
      <c r="B243" s="346"/>
      <c r="C243" s="346" t="s">
        <v>1944</v>
      </c>
      <c r="D243" s="354" t="s">
        <v>1945</v>
      </c>
      <c r="E243" s="354">
        <v>1500</v>
      </c>
      <c r="F243" s="354"/>
      <c r="G243" s="354"/>
      <c r="H243" s="345"/>
    </row>
    <row r="244" spans="1:8" x14ac:dyDescent="0.4">
      <c r="A244" s="346" t="s">
        <v>1907</v>
      </c>
      <c r="B244" s="346"/>
      <c r="C244" s="346" t="s">
        <v>1946</v>
      </c>
      <c r="D244" s="354"/>
      <c r="E244" s="354">
        <v>3535</v>
      </c>
      <c r="F244" s="354"/>
      <c r="G244" s="354"/>
      <c r="H244" s="345"/>
    </row>
    <row r="245" spans="1:8" x14ac:dyDescent="0.4">
      <c r="A245" s="346" t="s">
        <v>1908</v>
      </c>
      <c r="B245" s="346"/>
      <c r="C245" s="346" t="s">
        <v>1947</v>
      </c>
      <c r="D245" s="354"/>
      <c r="E245" s="354">
        <v>1000</v>
      </c>
      <c r="F245" s="354"/>
      <c r="G245" s="354"/>
      <c r="H245" s="345"/>
    </row>
    <row r="246" spans="1:8" x14ac:dyDescent="0.4">
      <c r="A246" s="346" t="s">
        <v>1909</v>
      </c>
      <c r="B246" s="346"/>
      <c r="C246" s="346" t="s">
        <v>1948</v>
      </c>
      <c r="D246" s="354"/>
      <c r="E246" s="354" t="s">
        <v>1644</v>
      </c>
      <c r="F246" s="354"/>
      <c r="G246" s="354"/>
      <c r="H246" s="345"/>
    </row>
    <row r="247" spans="1:8" x14ac:dyDescent="0.4">
      <c r="A247" s="346" t="s">
        <v>1910</v>
      </c>
      <c r="B247" s="346"/>
      <c r="C247" s="346" t="s">
        <v>1949</v>
      </c>
      <c r="D247" s="354"/>
      <c r="E247" s="354"/>
      <c r="F247" s="354"/>
      <c r="G247" s="354"/>
      <c r="H247" s="345"/>
    </row>
    <row r="248" spans="1:8" x14ac:dyDescent="0.4">
      <c r="A248" s="346" t="s">
        <v>1911</v>
      </c>
      <c r="B248" s="346"/>
      <c r="C248" s="346" t="s">
        <v>1950</v>
      </c>
      <c r="D248" s="354"/>
      <c r="E248" s="354" t="s">
        <v>1640</v>
      </c>
      <c r="F248" s="354"/>
      <c r="G248" s="354"/>
      <c r="H248" s="345"/>
    </row>
    <row r="249" spans="1:8" x14ac:dyDescent="0.4">
      <c r="A249" s="346" t="s">
        <v>1912</v>
      </c>
      <c r="B249" s="346"/>
      <c r="C249" s="346" t="s">
        <v>1951</v>
      </c>
      <c r="D249" s="354"/>
      <c r="E249" s="354">
        <v>3200</v>
      </c>
      <c r="F249" s="354"/>
      <c r="G249" s="354"/>
      <c r="H249" s="345"/>
    </row>
    <row r="250" spans="1:8" x14ac:dyDescent="0.4">
      <c r="A250" s="346" t="s">
        <v>1913</v>
      </c>
      <c r="B250" s="346"/>
      <c r="C250" s="346" t="s">
        <v>1952</v>
      </c>
      <c r="D250" s="354"/>
      <c r="E250" s="354">
        <v>6400</v>
      </c>
      <c r="F250" s="354"/>
      <c r="G250" s="354"/>
      <c r="H250" s="345"/>
    </row>
    <row r="251" spans="1:8" x14ac:dyDescent="0.4">
      <c r="A251" s="346" t="s">
        <v>1914</v>
      </c>
      <c r="B251" s="346"/>
      <c r="C251" s="346" t="s">
        <v>1953</v>
      </c>
      <c r="D251" s="354"/>
      <c r="E251" s="354"/>
      <c r="F251" s="354"/>
      <c r="G251" s="354"/>
      <c r="H251" s="345"/>
    </row>
    <row r="252" spans="1:8" x14ac:dyDescent="0.4">
      <c r="A252" s="346" t="s">
        <v>1915</v>
      </c>
      <c r="B252" s="346"/>
      <c r="C252" s="346" t="s">
        <v>1954</v>
      </c>
      <c r="D252" s="354"/>
      <c r="E252" s="354">
        <v>5200</v>
      </c>
      <c r="F252" s="354"/>
      <c r="G252" s="354"/>
      <c r="H252" s="345"/>
    </row>
    <row r="253" spans="1:8" x14ac:dyDescent="0.4">
      <c r="A253" s="346" t="s">
        <v>1916</v>
      </c>
      <c r="B253" s="346"/>
      <c r="C253" s="346" t="s">
        <v>1955</v>
      </c>
      <c r="D253" s="354"/>
      <c r="E253" s="354" t="s">
        <v>1956</v>
      </c>
      <c r="F253" s="354"/>
      <c r="G253" s="354"/>
      <c r="H253" s="345"/>
    </row>
    <row r="254" spans="1:8" x14ac:dyDescent="0.4">
      <c r="A254" s="346" t="s">
        <v>1917</v>
      </c>
      <c r="B254" s="346"/>
      <c r="C254" s="346" t="s">
        <v>1957</v>
      </c>
      <c r="D254" s="354" t="s">
        <v>1958</v>
      </c>
      <c r="E254" s="354">
        <v>1300</v>
      </c>
      <c r="F254" s="354"/>
      <c r="G254" s="354"/>
      <c r="H254" s="345"/>
    </row>
    <row r="255" spans="1:8" x14ac:dyDescent="0.4">
      <c r="A255" s="346" t="s">
        <v>1918</v>
      </c>
      <c r="B255" s="346"/>
      <c r="C255" s="346" t="s">
        <v>1959</v>
      </c>
      <c r="D255" s="354"/>
      <c r="E255" s="354"/>
      <c r="F255" s="354"/>
      <c r="G255" s="354"/>
      <c r="H255" s="345"/>
    </row>
    <row r="256" spans="1:8" x14ac:dyDescent="0.4">
      <c r="A256" s="346" t="s">
        <v>1919</v>
      </c>
      <c r="B256" s="346"/>
      <c r="C256" s="346" t="s">
        <v>1960</v>
      </c>
      <c r="D256" s="354"/>
      <c r="E256" s="354"/>
      <c r="F256" s="354">
        <v>3900</v>
      </c>
      <c r="G256" s="354"/>
      <c r="H256" s="345"/>
    </row>
    <row r="257" spans="1:8" x14ac:dyDescent="0.4">
      <c r="A257" s="346" t="s">
        <v>1920</v>
      </c>
      <c r="B257" s="346"/>
      <c r="C257" s="346" t="s">
        <v>1961</v>
      </c>
      <c r="D257" s="354"/>
      <c r="E257" s="354"/>
      <c r="F257" s="354">
        <v>1326</v>
      </c>
      <c r="G257" s="354"/>
      <c r="H257" s="345"/>
    </row>
    <row r="258" spans="1:8" x14ac:dyDescent="0.4">
      <c r="A258" s="346" t="s">
        <v>1920</v>
      </c>
      <c r="B258" s="346"/>
      <c r="C258" s="346" t="s">
        <v>1962</v>
      </c>
      <c r="D258" s="354"/>
      <c r="E258" s="354"/>
      <c r="F258" s="354">
        <v>1326</v>
      </c>
      <c r="G258" s="354"/>
      <c r="H258" s="345"/>
    </row>
    <row r="259" spans="1:8" x14ac:dyDescent="0.4">
      <c r="A259" s="346" t="s">
        <v>1921</v>
      </c>
      <c r="B259" s="346"/>
      <c r="C259" s="346" t="s">
        <v>1963</v>
      </c>
      <c r="D259" s="354"/>
      <c r="E259" s="354"/>
      <c r="F259" s="354" t="s">
        <v>1646</v>
      </c>
      <c r="G259" s="354"/>
      <c r="H259" s="345"/>
    </row>
    <row r="260" spans="1:8" x14ac:dyDescent="0.4">
      <c r="A260" s="346" t="s">
        <v>1922</v>
      </c>
      <c r="B260" s="346"/>
      <c r="C260" s="346" t="s">
        <v>1964</v>
      </c>
      <c r="D260" s="354" t="s">
        <v>1658</v>
      </c>
      <c r="E260" s="354">
        <v>5800</v>
      </c>
      <c r="F260" s="354"/>
      <c r="G260" s="354"/>
      <c r="H260" s="345"/>
    </row>
    <row r="261" spans="1:8" x14ac:dyDescent="0.4">
      <c r="A261" s="346" t="s">
        <v>1923</v>
      </c>
      <c r="B261" s="346"/>
      <c r="C261" s="346" t="s">
        <v>1965</v>
      </c>
      <c r="D261" s="354" t="s">
        <v>1658</v>
      </c>
      <c r="E261" s="354">
        <v>5963</v>
      </c>
      <c r="F261" s="354"/>
      <c r="G261" s="354"/>
      <c r="H261" s="345"/>
    </row>
    <row r="262" spans="1:8" x14ac:dyDescent="0.4">
      <c r="A262" s="346" t="s">
        <v>1924</v>
      </c>
      <c r="B262" s="346"/>
      <c r="C262" s="346" t="s">
        <v>1966</v>
      </c>
      <c r="D262" s="354"/>
      <c r="E262" s="354" t="s">
        <v>1640</v>
      </c>
      <c r="F262" s="354"/>
      <c r="G262" s="354"/>
      <c r="H262" s="345"/>
    </row>
    <row r="263" spans="1:8" x14ac:dyDescent="0.4">
      <c r="A263" s="346" t="s">
        <v>1925</v>
      </c>
      <c r="B263" s="346"/>
      <c r="C263" s="346" t="s">
        <v>1967</v>
      </c>
      <c r="D263" s="354" t="s">
        <v>1658</v>
      </c>
      <c r="E263" s="354">
        <v>6400</v>
      </c>
      <c r="F263" s="354"/>
      <c r="G263" s="354"/>
      <c r="H263" s="345"/>
    </row>
    <row r="264" spans="1:8" x14ac:dyDescent="0.4">
      <c r="A264" s="346" t="s">
        <v>1926</v>
      </c>
      <c r="B264" s="346"/>
      <c r="C264" s="346" t="s">
        <v>1968</v>
      </c>
      <c r="D264" s="354"/>
      <c r="E264" s="354">
        <v>9900</v>
      </c>
      <c r="F264" s="354"/>
      <c r="G264" s="354"/>
      <c r="H264" s="345"/>
    </row>
    <row r="265" spans="1:8" x14ac:dyDescent="0.4">
      <c r="A265" s="346" t="s">
        <v>1927</v>
      </c>
      <c r="B265" s="346"/>
      <c r="C265" s="346" t="s">
        <v>1969</v>
      </c>
      <c r="D265" s="354"/>
      <c r="E265" s="354"/>
      <c r="F265" s="354">
        <v>3900</v>
      </c>
      <c r="G265" s="354"/>
      <c r="H265" s="345"/>
    </row>
    <row r="266" spans="1:8" x14ac:dyDescent="0.4">
      <c r="A266" s="346" t="s">
        <v>1928</v>
      </c>
      <c r="B266" s="346"/>
      <c r="C266" s="346" t="s">
        <v>1970</v>
      </c>
      <c r="D266" s="354" t="s">
        <v>1658</v>
      </c>
      <c r="E266" s="354">
        <v>2000</v>
      </c>
      <c r="F266" s="354"/>
      <c r="G266" s="354"/>
      <c r="H266" s="345"/>
    </row>
    <row r="267" spans="1:8" x14ac:dyDescent="0.4">
      <c r="A267" s="346" t="s">
        <v>1929</v>
      </c>
      <c r="B267" s="346"/>
      <c r="C267" s="346" t="s">
        <v>1971</v>
      </c>
      <c r="D267" s="354"/>
      <c r="E267" s="354"/>
      <c r="F267" s="354">
        <v>3200</v>
      </c>
      <c r="G267" s="354"/>
      <c r="H267" s="345"/>
    </row>
    <row r="268" spans="1:8" x14ac:dyDescent="0.4">
      <c r="A268" s="346" t="s">
        <v>1930</v>
      </c>
      <c r="B268" s="346"/>
      <c r="C268" s="346" t="s">
        <v>1972</v>
      </c>
      <c r="D268" s="354"/>
      <c r="E268" s="354"/>
      <c r="F268" s="354">
        <v>9600</v>
      </c>
      <c r="G268" s="354"/>
      <c r="H268" s="345"/>
    </row>
    <row r="269" spans="1:8" x14ac:dyDescent="0.4">
      <c r="A269" s="346" t="s">
        <v>1931</v>
      </c>
      <c r="B269" s="346"/>
      <c r="C269" s="346" t="s">
        <v>1973</v>
      </c>
      <c r="D269" s="354"/>
      <c r="E269" s="354">
        <v>9600</v>
      </c>
      <c r="F269" s="354"/>
      <c r="G269" s="354"/>
      <c r="H269" s="345"/>
    </row>
    <row r="270" spans="1:8" x14ac:dyDescent="0.4">
      <c r="A270" s="346" t="s">
        <v>1932</v>
      </c>
      <c r="B270" s="346"/>
      <c r="C270" s="346" t="s">
        <v>1974</v>
      </c>
      <c r="D270" s="354" t="s">
        <v>1975</v>
      </c>
      <c r="E270" s="354">
        <v>9600</v>
      </c>
      <c r="F270" s="354"/>
      <c r="G270" s="354"/>
      <c r="H270" s="345"/>
    </row>
    <row r="271" spans="1:8" x14ac:dyDescent="0.4">
      <c r="A271" s="346" t="s">
        <v>1933</v>
      </c>
      <c r="B271" s="346"/>
      <c r="C271" s="346" t="s">
        <v>1976</v>
      </c>
      <c r="D271" s="354"/>
      <c r="E271" s="354"/>
      <c r="F271" s="354">
        <v>5200</v>
      </c>
      <c r="G271" s="354"/>
      <c r="H271" s="345"/>
    </row>
    <row r="272" spans="1:8" x14ac:dyDescent="0.4">
      <c r="A272" s="346" t="s">
        <v>1920</v>
      </c>
      <c r="B272" s="346"/>
      <c r="C272" s="346" t="s">
        <v>1977</v>
      </c>
      <c r="D272" s="354"/>
      <c r="E272" s="354"/>
      <c r="F272" s="354">
        <v>1326</v>
      </c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 t="s">
        <v>11</v>
      </c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1978</v>
      </c>
      <c r="B291" s="346"/>
      <c r="C291" s="346" t="s">
        <v>1994</v>
      </c>
      <c r="D291" s="354" t="s">
        <v>1995</v>
      </c>
      <c r="E291" s="354" t="s">
        <v>1644</v>
      </c>
      <c r="F291" s="354"/>
      <c r="G291" s="354"/>
      <c r="H291" s="345"/>
    </row>
    <row r="292" spans="1:8" x14ac:dyDescent="0.4">
      <c r="A292" s="346" t="s">
        <v>1979</v>
      </c>
      <c r="B292" s="346"/>
      <c r="C292" s="346" t="s">
        <v>1996</v>
      </c>
      <c r="D292" s="354"/>
      <c r="E292" s="354"/>
      <c r="F292" s="354"/>
      <c r="G292" s="354"/>
      <c r="H292" s="345"/>
    </row>
    <row r="293" spans="1:8" x14ac:dyDescent="0.4">
      <c r="A293" s="346" t="s">
        <v>1980</v>
      </c>
      <c r="B293" s="346"/>
      <c r="C293" s="346" t="s">
        <v>1997</v>
      </c>
      <c r="D293" s="354"/>
      <c r="E293" s="354"/>
      <c r="F293" s="354"/>
      <c r="G293" s="354"/>
      <c r="H293" s="345"/>
    </row>
    <row r="294" spans="1:8" x14ac:dyDescent="0.4">
      <c r="A294" s="346" t="s">
        <v>1981</v>
      </c>
      <c r="B294" s="346"/>
      <c r="C294" s="346" t="s">
        <v>1998</v>
      </c>
      <c r="D294" s="354" t="s">
        <v>1999</v>
      </c>
      <c r="E294" s="354">
        <v>2700</v>
      </c>
      <c r="F294" s="354"/>
      <c r="G294" s="354"/>
      <c r="H294" s="345"/>
    </row>
    <row r="295" spans="1:8" x14ac:dyDescent="0.4">
      <c r="A295" s="346" t="s">
        <v>1982</v>
      </c>
      <c r="B295" s="346"/>
      <c r="C295" s="346" t="s">
        <v>2000</v>
      </c>
      <c r="D295" s="354" t="s">
        <v>1633</v>
      </c>
      <c r="E295" s="354" t="s">
        <v>1640</v>
      </c>
      <c r="F295" s="354"/>
      <c r="G295" s="354"/>
      <c r="H295" s="345"/>
    </row>
    <row r="296" spans="1:8" x14ac:dyDescent="0.4">
      <c r="A296" s="346" t="s">
        <v>1983</v>
      </c>
      <c r="B296" s="346"/>
      <c r="C296" s="346" t="s">
        <v>2001</v>
      </c>
      <c r="D296" s="354"/>
      <c r="E296" s="354"/>
      <c r="F296" s="354" t="s">
        <v>2002</v>
      </c>
      <c r="G296" s="354"/>
      <c r="H296" s="345"/>
    </row>
    <row r="297" spans="1:8" x14ac:dyDescent="0.4">
      <c r="A297" s="346" t="s">
        <v>1984</v>
      </c>
      <c r="B297" s="346"/>
      <c r="C297" s="346" t="s">
        <v>2003</v>
      </c>
      <c r="D297" s="354" t="s">
        <v>2004</v>
      </c>
      <c r="E297" s="354" t="s">
        <v>1646</v>
      </c>
      <c r="F297" s="354"/>
      <c r="G297" s="354"/>
      <c r="H297" s="345"/>
    </row>
    <row r="298" spans="1:8" x14ac:dyDescent="0.4">
      <c r="A298" s="346" t="s">
        <v>1985</v>
      </c>
      <c r="B298" s="346"/>
      <c r="C298" s="346" t="s">
        <v>2005</v>
      </c>
      <c r="D298" s="354" t="s">
        <v>1633</v>
      </c>
      <c r="E298" s="354">
        <v>2000</v>
      </c>
      <c r="F298" s="354"/>
      <c r="G298" s="354"/>
      <c r="H298" s="345"/>
    </row>
    <row r="299" spans="1:8" x14ac:dyDescent="0.4">
      <c r="A299" s="346" t="s">
        <v>1986</v>
      </c>
      <c r="B299" s="346"/>
      <c r="C299" s="346" t="s">
        <v>2006</v>
      </c>
      <c r="D299" s="354" t="s">
        <v>1633</v>
      </c>
      <c r="E299" s="354" t="s">
        <v>1646</v>
      </c>
      <c r="F299" s="354"/>
      <c r="G299" s="354"/>
      <c r="H299" s="345"/>
    </row>
    <row r="300" spans="1:8" x14ac:dyDescent="0.4">
      <c r="A300" s="346" t="s">
        <v>1987</v>
      </c>
      <c r="B300" s="346"/>
      <c r="C300" s="346" t="s">
        <v>2007</v>
      </c>
      <c r="D300" s="354"/>
      <c r="E300" s="354"/>
      <c r="F300" s="354"/>
      <c r="G300" s="354"/>
      <c r="H300" s="345"/>
    </row>
    <row r="301" spans="1:8" x14ac:dyDescent="0.4">
      <c r="A301" s="346" t="s">
        <v>1988</v>
      </c>
      <c r="B301" s="346"/>
      <c r="C301" s="346" t="s">
        <v>2008</v>
      </c>
      <c r="D301" s="354" t="s">
        <v>2009</v>
      </c>
      <c r="E301" s="354">
        <v>1500</v>
      </c>
      <c r="F301" s="354"/>
      <c r="G301" s="354"/>
      <c r="H301" s="345"/>
    </row>
    <row r="302" spans="1:8" x14ac:dyDescent="0.4">
      <c r="A302" s="346" t="s">
        <v>1989</v>
      </c>
      <c r="B302" s="346"/>
      <c r="C302" s="346" t="s">
        <v>2010</v>
      </c>
      <c r="D302" s="354" t="s">
        <v>1683</v>
      </c>
      <c r="E302" s="354" t="s">
        <v>1859</v>
      </c>
      <c r="F302" s="354"/>
      <c r="G302" s="354"/>
      <c r="H302" s="345"/>
    </row>
    <row r="303" spans="1:8" x14ac:dyDescent="0.4">
      <c r="A303" s="346" t="s">
        <v>1990</v>
      </c>
      <c r="B303" s="346"/>
      <c r="C303" s="346" t="s">
        <v>2011</v>
      </c>
      <c r="D303" s="354" t="s">
        <v>2012</v>
      </c>
      <c r="E303" s="354">
        <v>1980</v>
      </c>
      <c r="F303" s="354"/>
      <c r="G303" s="354"/>
      <c r="H303" s="345"/>
    </row>
    <row r="304" spans="1:8" x14ac:dyDescent="0.4">
      <c r="A304" s="346" t="s">
        <v>1991</v>
      </c>
      <c r="B304" s="346"/>
      <c r="C304" s="346" t="s">
        <v>2013</v>
      </c>
      <c r="D304" s="354" t="s">
        <v>1633</v>
      </c>
      <c r="E304" s="354" t="s">
        <v>1671</v>
      </c>
      <c r="F304" s="354"/>
      <c r="G304" s="354"/>
      <c r="H304" s="345"/>
    </row>
    <row r="305" spans="1:8" x14ac:dyDescent="0.4">
      <c r="A305" s="346" t="s">
        <v>1992</v>
      </c>
      <c r="B305" s="346"/>
      <c r="C305" s="346" t="s">
        <v>2014</v>
      </c>
      <c r="D305" s="354"/>
      <c r="E305" s="354"/>
      <c r="F305" s="354"/>
      <c r="G305" s="354"/>
      <c r="H305" s="345"/>
    </row>
    <row r="306" spans="1:8" x14ac:dyDescent="0.4">
      <c r="A306" s="346" t="s">
        <v>1993</v>
      </c>
      <c r="B306" s="346"/>
      <c r="C306" s="346" t="s">
        <v>2015</v>
      </c>
      <c r="D306" s="354" t="s">
        <v>2016</v>
      </c>
      <c r="E306" s="354">
        <v>5800</v>
      </c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 t="s">
        <v>11</v>
      </c>
      <c r="B314" s="346"/>
      <c r="C314" s="346" t="s">
        <v>11</v>
      </c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 t="s">
        <v>2017</v>
      </c>
      <c r="B324" s="346"/>
      <c r="C324" s="346" t="s">
        <v>2024</v>
      </c>
      <c r="D324" s="354" t="s">
        <v>1639</v>
      </c>
      <c r="E324" s="354">
        <v>2000</v>
      </c>
      <c r="F324" s="354"/>
      <c r="G324" s="354"/>
      <c r="H324" s="345"/>
    </row>
    <row r="325" spans="1:8" x14ac:dyDescent="0.4">
      <c r="A325" s="346" t="s">
        <v>2018</v>
      </c>
      <c r="B325" s="346"/>
      <c r="C325" s="346" t="s">
        <v>2025</v>
      </c>
      <c r="D325" s="354" t="s">
        <v>2026</v>
      </c>
      <c r="E325" s="354" t="s">
        <v>1671</v>
      </c>
      <c r="F325" s="354"/>
      <c r="G325" s="354"/>
      <c r="H325" s="345"/>
    </row>
    <row r="326" spans="1:8" x14ac:dyDescent="0.4">
      <c r="A326" s="346" t="s">
        <v>2019</v>
      </c>
      <c r="B326" s="346"/>
      <c r="C326" s="346" t="s">
        <v>2027</v>
      </c>
      <c r="D326" s="354"/>
      <c r="E326" s="354"/>
      <c r="F326" s="354"/>
      <c r="G326" s="354"/>
      <c r="H326" s="345"/>
    </row>
    <row r="327" spans="1:8" x14ac:dyDescent="0.4">
      <c r="A327" s="346" t="s">
        <v>2020</v>
      </c>
      <c r="B327" s="346"/>
      <c r="C327" s="346" t="s">
        <v>2028</v>
      </c>
      <c r="D327" s="354" t="s">
        <v>2029</v>
      </c>
      <c r="E327" s="354"/>
      <c r="F327" s="354"/>
      <c r="G327" s="354"/>
      <c r="H327" s="345"/>
    </row>
    <row r="328" spans="1:8" x14ac:dyDescent="0.4">
      <c r="A328" s="346" t="s">
        <v>2021</v>
      </c>
      <c r="B328" s="346"/>
      <c r="C328" s="346" t="s">
        <v>2030</v>
      </c>
      <c r="D328" s="354"/>
      <c r="E328" s="354">
        <v>6400</v>
      </c>
      <c r="F328" s="354"/>
      <c r="G328" s="354"/>
      <c r="H328" s="345"/>
    </row>
    <row r="329" spans="1:8" x14ac:dyDescent="0.4">
      <c r="A329" s="346" t="s">
        <v>2022</v>
      </c>
      <c r="B329" s="346"/>
      <c r="C329" s="346" t="s">
        <v>2031</v>
      </c>
      <c r="D329" s="354"/>
      <c r="E329" s="354" t="s">
        <v>1644</v>
      </c>
      <c r="F329" s="354"/>
      <c r="G329" s="354"/>
      <c r="H329" s="345"/>
    </row>
    <row r="330" spans="1:8" x14ac:dyDescent="0.4">
      <c r="A330" s="346" t="s">
        <v>2023</v>
      </c>
      <c r="B330" s="346"/>
      <c r="C330" s="346" t="s">
        <v>2032</v>
      </c>
      <c r="D330" s="354"/>
      <c r="E330" s="354"/>
      <c r="F330" s="354">
        <v>2000</v>
      </c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 t="s">
        <v>2033</v>
      </c>
      <c r="B351" s="346"/>
      <c r="C351" s="346" t="s">
        <v>2051</v>
      </c>
      <c r="D351" s="354" t="s">
        <v>1945</v>
      </c>
      <c r="E351" s="354" t="s">
        <v>1859</v>
      </c>
      <c r="F351" s="354"/>
      <c r="G351" s="354"/>
      <c r="H351" s="345"/>
    </row>
    <row r="352" spans="1:8" x14ac:dyDescent="0.4">
      <c r="A352" s="346" t="s">
        <v>2034</v>
      </c>
      <c r="B352" s="346"/>
      <c r="C352" s="346" t="s">
        <v>2052</v>
      </c>
      <c r="D352" s="354"/>
      <c r="E352" s="354">
        <v>3900</v>
      </c>
      <c r="F352" s="354"/>
      <c r="G352" s="354"/>
      <c r="H352" s="345"/>
    </row>
    <row r="353" spans="1:8" x14ac:dyDescent="0.4">
      <c r="A353" s="346" t="s">
        <v>2035</v>
      </c>
      <c r="B353" s="346"/>
      <c r="C353" s="346" t="s">
        <v>2053</v>
      </c>
      <c r="D353" s="354"/>
      <c r="E353" s="354">
        <v>5800</v>
      </c>
      <c r="F353" s="354"/>
      <c r="G353" s="354"/>
      <c r="H353" s="345"/>
    </row>
    <row r="354" spans="1:8" x14ac:dyDescent="0.4">
      <c r="A354" s="346" t="s">
        <v>2036</v>
      </c>
      <c r="B354" s="346"/>
      <c r="C354" s="346" t="s">
        <v>2054</v>
      </c>
      <c r="D354" s="354"/>
      <c r="E354" s="354" t="s">
        <v>1646</v>
      </c>
      <c r="F354" s="354"/>
      <c r="G354" s="354"/>
      <c r="H354" s="345"/>
    </row>
    <row r="355" spans="1:8" x14ac:dyDescent="0.4">
      <c r="A355" s="346" t="s">
        <v>2037</v>
      </c>
      <c r="B355" s="346"/>
      <c r="C355" s="346" t="s">
        <v>2055</v>
      </c>
      <c r="D355" s="354"/>
      <c r="E355" s="354"/>
      <c r="F355" s="354"/>
      <c r="G355" s="354"/>
      <c r="H355" s="345"/>
    </row>
    <row r="356" spans="1:8" x14ac:dyDescent="0.4">
      <c r="A356" s="346" t="s">
        <v>2038</v>
      </c>
      <c r="B356" s="346"/>
      <c r="C356" s="346" t="s">
        <v>2056</v>
      </c>
      <c r="D356" s="354"/>
      <c r="E356" s="354">
        <v>3200</v>
      </c>
      <c r="F356" s="354"/>
      <c r="G356" s="354"/>
      <c r="H356" s="345"/>
    </row>
    <row r="357" spans="1:8" x14ac:dyDescent="0.4">
      <c r="A357" s="346" t="s">
        <v>2039</v>
      </c>
      <c r="B357" s="346"/>
      <c r="C357" s="346" t="s">
        <v>2057</v>
      </c>
      <c r="D357" s="354"/>
      <c r="E357" s="354">
        <v>9600</v>
      </c>
      <c r="F357" s="354"/>
      <c r="G357" s="354"/>
      <c r="H357" s="345"/>
    </row>
    <row r="358" spans="1:8" x14ac:dyDescent="0.4">
      <c r="A358" s="346" t="s">
        <v>2040</v>
      </c>
      <c r="B358" s="346"/>
      <c r="C358" s="346" t="s">
        <v>2058</v>
      </c>
      <c r="D358" s="354" t="s">
        <v>1633</v>
      </c>
      <c r="E358" s="354">
        <v>1632</v>
      </c>
      <c r="F358" s="354"/>
      <c r="G358" s="354"/>
      <c r="H358" s="345"/>
    </row>
    <row r="359" spans="1:8" x14ac:dyDescent="0.4">
      <c r="A359" s="346" t="s">
        <v>2041</v>
      </c>
      <c r="B359" s="346"/>
      <c r="C359" s="346" t="s">
        <v>2059</v>
      </c>
      <c r="D359" s="354" t="s">
        <v>1633</v>
      </c>
      <c r="E359" s="354">
        <v>5200</v>
      </c>
      <c r="F359" s="354"/>
      <c r="G359" s="354"/>
      <c r="H359" s="345"/>
    </row>
    <row r="360" spans="1:8" x14ac:dyDescent="0.4">
      <c r="A360" s="346" t="s">
        <v>2042</v>
      </c>
      <c r="B360" s="346"/>
      <c r="C360" s="346" t="s">
        <v>2060</v>
      </c>
      <c r="D360" s="354"/>
      <c r="E360" s="354"/>
      <c r="F360" s="354" t="s">
        <v>2061</v>
      </c>
      <c r="G360" s="354"/>
      <c r="H360" s="345"/>
    </row>
    <row r="361" spans="1:8" x14ac:dyDescent="0.4">
      <c r="A361" s="346" t="s">
        <v>2043</v>
      </c>
      <c r="B361" s="346"/>
      <c r="C361" s="346" t="s">
        <v>2062</v>
      </c>
      <c r="D361" s="354"/>
      <c r="E361" s="354" t="s">
        <v>1644</v>
      </c>
      <c r="F361" s="354"/>
      <c r="G361" s="354"/>
      <c r="H361" s="345"/>
    </row>
    <row r="362" spans="1:8" x14ac:dyDescent="0.4">
      <c r="A362" s="346" t="s">
        <v>2044</v>
      </c>
      <c r="B362" s="346"/>
      <c r="C362" s="346" t="s">
        <v>2063</v>
      </c>
      <c r="D362" s="354"/>
      <c r="E362" s="354" t="s">
        <v>1644</v>
      </c>
      <c r="F362" s="354"/>
      <c r="G362" s="354"/>
      <c r="H362" s="345"/>
    </row>
    <row r="363" spans="1:8" x14ac:dyDescent="0.4">
      <c r="A363" s="346" t="s">
        <v>2045</v>
      </c>
      <c r="B363" s="346"/>
      <c r="C363" s="346" t="s">
        <v>2064</v>
      </c>
      <c r="D363" s="354"/>
      <c r="E363" s="354">
        <v>6400</v>
      </c>
      <c r="F363" s="354"/>
      <c r="G363" s="354"/>
      <c r="H363" s="345"/>
    </row>
    <row r="364" spans="1:8" x14ac:dyDescent="0.4">
      <c r="A364" s="346" t="s">
        <v>2046</v>
      </c>
      <c r="B364" s="346"/>
      <c r="C364" s="346" t="s">
        <v>2065</v>
      </c>
      <c r="D364" s="354" t="s">
        <v>2066</v>
      </c>
      <c r="E364" s="354">
        <v>3900</v>
      </c>
      <c r="F364" s="354"/>
      <c r="G364" s="354"/>
      <c r="H364" s="345"/>
    </row>
    <row r="365" spans="1:8" x14ac:dyDescent="0.4">
      <c r="A365" s="346" t="s">
        <v>2047</v>
      </c>
      <c r="B365" s="346"/>
      <c r="C365" s="346" t="s">
        <v>2067</v>
      </c>
      <c r="D365" s="354" t="s">
        <v>1658</v>
      </c>
      <c r="E365" s="354">
        <v>3900</v>
      </c>
      <c r="F365" s="354"/>
      <c r="G365" s="354"/>
      <c r="H365" s="345"/>
    </row>
    <row r="366" spans="1:8" x14ac:dyDescent="0.4">
      <c r="A366" s="346" t="s">
        <v>2048</v>
      </c>
      <c r="B366" s="346"/>
      <c r="C366" s="346" t="s">
        <v>2068</v>
      </c>
      <c r="D366" s="354" t="s">
        <v>2069</v>
      </c>
      <c r="E366" s="354">
        <v>3900</v>
      </c>
      <c r="F366" s="354"/>
      <c r="G366" s="354"/>
      <c r="H366" s="345"/>
    </row>
    <row r="367" spans="1:8" x14ac:dyDescent="0.4">
      <c r="A367" s="346" t="s">
        <v>2049</v>
      </c>
      <c r="B367" s="346"/>
      <c r="C367" s="346" t="s">
        <v>2070</v>
      </c>
      <c r="D367" s="354"/>
      <c r="E367" s="354"/>
      <c r="F367" s="354">
        <v>4649</v>
      </c>
      <c r="G367" s="354"/>
      <c r="H367" s="345"/>
    </row>
    <row r="368" spans="1:8" x14ac:dyDescent="0.4">
      <c r="A368" s="346" t="s">
        <v>2050</v>
      </c>
      <c r="B368" s="346"/>
      <c r="C368" s="346" t="s">
        <v>2071</v>
      </c>
      <c r="D368" s="354" t="s">
        <v>2072</v>
      </c>
      <c r="E368" s="354">
        <v>2900</v>
      </c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 t="s">
        <v>2073</v>
      </c>
      <c r="B383" s="346"/>
      <c r="C383" s="346" t="s">
        <v>2077</v>
      </c>
      <c r="D383" s="354"/>
      <c r="E383" s="354" t="s">
        <v>1732</v>
      </c>
      <c r="F383" s="354"/>
      <c r="G383" s="354"/>
      <c r="H383" s="345"/>
    </row>
    <row r="384" spans="1:8" x14ac:dyDescent="0.4">
      <c r="A384" s="346" t="s">
        <v>2074</v>
      </c>
      <c r="B384" s="346"/>
      <c r="C384" s="346" t="s">
        <v>2078</v>
      </c>
      <c r="D384" s="354"/>
      <c r="E384" s="354" t="s">
        <v>1640</v>
      </c>
      <c r="F384" s="354"/>
      <c r="G384" s="354"/>
      <c r="H384" s="345"/>
    </row>
    <row r="385" spans="1:8" x14ac:dyDescent="0.4">
      <c r="A385" s="346" t="s">
        <v>2075</v>
      </c>
      <c r="B385" s="346"/>
      <c r="C385" s="346" t="s">
        <v>2079</v>
      </c>
      <c r="D385" s="354"/>
      <c r="E385" s="354">
        <v>1000</v>
      </c>
      <c r="F385" s="354"/>
      <c r="G385" s="354"/>
      <c r="H385" s="345"/>
    </row>
    <row r="386" spans="1:8" x14ac:dyDescent="0.4">
      <c r="A386" s="346" t="s">
        <v>2076</v>
      </c>
      <c r="B386" s="346"/>
      <c r="C386" s="346" t="s">
        <v>2080</v>
      </c>
      <c r="D386" s="354"/>
      <c r="E386" s="354">
        <v>6400</v>
      </c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 t="s">
        <v>2081</v>
      </c>
      <c r="B403" s="346"/>
      <c r="C403" s="346" t="s">
        <v>2115</v>
      </c>
      <c r="D403" s="354"/>
      <c r="E403" s="354" t="s">
        <v>2116</v>
      </c>
      <c r="F403" s="354"/>
      <c r="G403" s="354"/>
      <c r="H403" s="345"/>
    </row>
    <row r="404" spans="1:8" x14ac:dyDescent="0.4">
      <c r="A404" s="346" t="s">
        <v>2082</v>
      </c>
      <c r="B404" s="346"/>
      <c r="C404" s="346" t="s">
        <v>2117</v>
      </c>
      <c r="D404" s="354"/>
      <c r="E404" s="354"/>
      <c r="F404" s="354"/>
      <c r="G404" s="354"/>
      <c r="H404" s="345"/>
    </row>
    <row r="405" spans="1:8" x14ac:dyDescent="0.4">
      <c r="A405" s="346" t="s">
        <v>2083</v>
      </c>
      <c r="B405" s="346"/>
      <c r="C405" s="346" t="s">
        <v>2118</v>
      </c>
      <c r="D405" s="354"/>
      <c r="E405" s="354"/>
      <c r="F405" s="354"/>
      <c r="G405" s="354"/>
      <c r="H405" s="345"/>
    </row>
    <row r="406" spans="1:8" x14ac:dyDescent="0.4">
      <c r="A406" s="346" t="s">
        <v>2084</v>
      </c>
      <c r="B406" s="346"/>
      <c r="C406" s="346" t="s">
        <v>2119</v>
      </c>
      <c r="D406" s="354"/>
      <c r="E406" s="354" t="s">
        <v>2120</v>
      </c>
      <c r="F406" s="354"/>
      <c r="G406" s="354"/>
      <c r="H406" s="345"/>
    </row>
    <row r="407" spans="1:8" x14ac:dyDescent="0.4">
      <c r="A407" s="346" t="s">
        <v>2085</v>
      </c>
      <c r="B407" s="346"/>
      <c r="C407" s="346" t="s">
        <v>2121</v>
      </c>
      <c r="D407" s="354"/>
      <c r="E407" s="354" t="s">
        <v>1671</v>
      </c>
      <c r="F407" s="354"/>
      <c r="G407" s="354"/>
      <c r="H407" s="345"/>
    </row>
    <row r="408" spans="1:8" x14ac:dyDescent="0.4">
      <c r="A408" s="346" t="s">
        <v>2086</v>
      </c>
      <c r="B408" s="346"/>
      <c r="C408" s="346" t="s">
        <v>2122</v>
      </c>
      <c r="D408" s="354"/>
      <c r="E408" s="354" t="s">
        <v>1671</v>
      </c>
      <c r="F408" s="354"/>
      <c r="G408" s="354"/>
      <c r="H408" s="345"/>
    </row>
    <row r="409" spans="1:8" x14ac:dyDescent="0.4">
      <c r="A409" s="346" t="s">
        <v>2087</v>
      </c>
      <c r="B409" s="346"/>
      <c r="C409" s="346" t="s">
        <v>2123</v>
      </c>
      <c r="D409" s="354"/>
      <c r="E409" s="354"/>
      <c r="F409" s="354" t="s">
        <v>2124</v>
      </c>
      <c r="G409" s="354"/>
      <c r="H409" s="345"/>
    </row>
    <row r="410" spans="1:8" x14ac:dyDescent="0.4">
      <c r="A410" s="346" t="s">
        <v>2088</v>
      </c>
      <c r="B410" s="346"/>
      <c r="C410" s="346" t="s">
        <v>2125</v>
      </c>
      <c r="D410" s="354"/>
      <c r="E410" s="354"/>
      <c r="F410" s="354" t="s">
        <v>2124</v>
      </c>
      <c r="G410" s="354"/>
      <c r="H410" s="345"/>
    </row>
    <row r="411" spans="1:8" x14ac:dyDescent="0.4">
      <c r="A411" s="346" t="s">
        <v>2089</v>
      </c>
      <c r="B411" s="346"/>
      <c r="C411" s="346" t="s">
        <v>2126</v>
      </c>
      <c r="D411" s="354"/>
      <c r="E411" s="354"/>
      <c r="F411" s="354" t="s">
        <v>2124</v>
      </c>
      <c r="G411" s="354"/>
      <c r="H411" s="345"/>
    </row>
    <row r="412" spans="1:8" x14ac:dyDescent="0.4">
      <c r="A412" s="346" t="s">
        <v>2090</v>
      </c>
      <c r="B412" s="346"/>
      <c r="C412" s="346" t="s">
        <v>2127</v>
      </c>
      <c r="D412" s="354" t="s">
        <v>1633</v>
      </c>
      <c r="E412" s="354" t="s">
        <v>1640</v>
      </c>
      <c r="F412" s="354"/>
      <c r="G412" s="354"/>
      <c r="H412" s="345"/>
    </row>
    <row r="413" spans="1:8" x14ac:dyDescent="0.4">
      <c r="A413" s="346" t="s">
        <v>2091</v>
      </c>
      <c r="B413" s="346"/>
      <c r="C413" s="346" t="s">
        <v>2128</v>
      </c>
      <c r="D413" s="354"/>
      <c r="E413" s="354" t="s">
        <v>2129</v>
      </c>
      <c r="F413" s="354"/>
      <c r="G413" s="354"/>
      <c r="H413" s="345"/>
    </row>
    <row r="414" spans="1:8" x14ac:dyDescent="0.4">
      <c r="A414" s="346" t="s">
        <v>2092</v>
      </c>
      <c r="B414" s="346"/>
      <c r="C414" s="346" t="s">
        <v>2130</v>
      </c>
      <c r="D414" s="354"/>
      <c r="E414" s="354" t="s">
        <v>2131</v>
      </c>
      <c r="F414" s="354"/>
      <c r="G414" s="354"/>
      <c r="H414" s="345"/>
    </row>
    <row r="415" spans="1:8" x14ac:dyDescent="0.4">
      <c r="A415" s="346" t="s">
        <v>2093</v>
      </c>
      <c r="B415" s="346"/>
      <c r="C415" s="346" t="s">
        <v>2132</v>
      </c>
      <c r="D415" s="354"/>
      <c r="E415" s="354" t="s">
        <v>2133</v>
      </c>
      <c r="F415" s="354"/>
      <c r="G415" s="354"/>
      <c r="H415" s="345"/>
    </row>
    <row r="416" spans="1:8" x14ac:dyDescent="0.4">
      <c r="A416" s="346" t="s">
        <v>2094</v>
      </c>
      <c r="B416" s="346"/>
      <c r="C416" s="346" t="s">
        <v>2134</v>
      </c>
      <c r="D416" s="354" t="s">
        <v>2135</v>
      </c>
      <c r="E416" s="354" t="s">
        <v>2136</v>
      </c>
      <c r="F416" s="354"/>
      <c r="G416" s="354"/>
      <c r="H416" s="345"/>
    </row>
    <row r="417" spans="1:8" x14ac:dyDescent="0.4">
      <c r="A417" s="346" t="s">
        <v>2095</v>
      </c>
      <c r="B417" s="346"/>
      <c r="C417" s="346" t="s">
        <v>2137</v>
      </c>
      <c r="D417" s="354" t="s">
        <v>2135</v>
      </c>
      <c r="E417" s="354" t="s">
        <v>2136</v>
      </c>
      <c r="F417" s="354"/>
      <c r="G417" s="354"/>
      <c r="H417" s="345"/>
    </row>
    <row r="418" spans="1:8" x14ac:dyDescent="0.4">
      <c r="A418" s="346" t="s">
        <v>2096</v>
      </c>
      <c r="B418" s="346"/>
      <c r="C418" s="346" t="s">
        <v>2138</v>
      </c>
      <c r="D418" s="354"/>
      <c r="E418" s="354" t="s">
        <v>2139</v>
      </c>
      <c r="F418" s="354"/>
      <c r="G418" s="354"/>
      <c r="H418" s="345"/>
    </row>
    <row r="419" spans="1:8" x14ac:dyDescent="0.4">
      <c r="A419" s="346" t="s">
        <v>2097</v>
      </c>
      <c r="B419" s="346"/>
      <c r="C419" s="346" t="s">
        <v>2140</v>
      </c>
      <c r="D419" s="354"/>
      <c r="E419" s="354" t="s">
        <v>2141</v>
      </c>
      <c r="F419" s="354"/>
      <c r="G419" s="354"/>
      <c r="H419" s="345"/>
    </row>
    <row r="420" spans="1:8" x14ac:dyDescent="0.4">
      <c r="A420" s="346" t="s">
        <v>2098</v>
      </c>
      <c r="B420" s="346"/>
      <c r="C420" s="346" t="s">
        <v>2142</v>
      </c>
      <c r="D420" s="354"/>
      <c r="E420" s="354" t="s">
        <v>2141</v>
      </c>
      <c r="F420" s="354"/>
      <c r="G420" s="354"/>
      <c r="H420" s="345"/>
    </row>
    <row r="421" spans="1:8" x14ac:dyDescent="0.4">
      <c r="A421" s="346" t="s">
        <v>2099</v>
      </c>
      <c r="B421" s="346"/>
      <c r="C421" s="346" t="s">
        <v>2142</v>
      </c>
      <c r="D421" s="354"/>
      <c r="E421" s="354" t="s">
        <v>2141</v>
      </c>
      <c r="F421" s="354"/>
      <c r="G421" s="354"/>
      <c r="H421" s="345"/>
    </row>
    <row r="422" spans="1:8" x14ac:dyDescent="0.4">
      <c r="A422" s="346" t="s">
        <v>2100</v>
      </c>
      <c r="B422" s="346"/>
      <c r="C422" s="346" t="s">
        <v>2143</v>
      </c>
      <c r="D422" s="354" t="s">
        <v>1633</v>
      </c>
      <c r="E422" s="354"/>
      <c r="F422" s="354" t="s">
        <v>2144</v>
      </c>
      <c r="G422" s="354"/>
      <c r="H422" s="345"/>
    </row>
    <row r="423" spans="1:8" x14ac:dyDescent="0.4">
      <c r="A423" s="346" t="s">
        <v>2101</v>
      </c>
      <c r="B423" s="346"/>
      <c r="C423" s="346" t="s">
        <v>2145</v>
      </c>
      <c r="D423" s="354" t="s">
        <v>2146</v>
      </c>
      <c r="E423" s="354" t="s">
        <v>1644</v>
      </c>
      <c r="F423" s="354"/>
      <c r="G423" s="354"/>
      <c r="H423" s="345"/>
    </row>
    <row r="424" spans="1:8" x14ac:dyDescent="0.4">
      <c r="A424" s="346" t="s">
        <v>2102</v>
      </c>
      <c r="B424" s="346"/>
      <c r="C424" s="346" t="s">
        <v>2147</v>
      </c>
      <c r="D424" s="354" t="s">
        <v>2146</v>
      </c>
      <c r="E424" s="354" t="s">
        <v>1644</v>
      </c>
      <c r="F424" s="354"/>
      <c r="G424" s="354"/>
      <c r="H424" s="345"/>
    </row>
    <row r="425" spans="1:8" x14ac:dyDescent="0.4">
      <c r="A425" s="346" t="s">
        <v>2103</v>
      </c>
      <c r="B425" s="346"/>
      <c r="C425" s="346" t="s">
        <v>2148</v>
      </c>
      <c r="D425" s="354" t="s">
        <v>2146</v>
      </c>
      <c r="E425" s="354" t="s">
        <v>1859</v>
      </c>
      <c r="F425" s="354"/>
      <c r="G425" s="354"/>
      <c r="H425" s="345"/>
    </row>
    <row r="426" spans="1:8" x14ac:dyDescent="0.4">
      <c r="A426" s="346" t="s">
        <v>2104</v>
      </c>
      <c r="B426" s="346"/>
      <c r="C426" s="346" t="s">
        <v>2149</v>
      </c>
      <c r="D426" s="354"/>
      <c r="E426" s="354" t="s">
        <v>2150</v>
      </c>
      <c r="F426" s="354"/>
      <c r="G426" s="354"/>
      <c r="H426" s="345"/>
    </row>
    <row r="427" spans="1:8" x14ac:dyDescent="0.4">
      <c r="A427" s="346" t="s">
        <v>2105</v>
      </c>
      <c r="B427" s="346"/>
      <c r="C427" s="346" t="s">
        <v>2151</v>
      </c>
      <c r="D427" s="354"/>
      <c r="E427" s="354"/>
      <c r="F427" s="354" t="s">
        <v>1640</v>
      </c>
      <c r="G427" s="354"/>
      <c r="H427" s="345"/>
    </row>
    <row r="428" spans="1:8" x14ac:dyDescent="0.4">
      <c r="A428" s="346" t="s">
        <v>2106</v>
      </c>
      <c r="B428" s="346"/>
      <c r="C428" s="346" t="s">
        <v>2152</v>
      </c>
      <c r="D428" s="354"/>
      <c r="E428" s="354"/>
      <c r="F428" s="354" t="s">
        <v>2153</v>
      </c>
      <c r="G428" s="354"/>
      <c r="H428" s="345"/>
    </row>
    <row r="429" spans="1:8" x14ac:dyDescent="0.4">
      <c r="A429" s="346" t="s">
        <v>2107</v>
      </c>
      <c r="B429" s="346"/>
      <c r="C429" s="346" t="s">
        <v>2154</v>
      </c>
      <c r="D429" s="354" t="s">
        <v>1658</v>
      </c>
      <c r="E429" s="354" t="s">
        <v>2129</v>
      </c>
      <c r="F429" s="354"/>
      <c r="G429" s="354"/>
      <c r="H429" s="345"/>
    </row>
    <row r="430" spans="1:8" x14ac:dyDescent="0.4">
      <c r="A430" s="346" t="s">
        <v>2108</v>
      </c>
      <c r="B430" s="346"/>
      <c r="C430" s="346" t="s">
        <v>2155</v>
      </c>
      <c r="D430" s="354"/>
      <c r="E430" s="354"/>
      <c r="F430" s="354" t="s">
        <v>2153</v>
      </c>
      <c r="G430" s="354"/>
      <c r="H430" s="345"/>
    </row>
    <row r="431" spans="1:8" x14ac:dyDescent="0.4">
      <c r="A431" s="346" t="s">
        <v>2109</v>
      </c>
      <c r="B431" s="346"/>
      <c r="C431" s="346" t="s">
        <v>2156</v>
      </c>
      <c r="D431" s="354"/>
      <c r="E431" s="354"/>
      <c r="F431" s="354" t="s">
        <v>2157</v>
      </c>
      <c r="G431" s="354"/>
      <c r="H431" s="345"/>
    </row>
    <row r="432" spans="1:8" x14ac:dyDescent="0.4">
      <c r="A432" s="346" t="s">
        <v>2110</v>
      </c>
      <c r="B432" s="346"/>
      <c r="C432" s="346" t="s">
        <v>2156</v>
      </c>
      <c r="D432" s="354"/>
      <c r="E432" s="354"/>
      <c r="F432" s="354" t="s">
        <v>2158</v>
      </c>
      <c r="G432" s="354"/>
      <c r="H432" s="345"/>
    </row>
    <row r="433" spans="1:8" x14ac:dyDescent="0.4">
      <c r="A433" s="346" t="s">
        <v>2111</v>
      </c>
      <c r="B433" s="346"/>
      <c r="C433" s="346" t="s">
        <v>2159</v>
      </c>
      <c r="D433" s="354"/>
      <c r="E433" s="354"/>
      <c r="F433" s="354" t="s">
        <v>1671</v>
      </c>
      <c r="G433" s="354"/>
      <c r="H433" s="345"/>
    </row>
    <row r="434" spans="1:8" x14ac:dyDescent="0.4">
      <c r="A434" s="346" t="s">
        <v>2112</v>
      </c>
      <c r="B434" s="346"/>
      <c r="C434" s="346" t="s">
        <v>2160</v>
      </c>
      <c r="D434" s="354"/>
      <c r="E434" s="354"/>
      <c r="F434" s="354"/>
      <c r="G434" s="354"/>
      <c r="H434" s="345"/>
    </row>
    <row r="435" spans="1:8" x14ac:dyDescent="0.4">
      <c r="A435" s="346" t="s">
        <v>2113</v>
      </c>
      <c r="B435" s="346"/>
      <c r="C435" s="346" t="s">
        <v>2160</v>
      </c>
      <c r="D435" s="354"/>
      <c r="E435" s="354"/>
      <c r="F435" s="354"/>
      <c r="G435" s="354"/>
      <c r="H435" s="345"/>
    </row>
    <row r="436" spans="1:8" x14ac:dyDescent="0.4">
      <c r="A436" s="346" t="s">
        <v>2114</v>
      </c>
      <c r="B436" s="346"/>
      <c r="C436" s="346" t="s">
        <v>2160</v>
      </c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  <row r="445" spans="1:8" x14ac:dyDescent="0.4">
      <c r="H445" s="345"/>
    </row>
    <row r="446" spans="1:8" x14ac:dyDescent="0.4">
      <c r="H446" s="345"/>
    </row>
    <row r="447" spans="1:8" x14ac:dyDescent="0.4">
      <c r="H447" s="345"/>
    </row>
    <row r="448" spans="1:8" x14ac:dyDescent="0.4">
      <c r="H448" s="345"/>
    </row>
  </sheetData>
  <phoneticPr fontId="3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6B96C-1011-4D0C-8B97-AB5A89EDB291}">
  <sheetPr codeName="Sheet19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8.75" style="189" bestFit="1" customWidth="1"/>
    <col min="2" max="2" width="7.375" style="189" bestFit="1" customWidth="1"/>
    <col min="3" max="3" width="46.25" style="189" bestFit="1" customWidth="1"/>
    <col min="4" max="4" width="10" style="355" bestFit="1" customWidth="1"/>
    <col min="5" max="5" width="16.375" style="355" bestFit="1" customWidth="1"/>
    <col min="6" max="6" width="14.125" style="355" bestFit="1" customWidth="1"/>
    <col min="7" max="7" width="11.75" style="355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 t="s">
        <v>1519</v>
      </c>
      <c r="B4" s="346"/>
      <c r="C4" s="346" t="s">
        <v>1526</v>
      </c>
      <c r="D4" s="354"/>
      <c r="E4" s="354"/>
      <c r="F4" s="354"/>
      <c r="G4" s="354"/>
      <c r="H4" s="345" t="s">
        <v>64</v>
      </c>
    </row>
    <row r="5" spans="1:8" x14ac:dyDescent="0.4">
      <c r="A5" s="346" t="s">
        <v>1520</v>
      </c>
      <c r="B5" s="346"/>
      <c r="C5" s="346" t="s">
        <v>1527</v>
      </c>
      <c r="D5" s="354"/>
      <c r="E5" s="354"/>
      <c r="F5" s="354"/>
      <c r="G5" s="354"/>
      <c r="H5" s="345" t="s">
        <v>67</v>
      </c>
    </row>
    <row r="6" spans="1:8" x14ac:dyDescent="0.4">
      <c r="A6" s="346" t="s">
        <v>1521</v>
      </c>
      <c r="B6" s="346"/>
      <c r="C6" s="346" t="s">
        <v>1528</v>
      </c>
      <c r="D6" s="354"/>
      <c r="E6" s="354"/>
      <c r="F6" s="354"/>
      <c r="G6" s="354"/>
      <c r="H6" s="347" t="s">
        <v>70</v>
      </c>
    </row>
    <row r="7" spans="1:8" x14ac:dyDescent="0.4">
      <c r="A7" s="346" t="s">
        <v>1522</v>
      </c>
      <c r="B7" s="346"/>
      <c r="C7" s="346" t="s">
        <v>1529</v>
      </c>
      <c r="D7" s="354" t="s">
        <v>1530</v>
      </c>
      <c r="E7" s="354"/>
      <c r="F7" s="354"/>
      <c r="G7" s="354"/>
      <c r="H7" s="345" t="s">
        <v>73</v>
      </c>
    </row>
    <row r="8" spans="1:8" x14ac:dyDescent="0.4">
      <c r="A8" s="346" t="s">
        <v>1523</v>
      </c>
      <c r="B8" s="346"/>
      <c r="C8" s="346" t="s">
        <v>1531</v>
      </c>
      <c r="D8" s="354"/>
      <c r="E8" s="354"/>
      <c r="F8" s="354"/>
      <c r="G8" s="354"/>
      <c r="H8" s="345" t="s">
        <v>77</v>
      </c>
    </row>
    <row r="9" spans="1:8" x14ac:dyDescent="0.4">
      <c r="A9" s="346" t="s">
        <v>1524</v>
      </c>
      <c r="B9" s="346"/>
      <c r="C9" s="346" t="s">
        <v>1532</v>
      </c>
      <c r="D9" s="354" t="s">
        <v>1533</v>
      </c>
      <c r="E9" s="354">
        <v>7733</v>
      </c>
      <c r="F9" s="354"/>
      <c r="G9" s="354"/>
      <c r="H9" s="345" t="s">
        <v>80</v>
      </c>
    </row>
    <row r="10" spans="1:8" x14ac:dyDescent="0.4">
      <c r="A10" s="346" t="s">
        <v>1525</v>
      </c>
      <c r="B10" s="346"/>
      <c r="C10" s="346" t="s">
        <v>1534</v>
      </c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 t="s">
        <v>1535</v>
      </c>
      <c r="B67" s="346"/>
      <c r="C67" s="346" t="s">
        <v>1536</v>
      </c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 t="s">
        <v>1537</v>
      </c>
      <c r="B103" s="346"/>
      <c r="C103" s="346" t="s">
        <v>1539</v>
      </c>
      <c r="D103" s="354"/>
      <c r="E103" s="354"/>
      <c r="F103" s="354"/>
      <c r="G103" s="354"/>
      <c r="H103" s="345"/>
    </row>
    <row r="104" spans="1:8" x14ac:dyDescent="0.4">
      <c r="A104" s="346" t="s">
        <v>1538</v>
      </c>
      <c r="B104" s="346"/>
      <c r="C104" s="346" t="s">
        <v>1540</v>
      </c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1541</v>
      </c>
      <c r="B143" s="346"/>
      <c r="C143" s="346" t="s">
        <v>1544</v>
      </c>
      <c r="D143" s="354"/>
      <c r="E143" s="354"/>
      <c r="F143" s="354"/>
      <c r="G143" s="354"/>
      <c r="H143" s="345"/>
    </row>
    <row r="144" spans="1:8" x14ac:dyDescent="0.4">
      <c r="A144" s="346" t="s">
        <v>1542</v>
      </c>
      <c r="B144" s="346"/>
      <c r="C144" s="346" t="s">
        <v>1545</v>
      </c>
      <c r="D144" s="354" t="s">
        <v>1546</v>
      </c>
      <c r="E144" s="354"/>
      <c r="F144" s="354"/>
      <c r="G144" s="354"/>
      <c r="H144" s="345"/>
    </row>
    <row r="145" spans="1:8" x14ac:dyDescent="0.4">
      <c r="A145" s="346" t="s">
        <v>1543</v>
      </c>
      <c r="B145" s="346"/>
      <c r="C145" s="346" t="s">
        <v>1547</v>
      </c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 t="s">
        <v>1548</v>
      </c>
      <c r="B233" s="346"/>
      <c r="C233" s="346" t="s">
        <v>1549</v>
      </c>
      <c r="D233" s="354">
        <v>1710</v>
      </c>
      <c r="E233" s="354"/>
      <c r="F233" s="354">
        <v>7733</v>
      </c>
      <c r="G233" s="354"/>
      <c r="H233" s="345" t="s">
        <v>11</v>
      </c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1550</v>
      </c>
      <c r="B291" s="346"/>
      <c r="C291" s="346" t="s">
        <v>1552</v>
      </c>
      <c r="D291" s="354"/>
      <c r="E291" s="354"/>
      <c r="F291" s="354"/>
      <c r="G291" s="354"/>
      <c r="H291" s="345"/>
    </row>
    <row r="292" spans="1:8" x14ac:dyDescent="0.4">
      <c r="A292" s="346" t="s">
        <v>1551</v>
      </c>
      <c r="B292" s="346"/>
      <c r="C292" s="346" t="s">
        <v>1553</v>
      </c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 t="s">
        <v>1554</v>
      </c>
      <c r="B324" s="346"/>
      <c r="C324" s="346" t="s">
        <v>1558</v>
      </c>
      <c r="D324" s="354" t="s">
        <v>1559</v>
      </c>
      <c r="E324" s="354"/>
      <c r="F324" s="354"/>
      <c r="G324" s="354"/>
      <c r="H324" s="345"/>
    </row>
    <row r="325" spans="1:8" x14ac:dyDescent="0.4">
      <c r="A325" s="346" t="s">
        <v>1555</v>
      </c>
      <c r="B325" s="346"/>
      <c r="C325" s="346" t="s">
        <v>1560</v>
      </c>
      <c r="D325" s="354" t="s">
        <v>1559</v>
      </c>
      <c r="E325" s="354"/>
      <c r="F325" s="354"/>
      <c r="G325" s="354"/>
      <c r="H325" s="345"/>
    </row>
    <row r="326" spans="1:8" x14ac:dyDescent="0.4">
      <c r="A326" s="346" t="s">
        <v>1556</v>
      </c>
      <c r="B326" s="346"/>
      <c r="C326" s="346" t="s">
        <v>1561</v>
      </c>
      <c r="D326" s="354" t="s">
        <v>1559</v>
      </c>
      <c r="E326" s="354"/>
      <c r="F326" s="354"/>
      <c r="G326" s="354"/>
      <c r="H326" s="345"/>
    </row>
    <row r="327" spans="1:8" x14ac:dyDescent="0.4">
      <c r="A327" s="346" t="s">
        <v>1557</v>
      </c>
      <c r="B327" s="346"/>
      <c r="C327" s="346" t="s">
        <v>1561</v>
      </c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 t="s">
        <v>1562</v>
      </c>
      <c r="B403" s="346"/>
      <c r="C403" s="346" t="s">
        <v>1563</v>
      </c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77714-C185-4CF7-9F57-B612CD8AB245}">
  <sheetPr codeName="Sheet25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FDE6E-12A9-454E-98C3-9F0BED8A8580}">
  <sheetPr codeName="Sheet41"/>
  <dimension ref="A1:H444"/>
  <sheetViews>
    <sheetView workbookViewId="0">
      <selection activeCell="A66" sqref="A66:E66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2752</v>
      </c>
      <c r="B102" s="346" t="s">
        <v>2312</v>
      </c>
      <c r="C102" s="346" t="s">
        <v>2753</v>
      </c>
      <c r="D102" s="354" t="s">
        <v>2455</v>
      </c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877-55B5-4465-9906-D093CF97238E}">
  <sheetPr codeName="Sheet40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2686</v>
      </c>
      <c r="B3" s="346" t="s">
        <v>2311</v>
      </c>
      <c r="C3" s="346" t="s">
        <v>2687</v>
      </c>
      <c r="D3" s="354" t="s">
        <v>2455</v>
      </c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BDBF9-553A-4B0D-88B6-8F4C0A374F67}">
  <sheetPr codeName="Sheet39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2674</v>
      </c>
      <c r="B102" s="346" t="s">
        <v>2312</v>
      </c>
      <c r="C102" s="346" t="s">
        <v>2673</v>
      </c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0E26C-C2A4-4875-9898-61D00936C8E5}">
  <sheetPr codeName="Sheet38"/>
  <dimension ref="A1:H444"/>
  <sheetViews>
    <sheetView topLeftCell="A81" workbookViewId="0">
      <selection activeCell="A402" sqref="A402:E405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2200</v>
      </c>
      <c r="B66" s="346" t="s">
        <v>2318</v>
      </c>
      <c r="C66" s="346" t="s">
        <v>2671</v>
      </c>
      <c r="D66" s="354" t="s">
        <v>2672</v>
      </c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2504</v>
      </c>
      <c r="B102" s="346" t="s">
        <v>2312</v>
      </c>
      <c r="C102" s="346" t="s">
        <v>2503</v>
      </c>
      <c r="D102" s="354"/>
      <c r="E102" s="354"/>
      <c r="F102" s="354"/>
      <c r="G102" s="354"/>
      <c r="H102" s="345"/>
    </row>
    <row r="103" spans="1:8" x14ac:dyDescent="0.4">
      <c r="A103" s="346" t="s">
        <v>2201</v>
      </c>
      <c r="B103" s="346"/>
      <c r="C103" s="346" t="s">
        <v>2203</v>
      </c>
      <c r="D103" s="354"/>
      <c r="E103" s="354" t="s">
        <v>2204</v>
      </c>
      <c r="F103" s="354"/>
      <c r="G103" s="354"/>
      <c r="H103" s="345"/>
    </row>
    <row r="104" spans="1:8" x14ac:dyDescent="0.4">
      <c r="A104" s="346" t="s">
        <v>2202</v>
      </c>
      <c r="B104" s="346"/>
      <c r="C104" s="346" t="s">
        <v>2205</v>
      </c>
      <c r="D104" s="354"/>
      <c r="E104" s="354">
        <v>1115</v>
      </c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 t="s">
        <v>2206</v>
      </c>
      <c r="B143" s="346"/>
      <c r="C143" s="346" t="s">
        <v>2208</v>
      </c>
      <c r="D143" s="354" t="s">
        <v>2209</v>
      </c>
      <c r="E143" s="354"/>
      <c r="F143" s="354"/>
      <c r="G143" s="354"/>
      <c r="H143" s="345"/>
    </row>
    <row r="144" spans="1:8" x14ac:dyDescent="0.4">
      <c r="A144" s="346" t="s">
        <v>2207</v>
      </c>
      <c r="B144" s="346"/>
      <c r="C144" s="346" t="s">
        <v>2210</v>
      </c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2211</v>
      </c>
      <c r="B291" s="346"/>
      <c r="C291" s="346" t="s">
        <v>2212</v>
      </c>
      <c r="D291" s="354" t="s">
        <v>2213</v>
      </c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 t="s">
        <v>2214</v>
      </c>
      <c r="B403" s="346"/>
      <c r="C403" s="346" t="s">
        <v>2215</v>
      </c>
      <c r="D403" s="354"/>
      <c r="E403" s="354" t="s">
        <v>2216</v>
      </c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A5185-13DD-4EFE-8237-A30A3A265532}">
  <sheetPr codeName="Sheet37"/>
  <dimension ref="A1:H444"/>
  <sheetViews>
    <sheetView topLeftCell="A276" workbookViewId="0">
      <selection activeCell="D297" sqref="D297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2683</v>
      </c>
      <c r="B3" s="346" t="s">
        <v>2311</v>
      </c>
      <c r="C3" s="346" t="s">
        <v>2684</v>
      </c>
      <c r="D3" s="354" t="s">
        <v>205</v>
      </c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2746</v>
      </c>
      <c r="B66" s="346" t="s">
        <v>2318</v>
      </c>
      <c r="C66" s="346" t="s">
        <v>2747</v>
      </c>
      <c r="D66" s="354" t="s">
        <v>1870</v>
      </c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2541</v>
      </c>
      <c r="B102" s="346" t="s">
        <v>2312</v>
      </c>
      <c r="C102" s="346" t="s">
        <v>2540</v>
      </c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 t="s">
        <v>2737</v>
      </c>
      <c r="B142" s="346" t="s">
        <v>2449</v>
      </c>
      <c r="C142" s="346" t="s">
        <v>2738</v>
      </c>
      <c r="D142" s="354" t="s">
        <v>2739</v>
      </c>
      <c r="E142" s="354"/>
      <c r="F142" s="354"/>
      <c r="G142" s="354"/>
      <c r="H142" s="345"/>
    </row>
    <row r="143" spans="1:8" x14ac:dyDescent="0.4">
      <c r="A143" s="346" t="s">
        <v>2792</v>
      </c>
      <c r="B143" s="346" t="s">
        <v>2449</v>
      </c>
      <c r="C143" s="346" t="s">
        <v>2793</v>
      </c>
      <c r="D143" s="354" t="s">
        <v>1870</v>
      </c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 t="s">
        <v>2706</v>
      </c>
      <c r="B202" s="346" t="s">
        <v>2319</v>
      </c>
      <c r="C202" s="346" t="s">
        <v>2707</v>
      </c>
      <c r="D202" s="354"/>
      <c r="E202" s="354"/>
      <c r="F202" s="354" t="s">
        <v>2455</v>
      </c>
      <c r="G202" s="354"/>
      <c r="H202" s="345"/>
    </row>
    <row r="203" spans="1:8" x14ac:dyDescent="0.4">
      <c r="A203" s="346" t="s">
        <v>2801</v>
      </c>
      <c r="B203" s="346" t="s">
        <v>2319</v>
      </c>
      <c r="C203" s="346" t="s">
        <v>2802</v>
      </c>
      <c r="D203" s="354" t="s">
        <v>2455</v>
      </c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2542</v>
      </c>
      <c r="B290" s="346" t="s">
        <v>2314</v>
      </c>
      <c r="C290" s="346" t="s">
        <v>2543</v>
      </c>
      <c r="D290" s="354" t="s">
        <v>2508</v>
      </c>
      <c r="E290" s="354"/>
      <c r="F290" s="354"/>
      <c r="G290" s="354"/>
      <c r="H290" s="345"/>
    </row>
    <row r="291" spans="1:8" x14ac:dyDescent="0.4">
      <c r="A291" s="346" t="s">
        <v>2544</v>
      </c>
      <c r="B291" s="346" t="s">
        <v>2314</v>
      </c>
      <c r="C291" s="346" t="s">
        <v>2545</v>
      </c>
      <c r="D291" s="354" t="s">
        <v>2546</v>
      </c>
      <c r="E291" s="354"/>
      <c r="F291" s="354"/>
      <c r="G291" s="354"/>
      <c r="H291" s="345"/>
    </row>
    <row r="292" spans="1:8" x14ac:dyDescent="0.4">
      <c r="A292" s="346" t="s">
        <v>2551</v>
      </c>
      <c r="B292" s="346" t="s">
        <v>2314</v>
      </c>
      <c r="C292" s="346" t="s">
        <v>2552</v>
      </c>
      <c r="D292" s="354" t="s">
        <v>2553</v>
      </c>
      <c r="E292" s="354"/>
      <c r="F292" s="354"/>
      <c r="G292" s="354"/>
      <c r="H292" s="345"/>
    </row>
    <row r="293" spans="1:8" x14ac:dyDescent="0.4">
      <c r="A293" s="346" t="s">
        <v>2652</v>
      </c>
      <c r="B293" s="346" t="s">
        <v>2314</v>
      </c>
      <c r="C293" s="346" t="s">
        <v>2653</v>
      </c>
      <c r="D293" s="354" t="s">
        <v>2455</v>
      </c>
      <c r="E293" s="354"/>
      <c r="F293" s="354"/>
      <c r="G293" s="354"/>
      <c r="H293" s="345"/>
    </row>
    <row r="294" spans="1:8" x14ac:dyDescent="0.4">
      <c r="A294" s="346" t="s">
        <v>2705</v>
      </c>
      <c r="B294" s="346" t="s">
        <v>2314</v>
      </c>
      <c r="C294" s="346" t="s">
        <v>2704</v>
      </c>
      <c r="D294" s="354" t="s">
        <v>1870</v>
      </c>
      <c r="E294" s="354"/>
      <c r="F294" s="354" t="s">
        <v>2455</v>
      </c>
      <c r="G294" s="354"/>
      <c r="H294" s="345"/>
    </row>
    <row r="295" spans="1:8" x14ac:dyDescent="0.4">
      <c r="A295" s="346" t="s">
        <v>2798</v>
      </c>
      <c r="B295" s="346" t="s">
        <v>2314</v>
      </c>
      <c r="C295" s="346" t="s">
        <v>2799</v>
      </c>
      <c r="D295" s="354" t="s">
        <v>2800</v>
      </c>
      <c r="E295" s="354"/>
      <c r="F295" s="354"/>
      <c r="G295" s="354"/>
      <c r="H295" s="345"/>
    </row>
    <row r="296" spans="1:8" x14ac:dyDescent="0.4">
      <c r="A296" s="346" t="s">
        <v>2803</v>
      </c>
      <c r="B296" s="346" t="s">
        <v>2314</v>
      </c>
      <c r="C296" s="346" t="s">
        <v>2804</v>
      </c>
      <c r="D296" s="354" t="s">
        <v>2805</v>
      </c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 t="s">
        <v>2796</v>
      </c>
      <c r="B350" s="346" t="s">
        <v>2322</v>
      </c>
      <c r="C350" s="346" t="s">
        <v>2797</v>
      </c>
      <c r="D350" s="354" t="s">
        <v>205</v>
      </c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A604-1759-4125-BE15-2AF9D89EAB98}">
  <sheetPr codeName="Sheet36"/>
  <dimension ref="A1:H444"/>
  <sheetViews>
    <sheetView topLeftCell="A267" workbookViewId="0">
      <selection activeCell="A291" sqref="A291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 t="s">
        <v>2535</v>
      </c>
      <c r="B291" s="346" t="s">
        <v>2314</v>
      </c>
      <c r="C291" s="346" t="s">
        <v>2533</v>
      </c>
      <c r="D291" s="354"/>
      <c r="E291" s="354"/>
      <c r="F291" s="354" t="s">
        <v>2534</v>
      </c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2F5EC-D42E-4B2D-9545-F38D545D5A8B}">
  <sheetPr codeName="Sheet35"/>
  <dimension ref="A1:H444"/>
  <sheetViews>
    <sheetView topLeftCell="A63"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2473</v>
      </c>
      <c r="B102" s="346" t="s">
        <v>2312</v>
      </c>
      <c r="C102" s="346" t="s">
        <v>362</v>
      </c>
      <c r="D102" s="354"/>
      <c r="E102" s="354"/>
      <c r="F102" s="354" t="s">
        <v>2455</v>
      </c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26B34-518E-4A51-A3A2-849F788C4981}">
  <sheetPr codeName="Sheet34"/>
  <dimension ref="A1:H444"/>
  <sheetViews>
    <sheetView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2460</v>
      </c>
      <c r="B232" s="346" t="s">
        <v>2320</v>
      </c>
      <c r="C232" s="346" t="s">
        <v>2459</v>
      </c>
      <c r="D232" s="354" t="s">
        <v>2461</v>
      </c>
      <c r="E232" s="354"/>
      <c r="F232" s="354" t="s">
        <v>2455</v>
      </c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03EF8-363F-4624-9F65-2852E1303BCC}">
  <sheetPr codeName="Sheet32"/>
  <dimension ref="A1:H444"/>
  <sheetViews>
    <sheetView topLeftCell="A243" workbookViewId="0">
      <selection activeCell="A3" sqref="A3:A64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9.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/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/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 t="s">
        <v>11</v>
      </c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2384</v>
      </c>
      <c r="B290" s="346" t="s">
        <v>2314</v>
      </c>
      <c r="C290" s="346" t="s">
        <v>2385</v>
      </c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35D7E-BC7C-4BD9-8EC2-BE4C6DE3FB13}">
  <sheetPr codeName="Sheet30"/>
  <dimension ref="A1:C12"/>
  <sheetViews>
    <sheetView workbookViewId="0">
      <selection activeCell="Y24" sqref="Y24"/>
    </sheetView>
  </sheetViews>
  <sheetFormatPr defaultRowHeight="18.75" x14ac:dyDescent="0.4"/>
  <cols>
    <col min="1" max="2" width="9" customWidth="1"/>
  </cols>
  <sheetData>
    <row r="1" spans="1:3" x14ac:dyDescent="0.4">
      <c r="A1" t="s">
        <v>2315</v>
      </c>
      <c r="B1" t="s">
        <v>2316</v>
      </c>
      <c r="C1" t="s">
        <v>2317</v>
      </c>
    </row>
    <row r="2" spans="1:3" x14ac:dyDescent="0.4">
      <c r="A2" t="s">
        <v>2311</v>
      </c>
      <c r="B2">
        <v>3</v>
      </c>
      <c r="C2">
        <v>64</v>
      </c>
    </row>
    <row r="3" spans="1:3" x14ac:dyDescent="0.4">
      <c r="A3" t="s">
        <v>2318</v>
      </c>
      <c r="B3">
        <v>66</v>
      </c>
      <c r="C3">
        <v>100</v>
      </c>
    </row>
    <row r="4" spans="1:3" x14ac:dyDescent="0.4">
      <c r="A4" t="s">
        <v>2312</v>
      </c>
      <c r="B4">
        <v>102</v>
      </c>
      <c r="C4">
        <v>140</v>
      </c>
    </row>
    <row r="5" spans="1:3" x14ac:dyDescent="0.4">
      <c r="A5" t="s">
        <v>2314</v>
      </c>
      <c r="B5">
        <v>290</v>
      </c>
      <c r="C5">
        <v>321</v>
      </c>
    </row>
    <row r="6" spans="1:3" x14ac:dyDescent="0.4">
      <c r="A6" t="s">
        <v>2313</v>
      </c>
      <c r="B6">
        <v>382</v>
      </c>
      <c r="C6">
        <v>400</v>
      </c>
    </row>
    <row r="7" spans="1:3" x14ac:dyDescent="0.4">
      <c r="A7" t="s">
        <v>2319</v>
      </c>
      <c r="B7">
        <v>202</v>
      </c>
      <c r="C7">
        <v>230</v>
      </c>
    </row>
    <row r="8" spans="1:3" x14ac:dyDescent="0.4">
      <c r="A8" t="s">
        <v>2320</v>
      </c>
      <c r="B8">
        <v>232</v>
      </c>
      <c r="C8">
        <v>288</v>
      </c>
    </row>
    <row r="9" spans="1:3" x14ac:dyDescent="0.4">
      <c r="A9" t="s">
        <v>2321</v>
      </c>
      <c r="B9">
        <v>323</v>
      </c>
      <c r="C9">
        <v>348</v>
      </c>
    </row>
    <row r="10" spans="1:3" x14ac:dyDescent="0.4">
      <c r="A10" t="s">
        <v>2322</v>
      </c>
      <c r="B10">
        <v>350</v>
      </c>
      <c r="C10">
        <v>380</v>
      </c>
    </row>
    <row r="11" spans="1:3" x14ac:dyDescent="0.4">
      <c r="A11" t="s">
        <v>90</v>
      </c>
      <c r="B11">
        <v>402</v>
      </c>
      <c r="C11">
        <v>444</v>
      </c>
    </row>
    <row r="12" spans="1:3" x14ac:dyDescent="0.4">
      <c r="A12" t="s">
        <v>67</v>
      </c>
      <c r="B12">
        <v>142</v>
      </c>
      <c r="C12">
        <v>200</v>
      </c>
    </row>
  </sheetData>
  <phoneticPr fontId="3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05E0-1088-4519-8460-6BDEEFEDE6DA}">
  <sheetPr codeName="Sheet27"/>
  <dimension ref="A1:H444"/>
  <sheetViews>
    <sheetView topLeftCell="A360" zoomScale="80" zoomScaleNormal="80" workbookViewId="0">
      <selection activeCell="I410" sqref="I410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 t="s">
        <v>2268</v>
      </c>
      <c r="B3" s="346"/>
      <c r="C3" s="346" t="s">
        <v>2269</v>
      </c>
      <c r="D3" s="354" t="s">
        <v>2270</v>
      </c>
      <c r="E3" s="354"/>
      <c r="F3" s="354"/>
      <c r="G3" s="354"/>
      <c r="H3" s="345" t="s">
        <v>60</v>
      </c>
    </row>
    <row r="4" spans="1:8" x14ac:dyDescent="0.4">
      <c r="A4" s="346" t="s">
        <v>2469</v>
      </c>
      <c r="B4" s="346" t="s">
        <v>2311</v>
      </c>
      <c r="C4" s="346" t="s">
        <v>2470</v>
      </c>
      <c r="D4" s="354" t="s">
        <v>2369</v>
      </c>
      <c r="E4" s="354"/>
      <c r="F4" s="354" t="s">
        <v>2455</v>
      </c>
      <c r="G4" s="354"/>
      <c r="H4" s="345" t="s">
        <v>64</v>
      </c>
    </row>
    <row r="5" spans="1:8" x14ac:dyDescent="0.4">
      <c r="A5" s="346" t="s">
        <v>2496</v>
      </c>
      <c r="B5" s="346" t="s">
        <v>2311</v>
      </c>
      <c r="C5" s="346" t="s">
        <v>2497</v>
      </c>
      <c r="D5" s="354" t="s">
        <v>2455</v>
      </c>
      <c r="E5" s="354"/>
      <c r="F5" s="354"/>
      <c r="G5" s="354"/>
      <c r="H5" s="345" t="s">
        <v>67</v>
      </c>
    </row>
    <row r="6" spans="1:8" x14ac:dyDescent="0.4">
      <c r="A6" s="346" t="s">
        <v>2498</v>
      </c>
      <c r="B6" s="346" t="s">
        <v>2311</v>
      </c>
      <c r="C6" s="346" t="s">
        <v>2499</v>
      </c>
      <c r="D6" s="354" t="s">
        <v>2500</v>
      </c>
      <c r="E6" s="354"/>
      <c r="F6" s="354"/>
      <c r="G6" s="354"/>
      <c r="H6" s="347" t="s">
        <v>70</v>
      </c>
    </row>
    <row r="7" spans="1:8" x14ac:dyDescent="0.4">
      <c r="A7" s="346" t="s">
        <v>2694</v>
      </c>
      <c r="B7" s="346" t="s">
        <v>2311</v>
      </c>
      <c r="C7" s="346" t="s">
        <v>2695</v>
      </c>
      <c r="D7" s="354" t="s">
        <v>2455</v>
      </c>
      <c r="E7" s="354"/>
      <c r="F7" s="354" t="s">
        <v>2455</v>
      </c>
      <c r="G7" s="354"/>
      <c r="H7" s="345" t="s">
        <v>73</v>
      </c>
    </row>
    <row r="8" spans="1:8" x14ac:dyDescent="0.4">
      <c r="A8" s="346" t="s">
        <v>2731</v>
      </c>
      <c r="B8" s="346" t="s">
        <v>2311</v>
      </c>
      <c r="C8" s="346" t="s">
        <v>2732</v>
      </c>
      <c r="D8" s="354"/>
      <c r="E8" s="354"/>
      <c r="F8" s="354"/>
      <c r="G8" s="354"/>
      <c r="H8" s="345" t="s">
        <v>77</v>
      </c>
    </row>
    <row r="9" spans="1:8" x14ac:dyDescent="0.4">
      <c r="A9" s="346" t="s">
        <v>2733</v>
      </c>
      <c r="B9" s="346" t="s">
        <v>2311</v>
      </c>
      <c r="C9" s="346" t="s">
        <v>2734</v>
      </c>
      <c r="D9" s="354"/>
      <c r="E9" s="354"/>
      <c r="F9" s="354"/>
      <c r="G9" s="354"/>
      <c r="H9" s="345" t="s">
        <v>80</v>
      </c>
    </row>
    <row r="10" spans="1:8" x14ac:dyDescent="0.4">
      <c r="A10" s="346" t="s">
        <v>2759</v>
      </c>
      <c r="B10" s="346" t="s">
        <v>2311</v>
      </c>
      <c r="C10" s="346" t="s">
        <v>2760</v>
      </c>
      <c r="D10" s="354" t="s">
        <v>2455</v>
      </c>
      <c r="E10" s="354"/>
      <c r="F10" s="354"/>
      <c r="G10" s="354"/>
      <c r="H10" s="345" t="s">
        <v>83</v>
      </c>
    </row>
    <row r="11" spans="1:8" x14ac:dyDescent="0.4">
      <c r="A11" s="346" t="s">
        <v>2733</v>
      </c>
      <c r="B11" s="346" t="s">
        <v>2311</v>
      </c>
      <c r="C11" s="346" t="s">
        <v>2734</v>
      </c>
      <c r="D11" s="354" t="s">
        <v>2455</v>
      </c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 t="s">
        <v>2445</v>
      </c>
      <c r="B66" s="346" t="s">
        <v>2318</v>
      </c>
      <c r="C66" s="346" t="s">
        <v>2444</v>
      </c>
      <c r="D66" s="354"/>
      <c r="E66" s="354"/>
      <c r="F66" s="354">
        <v>2996</v>
      </c>
      <c r="G66" s="354"/>
      <c r="H66" s="345"/>
    </row>
    <row r="67" spans="1:8" x14ac:dyDescent="0.4">
      <c r="A67" s="346" t="s">
        <v>2494</v>
      </c>
      <c r="B67" s="346" t="s">
        <v>2318</v>
      </c>
      <c r="C67" s="346" t="s">
        <v>2495</v>
      </c>
      <c r="D67" s="354" t="s">
        <v>2455</v>
      </c>
      <c r="E67" s="354"/>
      <c r="F67" s="354"/>
      <c r="G67" s="354"/>
      <c r="H67" s="345"/>
    </row>
    <row r="68" spans="1:8" ht="40.5" x14ac:dyDescent="0.4">
      <c r="A68" s="346" t="s">
        <v>2519</v>
      </c>
      <c r="B68" s="346" t="s">
        <v>2318</v>
      </c>
      <c r="C68" s="346" t="s">
        <v>2520</v>
      </c>
      <c r="D68" s="354"/>
      <c r="E68" s="354"/>
      <c r="F68" s="458" t="s">
        <v>2521</v>
      </c>
      <c r="G68" s="354"/>
      <c r="H68" s="345"/>
    </row>
    <row r="69" spans="1:8" x14ac:dyDescent="0.4">
      <c r="A69" s="346" t="s">
        <v>2689</v>
      </c>
      <c r="B69" s="346" t="s">
        <v>2318</v>
      </c>
      <c r="C69" s="346" t="s">
        <v>2688</v>
      </c>
      <c r="D69" s="354" t="s">
        <v>2455</v>
      </c>
      <c r="E69" s="354"/>
      <c r="F69" s="354" t="s">
        <v>2518</v>
      </c>
      <c r="G69" s="354"/>
      <c r="H69" s="345"/>
    </row>
    <row r="70" spans="1:8" x14ac:dyDescent="0.4">
      <c r="A70" s="346" t="s">
        <v>2761</v>
      </c>
      <c r="B70" s="346" t="s">
        <v>2318</v>
      </c>
      <c r="C70" s="346" t="s">
        <v>2762</v>
      </c>
      <c r="D70" s="354" t="s">
        <v>2455</v>
      </c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 t="s">
        <v>2304</v>
      </c>
      <c r="B202" s="346"/>
      <c r="C202" s="346" t="s">
        <v>2305</v>
      </c>
      <c r="D202" s="354"/>
      <c r="E202" s="354"/>
      <c r="F202" s="354" t="s">
        <v>2273</v>
      </c>
      <c r="G202" s="354"/>
      <c r="H202" s="345"/>
    </row>
    <row r="203" spans="1:8" x14ac:dyDescent="0.4">
      <c r="A203" s="346" t="s">
        <v>2806</v>
      </c>
      <c r="B203" s="346" t="s">
        <v>2319</v>
      </c>
      <c r="C203" s="346" t="s">
        <v>2807</v>
      </c>
      <c r="D203" s="354" t="s">
        <v>2455</v>
      </c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 t="s">
        <v>2302</v>
      </c>
      <c r="B232" s="346"/>
      <c r="C232" s="346" t="s">
        <v>2303</v>
      </c>
      <c r="D232" s="354"/>
      <c r="E232" s="354"/>
      <c r="F232" s="354" t="s">
        <v>2273</v>
      </c>
      <c r="G232" s="354"/>
      <c r="H232" s="345"/>
    </row>
    <row r="233" spans="1:8" x14ac:dyDescent="0.4">
      <c r="A233" s="346" t="s">
        <v>2465</v>
      </c>
      <c r="B233" s="346" t="s">
        <v>2320</v>
      </c>
      <c r="C233" s="346" t="s">
        <v>2466</v>
      </c>
      <c r="D233" s="354" t="s">
        <v>2369</v>
      </c>
      <c r="E233" s="354"/>
      <c r="F233" s="354">
        <v>4100</v>
      </c>
      <c r="G233" s="354"/>
      <c r="H233" s="345" t="s">
        <v>11</v>
      </c>
    </row>
    <row r="234" spans="1:8" x14ac:dyDescent="0.4">
      <c r="A234" s="346" t="s">
        <v>2516</v>
      </c>
      <c r="B234" s="346" t="s">
        <v>2320</v>
      </c>
      <c r="C234" s="346" t="s">
        <v>2517</v>
      </c>
      <c r="D234" s="354"/>
      <c r="E234" s="354"/>
      <c r="F234" s="354" t="s">
        <v>2518</v>
      </c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 t="s">
        <v>2271</v>
      </c>
      <c r="B290" s="346"/>
      <c r="C290" s="346" t="s">
        <v>2272</v>
      </c>
      <c r="D290" s="354"/>
      <c r="E290" s="354"/>
      <c r="F290" s="354" t="s">
        <v>2273</v>
      </c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 t="s">
        <v>2462</v>
      </c>
      <c r="B350" s="346" t="s">
        <v>2322</v>
      </c>
      <c r="C350" s="346" t="s">
        <v>2463</v>
      </c>
      <c r="D350" s="354" t="s">
        <v>2369</v>
      </c>
      <c r="E350" s="354"/>
      <c r="F350" s="354">
        <v>2996</v>
      </c>
      <c r="G350" s="354"/>
      <c r="H350" s="345"/>
    </row>
    <row r="351" spans="1:8" x14ac:dyDescent="0.4">
      <c r="A351" s="346" t="s">
        <v>2751</v>
      </c>
      <c r="B351" s="346" t="s">
        <v>2322</v>
      </c>
      <c r="C351" s="346" t="s">
        <v>2750</v>
      </c>
      <c r="D351" s="354" t="s">
        <v>2455</v>
      </c>
      <c r="E351" s="354"/>
      <c r="F351" s="354"/>
      <c r="G351" s="354"/>
      <c r="H351" s="345"/>
    </row>
    <row r="352" spans="1:8" x14ac:dyDescent="0.4">
      <c r="A352" s="346" t="s">
        <v>2808</v>
      </c>
      <c r="B352" s="346" t="s">
        <v>2322</v>
      </c>
      <c r="C352" s="346" t="s">
        <v>2809</v>
      </c>
      <c r="D352" s="354" t="s">
        <v>2455</v>
      </c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 t="s">
        <v>2442</v>
      </c>
      <c r="B402" s="346"/>
      <c r="C402" s="346" t="s">
        <v>2443</v>
      </c>
      <c r="D402" s="354"/>
      <c r="E402" s="354"/>
      <c r="F402" s="354" t="s">
        <v>2273</v>
      </c>
      <c r="G402" s="354"/>
      <c r="H402" s="345"/>
    </row>
    <row r="403" spans="1:8" x14ac:dyDescent="0.4">
      <c r="A403" s="346" t="s">
        <v>2763</v>
      </c>
      <c r="B403" s="346" t="s">
        <v>2765</v>
      </c>
      <c r="C403" s="346" t="s">
        <v>2764</v>
      </c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F0AA6-9E01-441A-A2AD-43415FAC28C6}">
  <sheetPr codeName="Sheet26"/>
  <dimension ref="A1:H444"/>
  <sheetViews>
    <sheetView zoomScale="80" zoomScaleNormal="80" workbookViewId="0">
      <selection activeCell="A2" sqref="A2"/>
    </sheetView>
  </sheetViews>
  <sheetFormatPr defaultColWidth="9" defaultRowHeight="13.5" x14ac:dyDescent="0.4"/>
  <cols>
    <col min="1" max="1" width="33.125" style="189" bestFit="1" customWidth="1"/>
    <col min="2" max="2" width="9" style="189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4.25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x14ac:dyDescent="0.4">
      <c r="A67" s="346"/>
      <c r="B67" s="346"/>
      <c r="C67" s="346"/>
      <c r="D67" s="354"/>
      <c r="E67" s="354"/>
      <c r="F67" s="354"/>
      <c r="G67" s="354"/>
      <c r="H67" s="345"/>
    </row>
    <row r="68" spans="1:8" x14ac:dyDescent="0.4">
      <c r="A68" s="346"/>
      <c r="B68" s="346"/>
      <c r="C68" s="346"/>
      <c r="D68" s="354"/>
      <c r="E68" s="354"/>
      <c r="F68" s="354"/>
      <c r="G68" s="354"/>
      <c r="H68" s="345"/>
    </row>
    <row r="69" spans="1:8" x14ac:dyDescent="0.4">
      <c r="A69" s="346"/>
      <c r="B69" s="346"/>
      <c r="C69" s="346"/>
      <c r="D69" s="354"/>
      <c r="E69" s="354"/>
      <c r="F69" s="354"/>
      <c r="G69" s="354"/>
      <c r="H69" s="345"/>
    </row>
    <row r="70" spans="1:8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x14ac:dyDescent="0.4">
      <c r="A102" s="346" t="s">
        <v>2254</v>
      </c>
      <c r="B102" s="346"/>
      <c r="C102" s="346" t="s">
        <v>2253</v>
      </c>
      <c r="D102" s="354"/>
      <c r="E102" s="354"/>
      <c r="F102" s="354"/>
      <c r="G102" s="354"/>
      <c r="H102" s="345"/>
    </row>
    <row r="103" spans="1:8" x14ac:dyDescent="0.4">
      <c r="A103" s="346"/>
      <c r="B103" s="346"/>
      <c r="C103" s="346"/>
      <c r="D103" s="354"/>
      <c r="E103" s="354"/>
      <c r="F103" s="354"/>
      <c r="G103" s="354"/>
      <c r="H103" s="345"/>
    </row>
    <row r="104" spans="1:8" x14ac:dyDescent="0.4">
      <c r="A104" s="346"/>
      <c r="B104" s="346"/>
      <c r="C104" s="346"/>
      <c r="D104" s="354"/>
      <c r="E104" s="354"/>
      <c r="F104" s="354"/>
      <c r="G104" s="354"/>
      <c r="H104" s="345"/>
    </row>
    <row r="105" spans="1:8" x14ac:dyDescent="0.4">
      <c r="A105" s="346"/>
      <c r="B105" s="346"/>
      <c r="C105" s="346"/>
      <c r="D105" s="354" t="s">
        <v>11</v>
      </c>
      <c r="E105" s="354"/>
      <c r="F105" s="354"/>
      <c r="G105" s="354"/>
      <c r="H105" s="345"/>
    </row>
    <row r="106" spans="1:8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x14ac:dyDescent="0.4">
      <c r="A203" s="346"/>
      <c r="B203" s="346"/>
      <c r="C203" s="346"/>
      <c r="D203" s="354"/>
      <c r="E203" s="354"/>
      <c r="F203" s="354"/>
      <c r="G203" s="354"/>
      <c r="H203" s="345"/>
    </row>
    <row r="204" spans="1:8" x14ac:dyDescent="0.4">
      <c r="A204" s="346"/>
      <c r="B204" s="346"/>
      <c r="C204" s="346"/>
      <c r="D204" s="354"/>
      <c r="E204" s="354"/>
      <c r="F204" s="354"/>
      <c r="G204" s="354"/>
      <c r="H204" s="345"/>
    </row>
    <row r="205" spans="1:8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x14ac:dyDescent="0.4">
      <c r="A233" s="346"/>
      <c r="B233" s="346"/>
      <c r="C233" s="346"/>
      <c r="D233" s="354"/>
      <c r="E233" s="354"/>
      <c r="F233" s="354"/>
      <c r="G233" s="354"/>
      <c r="H233" s="345" t="s">
        <v>11</v>
      </c>
    </row>
    <row r="234" spans="1:8" x14ac:dyDescent="0.4">
      <c r="A234" s="346"/>
      <c r="B234" s="346"/>
      <c r="C234" s="346"/>
      <c r="D234" s="354"/>
      <c r="E234" s="354"/>
      <c r="F234" s="354"/>
      <c r="G234" s="354"/>
      <c r="H234" s="345"/>
    </row>
    <row r="235" spans="1:8" x14ac:dyDescent="0.4">
      <c r="A235" s="346"/>
      <c r="B235" s="346"/>
      <c r="C235" s="346"/>
      <c r="D235" s="354"/>
      <c r="E235" s="354"/>
      <c r="F235" s="354"/>
      <c r="G235" s="354"/>
      <c r="H235" s="345"/>
    </row>
    <row r="236" spans="1:8" x14ac:dyDescent="0.4">
      <c r="A236" s="346"/>
      <c r="B236" s="346"/>
      <c r="C236" s="346"/>
      <c r="D236" s="354"/>
      <c r="E236" s="354"/>
      <c r="F236" s="354"/>
      <c r="G236" s="354"/>
      <c r="H236" s="345"/>
    </row>
    <row r="237" spans="1:8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x14ac:dyDescent="0.4">
      <c r="A291" s="346"/>
      <c r="B291" s="346"/>
      <c r="C291" s="346"/>
      <c r="D291" s="354"/>
      <c r="E291" s="354"/>
      <c r="F291" s="354"/>
      <c r="G291" s="354"/>
      <c r="H291" s="345"/>
    </row>
    <row r="292" spans="1:8" x14ac:dyDescent="0.4">
      <c r="A292" s="346"/>
      <c r="B292" s="346"/>
      <c r="C292" s="346"/>
      <c r="D292" s="354"/>
      <c r="E292" s="354"/>
      <c r="F292" s="354"/>
      <c r="G292" s="354"/>
      <c r="H292" s="345"/>
    </row>
    <row r="293" spans="1:8" x14ac:dyDescent="0.4">
      <c r="A293" s="346"/>
      <c r="B293" s="346"/>
      <c r="C293" s="346"/>
      <c r="D293" s="354"/>
      <c r="E293" s="354"/>
      <c r="F293" s="354"/>
      <c r="G293" s="354"/>
      <c r="H293" s="345"/>
    </row>
    <row r="294" spans="1:8" x14ac:dyDescent="0.4">
      <c r="A294" s="346"/>
      <c r="B294" s="346"/>
      <c r="C294" s="346"/>
      <c r="D294" s="354"/>
      <c r="E294" s="354"/>
      <c r="F294" s="354"/>
      <c r="G294" s="354"/>
      <c r="H294" s="345"/>
    </row>
    <row r="295" spans="1:8" x14ac:dyDescent="0.4">
      <c r="A295" s="346"/>
      <c r="B295" s="346"/>
      <c r="C295" s="346"/>
      <c r="D295" s="354"/>
      <c r="E295" s="354"/>
      <c r="F295" s="354"/>
      <c r="G295" s="354"/>
      <c r="H295" s="345"/>
    </row>
    <row r="296" spans="1:8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2D6B-BFF7-4EAD-A4C0-698329629022}">
  <sheetPr codeName="Sheet23"/>
  <dimension ref="A1:H444"/>
  <sheetViews>
    <sheetView zoomScale="80" zoomScaleNormal="80" workbookViewId="0">
      <selection activeCell="A2" sqref="A2"/>
    </sheetView>
  </sheetViews>
  <sheetFormatPr defaultColWidth="9" defaultRowHeight="12.75" customHeight="1" x14ac:dyDescent="0.4"/>
  <cols>
    <col min="1" max="1" width="33.125" style="189" bestFit="1" customWidth="1"/>
    <col min="2" max="2" width="7.375" style="189" bestFit="1" customWidth="1"/>
    <col min="3" max="3" width="40.375" style="189" bestFit="1" customWidth="1"/>
    <col min="4" max="4" width="10" style="189" bestFit="1" customWidth="1"/>
    <col min="5" max="5" width="16.375" style="189" bestFit="1" customWidth="1"/>
    <col min="6" max="6" width="14.125" style="189" bestFit="1" customWidth="1"/>
    <col min="7" max="7" width="11.75" style="189" bestFit="1" customWidth="1"/>
    <col min="8" max="16384" width="9" style="189"/>
  </cols>
  <sheetData>
    <row r="1" spans="1:8" ht="12.75" customHeight="1" x14ac:dyDescent="0.4">
      <c r="A1" s="342" t="s">
        <v>3</v>
      </c>
      <c r="B1" s="342" t="s">
        <v>2</v>
      </c>
      <c r="C1" s="342" t="s">
        <v>5</v>
      </c>
      <c r="D1" s="352" t="s">
        <v>338</v>
      </c>
      <c r="E1" s="352" t="s">
        <v>7</v>
      </c>
      <c r="F1" s="352" t="s">
        <v>8</v>
      </c>
      <c r="G1" s="352" t="s">
        <v>9</v>
      </c>
      <c r="H1" s="343" t="s">
        <v>2</v>
      </c>
    </row>
    <row r="2" spans="1:8" ht="12.75" customHeight="1" x14ac:dyDescent="0.4">
      <c r="A2" s="344"/>
      <c r="B2" s="344" t="s">
        <v>53</v>
      </c>
      <c r="C2" s="344"/>
      <c r="D2" s="353"/>
      <c r="E2" s="353"/>
      <c r="F2" s="353"/>
      <c r="G2" s="353"/>
      <c r="H2" s="345" t="s">
        <v>53</v>
      </c>
    </row>
    <row r="3" spans="1:8" ht="12.75" customHeight="1" x14ac:dyDescent="0.4">
      <c r="A3" s="346"/>
      <c r="B3" s="346"/>
      <c r="C3" s="346"/>
      <c r="D3" s="354"/>
      <c r="E3" s="354"/>
      <c r="F3" s="354"/>
      <c r="G3" s="354"/>
      <c r="H3" s="345" t="s">
        <v>60</v>
      </c>
    </row>
    <row r="4" spans="1:8" ht="12.75" customHeight="1" x14ac:dyDescent="0.4">
      <c r="A4" s="346"/>
      <c r="B4" s="346"/>
      <c r="C4" s="346"/>
      <c r="D4" s="354"/>
      <c r="E4" s="354"/>
      <c r="F4" s="354"/>
      <c r="G4" s="354"/>
      <c r="H4" s="345" t="s">
        <v>64</v>
      </c>
    </row>
    <row r="5" spans="1:8" ht="12.75" customHeight="1" x14ac:dyDescent="0.4">
      <c r="A5" s="346"/>
      <c r="B5" s="346"/>
      <c r="C5" s="346"/>
      <c r="D5" s="354"/>
      <c r="E5" s="354"/>
      <c r="F5" s="354"/>
      <c r="G5" s="354"/>
      <c r="H5" s="345" t="s">
        <v>67</v>
      </c>
    </row>
    <row r="6" spans="1:8" ht="12.75" customHeight="1" x14ac:dyDescent="0.4">
      <c r="A6" s="346"/>
      <c r="B6" s="346"/>
      <c r="C6" s="346"/>
      <c r="D6" s="354"/>
      <c r="E6" s="354"/>
      <c r="F6" s="354"/>
      <c r="G6" s="354"/>
      <c r="H6" s="347" t="s">
        <v>70</v>
      </c>
    </row>
    <row r="7" spans="1:8" ht="12.75" customHeight="1" x14ac:dyDescent="0.4">
      <c r="A7" s="346"/>
      <c r="B7" s="346"/>
      <c r="C7" s="346"/>
      <c r="D7" s="354"/>
      <c r="E7" s="354"/>
      <c r="F7" s="354"/>
      <c r="G7" s="354"/>
      <c r="H7" s="345" t="s">
        <v>73</v>
      </c>
    </row>
    <row r="8" spans="1:8" ht="12.75" customHeight="1" x14ac:dyDescent="0.4">
      <c r="A8" s="346"/>
      <c r="B8" s="346"/>
      <c r="C8" s="346"/>
      <c r="D8" s="354"/>
      <c r="E8" s="354"/>
      <c r="F8" s="354"/>
      <c r="G8" s="354"/>
      <c r="H8" s="345" t="s">
        <v>77</v>
      </c>
    </row>
    <row r="9" spans="1:8" ht="12.75" customHeight="1" x14ac:dyDescent="0.4">
      <c r="A9" s="346"/>
      <c r="B9" s="346"/>
      <c r="C9" s="346"/>
      <c r="D9" s="354"/>
      <c r="E9" s="354"/>
      <c r="F9" s="354"/>
      <c r="G9" s="354"/>
      <c r="H9" s="345" t="s">
        <v>80</v>
      </c>
    </row>
    <row r="10" spans="1:8" ht="12.75" customHeight="1" x14ac:dyDescent="0.4">
      <c r="A10" s="346"/>
      <c r="B10" s="346"/>
      <c r="C10" s="346"/>
      <c r="D10" s="354"/>
      <c r="E10" s="354"/>
      <c r="F10" s="354"/>
      <c r="G10" s="354"/>
      <c r="H10" s="345" t="s">
        <v>83</v>
      </c>
    </row>
    <row r="11" spans="1:8" ht="12.75" customHeight="1" x14ac:dyDescent="0.4">
      <c r="A11" s="346"/>
      <c r="B11" s="346"/>
      <c r="C11" s="346"/>
      <c r="D11" s="354"/>
      <c r="E11" s="354"/>
      <c r="F11" s="354"/>
      <c r="G11" s="354"/>
      <c r="H11" s="345" t="s">
        <v>87</v>
      </c>
    </row>
    <row r="12" spans="1:8" ht="12.75" customHeight="1" x14ac:dyDescent="0.4">
      <c r="A12" s="346"/>
      <c r="B12" s="346"/>
      <c r="C12" s="346"/>
      <c r="D12" s="354"/>
      <c r="E12" s="354"/>
      <c r="F12" s="354"/>
      <c r="G12" s="354"/>
      <c r="H12" s="345" t="s">
        <v>90</v>
      </c>
    </row>
    <row r="13" spans="1:8" ht="12.75" customHeight="1" x14ac:dyDescent="0.4">
      <c r="A13" s="346"/>
      <c r="B13" s="346"/>
      <c r="C13" s="346"/>
      <c r="D13" s="354"/>
      <c r="E13" s="354"/>
      <c r="F13" s="354"/>
      <c r="G13" s="354"/>
      <c r="H13" s="345"/>
    </row>
    <row r="14" spans="1:8" ht="12.75" customHeight="1" x14ac:dyDescent="0.4">
      <c r="A14" s="346"/>
      <c r="B14" s="346"/>
      <c r="C14" s="346"/>
      <c r="D14" s="354"/>
      <c r="E14" s="354"/>
      <c r="F14" s="354"/>
      <c r="G14" s="354"/>
      <c r="H14" s="345"/>
    </row>
    <row r="15" spans="1:8" ht="12.75" customHeight="1" x14ac:dyDescent="0.4">
      <c r="A15" s="346"/>
      <c r="B15" s="346"/>
      <c r="C15" s="346"/>
      <c r="D15" s="354"/>
      <c r="E15" s="354"/>
      <c r="F15" s="354"/>
      <c r="G15" s="354"/>
      <c r="H15" s="345"/>
    </row>
    <row r="16" spans="1:8" ht="12.75" customHeight="1" x14ac:dyDescent="0.4">
      <c r="A16" s="346"/>
      <c r="B16" s="346"/>
      <c r="C16" s="346"/>
      <c r="D16" s="354"/>
      <c r="E16" s="354"/>
      <c r="F16" s="354"/>
      <c r="G16" s="354"/>
      <c r="H16" s="345"/>
    </row>
    <row r="17" spans="1:8" ht="12.75" customHeight="1" x14ac:dyDescent="0.4">
      <c r="A17" s="346"/>
      <c r="B17" s="346"/>
      <c r="C17" s="346"/>
      <c r="D17" s="354"/>
      <c r="E17" s="354"/>
      <c r="F17" s="354"/>
      <c r="G17" s="354"/>
      <c r="H17" s="345"/>
    </row>
    <row r="18" spans="1:8" ht="12.75" customHeight="1" x14ac:dyDescent="0.4">
      <c r="A18" s="346"/>
      <c r="B18" s="346"/>
      <c r="C18" s="346"/>
      <c r="D18" s="354"/>
      <c r="E18" s="354"/>
      <c r="F18" s="354"/>
      <c r="G18" s="354"/>
      <c r="H18" s="345"/>
    </row>
    <row r="19" spans="1:8" ht="12.75" customHeight="1" x14ac:dyDescent="0.4">
      <c r="A19" s="346"/>
      <c r="B19" s="346"/>
      <c r="C19" s="346"/>
      <c r="D19" s="354"/>
      <c r="E19" s="354"/>
      <c r="F19" s="354"/>
      <c r="G19" s="354"/>
      <c r="H19" s="345"/>
    </row>
    <row r="20" spans="1:8" ht="12.75" customHeight="1" x14ac:dyDescent="0.4">
      <c r="A20" s="346"/>
      <c r="B20" s="346"/>
      <c r="C20" s="346"/>
      <c r="D20" s="354"/>
      <c r="E20" s="354"/>
      <c r="F20" s="354"/>
      <c r="G20" s="354"/>
      <c r="H20" s="345"/>
    </row>
    <row r="21" spans="1:8" ht="12.75" customHeight="1" x14ac:dyDescent="0.4">
      <c r="A21" s="346"/>
      <c r="B21" s="346"/>
      <c r="C21" s="346"/>
      <c r="D21" s="354"/>
      <c r="E21" s="354"/>
      <c r="F21" s="354"/>
      <c r="G21" s="354"/>
      <c r="H21" s="345"/>
    </row>
    <row r="22" spans="1:8" ht="12.75" customHeight="1" x14ac:dyDescent="0.4">
      <c r="A22" s="346"/>
      <c r="B22" s="346"/>
      <c r="C22" s="346"/>
      <c r="D22" s="354"/>
      <c r="E22" s="354"/>
      <c r="F22" s="354"/>
      <c r="G22" s="354"/>
      <c r="H22" s="345"/>
    </row>
    <row r="23" spans="1:8" ht="12.75" customHeight="1" x14ac:dyDescent="0.4">
      <c r="A23" s="346"/>
      <c r="B23" s="346"/>
      <c r="C23" s="346"/>
      <c r="D23" s="354"/>
      <c r="E23" s="354"/>
      <c r="F23" s="354"/>
      <c r="G23" s="354"/>
      <c r="H23" s="345"/>
    </row>
    <row r="24" spans="1:8" ht="12.75" customHeight="1" x14ac:dyDescent="0.4">
      <c r="A24" s="346"/>
      <c r="B24" s="346"/>
      <c r="C24" s="346"/>
      <c r="D24" s="354"/>
      <c r="E24" s="354"/>
      <c r="F24" s="354"/>
      <c r="G24" s="354"/>
      <c r="H24" s="345"/>
    </row>
    <row r="25" spans="1:8" ht="12.75" customHeight="1" x14ac:dyDescent="0.4">
      <c r="A25" s="346"/>
      <c r="B25" s="346"/>
      <c r="C25" s="346"/>
      <c r="D25" s="354"/>
      <c r="E25" s="354"/>
      <c r="F25" s="354"/>
      <c r="G25" s="354"/>
      <c r="H25" s="345"/>
    </row>
    <row r="26" spans="1:8" ht="12.75" customHeight="1" x14ac:dyDescent="0.4">
      <c r="A26" s="346"/>
      <c r="B26" s="346"/>
      <c r="C26" s="346"/>
      <c r="D26" s="354"/>
      <c r="E26" s="354"/>
      <c r="F26" s="354"/>
      <c r="G26" s="354"/>
      <c r="H26" s="345"/>
    </row>
    <row r="27" spans="1:8" ht="12.75" customHeight="1" x14ac:dyDescent="0.4">
      <c r="A27" s="346"/>
      <c r="B27" s="346"/>
      <c r="C27" s="346"/>
      <c r="D27" s="354"/>
      <c r="E27" s="354"/>
      <c r="F27" s="354"/>
      <c r="G27" s="354"/>
      <c r="H27" s="345"/>
    </row>
    <row r="28" spans="1:8" ht="12.75" customHeight="1" x14ac:dyDescent="0.4">
      <c r="A28" s="346"/>
      <c r="B28" s="346"/>
      <c r="C28" s="346"/>
      <c r="D28" s="354"/>
      <c r="E28" s="354"/>
      <c r="F28" s="354"/>
      <c r="G28" s="354"/>
      <c r="H28" s="345"/>
    </row>
    <row r="29" spans="1:8" ht="12.75" customHeight="1" x14ac:dyDescent="0.4">
      <c r="A29" s="346"/>
      <c r="B29" s="346"/>
      <c r="C29" s="346"/>
      <c r="D29" s="354"/>
      <c r="E29" s="354"/>
      <c r="F29" s="354"/>
      <c r="G29" s="354"/>
      <c r="H29" s="345"/>
    </row>
    <row r="30" spans="1:8" ht="12.75" customHeight="1" x14ac:dyDescent="0.4">
      <c r="A30" s="346"/>
      <c r="B30" s="346"/>
      <c r="C30" s="346"/>
      <c r="D30" s="354"/>
      <c r="E30" s="354"/>
      <c r="F30" s="354"/>
      <c r="G30" s="354"/>
      <c r="H30" s="345"/>
    </row>
    <row r="31" spans="1:8" ht="12.75" customHeight="1" x14ac:dyDescent="0.4">
      <c r="A31" s="346"/>
      <c r="B31" s="346"/>
      <c r="C31" s="346"/>
      <c r="D31" s="354"/>
      <c r="E31" s="354"/>
      <c r="F31" s="354"/>
      <c r="G31" s="354"/>
      <c r="H31" s="345"/>
    </row>
    <row r="32" spans="1:8" ht="12.75" customHeight="1" x14ac:dyDescent="0.4">
      <c r="A32" s="346"/>
      <c r="B32" s="346"/>
      <c r="C32" s="346"/>
      <c r="D32" s="354"/>
      <c r="E32" s="354"/>
      <c r="F32" s="354"/>
      <c r="G32" s="354"/>
      <c r="H32" s="345"/>
    </row>
    <row r="33" spans="1:8" ht="12.75" customHeight="1" x14ac:dyDescent="0.4">
      <c r="A33" s="346"/>
      <c r="B33" s="346"/>
      <c r="C33" s="346"/>
      <c r="D33" s="354"/>
      <c r="E33" s="354"/>
      <c r="F33" s="354"/>
      <c r="G33" s="354"/>
      <c r="H33" s="345"/>
    </row>
    <row r="34" spans="1:8" ht="12.75" customHeight="1" x14ac:dyDescent="0.4">
      <c r="A34" s="346"/>
      <c r="B34" s="346"/>
      <c r="C34" s="346"/>
      <c r="D34" s="354"/>
      <c r="E34" s="354"/>
      <c r="F34" s="354"/>
      <c r="G34" s="354"/>
      <c r="H34" s="345"/>
    </row>
    <row r="35" spans="1:8" ht="12.75" customHeight="1" x14ac:dyDescent="0.4">
      <c r="A35" s="346"/>
      <c r="B35" s="346"/>
      <c r="C35" s="346"/>
      <c r="D35" s="354"/>
      <c r="E35" s="354"/>
      <c r="F35" s="354"/>
      <c r="G35" s="354"/>
      <c r="H35" s="345"/>
    </row>
    <row r="36" spans="1:8" ht="12.75" customHeight="1" x14ac:dyDescent="0.4">
      <c r="A36" s="346"/>
      <c r="B36" s="346"/>
      <c r="C36" s="346"/>
      <c r="D36" s="354"/>
      <c r="E36" s="354"/>
      <c r="F36" s="354"/>
      <c r="G36" s="354"/>
      <c r="H36" s="345"/>
    </row>
    <row r="37" spans="1:8" ht="12.75" customHeight="1" x14ac:dyDescent="0.4">
      <c r="A37" s="346"/>
      <c r="B37" s="346"/>
      <c r="C37" s="346"/>
      <c r="D37" s="354"/>
      <c r="E37" s="354"/>
      <c r="F37" s="354"/>
      <c r="G37" s="354"/>
      <c r="H37" s="345"/>
    </row>
    <row r="38" spans="1:8" ht="12.75" customHeight="1" x14ac:dyDescent="0.4">
      <c r="A38" s="346"/>
      <c r="B38" s="346"/>
      <c r="C38" s="346"/>
      <c r="D38" s="354"/>
      <c r="E38" s="354"/>
      <c r="F38" s="354"/>
      <c r="G38" s="354"/>
      <c r="H38" s="345"/>
    </row>
    <row r="39" spans="1:8" ht="12.75" customHeight="1" x14ac:dyDescent="0.4">
      <c r="A39" s="346"/>
      <c r="B39" s="346"/>
      <c r="C39" s="346"/>
      <c r="D39" s="354"/>
      <c r="E39" s="354"/>
      <c r="F39" s="354"/>
      <c r="G39" s="354"/>
      <c r="H39" s="345"/>
    </row>
    <row r="40" spans="1:8" ht="12.75" customHeight="1" x14ac:dyDescent="0.4">
      <c r="A40" s="346"/>
      <c r="B40" s="346"/>
      <c r="C40" s="346"/>
      <c r="D40" s="354"/>
      <c r="E40" s="354"/>
      <c r="F40" s="354"/>
      <c r="G40" s="354"/>
      <c r="H40" s="345"/>
    </row>
    <row r="41" spans="1:8" ht="12.75" customHeight="1" x14ac:dyDescent="0.4">
      <c r="A41" s="346"/>
      <c r="B41" s="346"/>
      <c r="C41" s="346"/>
      <c r="D41" s="354"/>
      <c r="E41" s="354"/>
      <c r="F41" s="354"/>
      <c r="G41" s="354"/>
      <c r="H41" s="345"/>
    </row>
    <row r="42" spans="1:8" ht="12.75" customHeight="1" x14ac:dyDescent="0.4">
      <c r="A42" s="346"/>
      <c r="B42" s="346"/>
      <c r="C42" s="346"/>
      <c r="D42" s="354"/>
      <c r="E42" s="354"/>
      <c r="F42" s="354"/>
      <c r="G42" s="354"/>
      <c r="H42" s="345"/>
    </row>
    <row r="43" spans="1:8" ht="12.75" customHeight="1" x14ac:dyDescent="0.4">
      <c r="A43" s="346"/>
      <c r="B43" s="346"/>
      <c r="C43" s="346"/>
      <c r="D43" s="354"/>
      <c r="E43" s="354"/>
      <c r="F43" s="354"/>
      <c r="G43" s="354"/>
      <c r="H43" s="345"/>
    </row>
    <row r="44" spans="1:8" ht="12.75" customHeight="1" x14ac:dyDescent="0.4">
      <c r="A44" s="346"/>
      <c r="B44" s="346"/>
      <c r="C44" s="346"/>
      <c r="D44" s="354"/>
      <c r="E44" s="354"/>
      <c r="F44" s="354"/>
      <c r="G44" s="354"/>
      <c r="H44" s="345"/>
    </row>
    <row r="45" spans="1:8" ht="12.75" customHeight="1" x14ac:dyDescent="0.4">
      <c r="A45" s="346"/>
      <c r="B45" s="346"/>
      <c r="C45" s="346"/>
      <c r="D45" s="354"/>
      <c r="E45" s="354"/>
      <c r="F45" s="354"/>
      <c r="G45" s="354"/>
      <c r="H45" s="345"/>
    </row>
    <row r="46" spans="1:8" ht="12.75" customHeight="1" x14ac:dyDescent="0.4">
      <c r="A46" s="346"/>
      <c r="B46" s="346"/>
      <c r="C46" s="346"/>
      <c r="D46" s="354"/>
      <c r="E46" s="354"/>
      <c r="F46" s="354"/>
      <c r="G46" s="354"/>
      <c r="H46" s="345"/>
    </row>
    <row r="47" spans="1:8" ht="12.75" customHeight="1" x14ac:dyDescent="0.4">
      <c r="A47" s="346"/>
      <c r="B47" s="346"/>
      <c r="C47" s="346"/>
      <c r="D47" s="354"/>
      <c r="E47" s="354"/>
      <c r="F47" s="354"/>
      <c r="G47" s="354"/>
      <c r="H47" s="345"/>
    </row>
    <row r="48" spans="1:8" ht="12.75" customHeight="1" x14ac:dyDescent="0.4">
      <c r="A48" s="346"/>
      <c r="B48" s="346"/>
      <c r="C48" s="346"/>
      <c r="D48" s="354"/>
      <c r="E48" s="354"/>
      <c r="F48" s="354"/>
      <c r="G48" s="354"/>
      <c r="H48" s="345"/>
    </row>
    <row r="49" spans="1:8" ht="12.75" customHeight="1" x14ac:dyDescent="0.4">
      <c r="A49" s="346"/>
      <c r="B49" s="346"/>
      <c r="C49" s="346"/>
      <c r="D49" s="354"/>
      <c r="E49" s="354"/>
      <c r="F49" s="354"/>
      <c r="G49" s="354"/>
      <c r="H49" s="345"/>
    </row>
    <row r="50" spans="1:8" ht="12.75" customHeight="1" x14ac:dyDescent="0.4">
      <c r="A50" s="346"/>
      <c r="B50" s="346"/>
      <c r="C50" s="346"/>
      <c r="D50" s="354"/>
      <c r="E50" s="354"/>
      <c r="F50" s="354"/>
      <c r="G50" s="354"/>
      <c r="H50" s="345"/>
    </row>
    <row r="51" spans="1:8" ht="12.75" customHeight="1" x14ac:dyDescent="0.4">
      <c r="A51" s="346"/>
      <c r="B51" s="346"/>
      <c r="C51" s="346"/>
      <c r="D51" s="354"/>
      <c r="E51" s="354"/>
      <c r="F51" s="354"/>
      <c r="G51" s="354"/>
      <c r="H51" s="345"/>
    </row>
    <row r="52" spans="1:8" ht="12.75" customHeight="1" x14ac:dyDescent="0.4">
      <c r="A52" s="346"/>
      <c r="B52" s="346"/>
      <c r="C52" s="346"/>
      <c r="D52" s="354"/>
      <c r="E52" s="354"/>
      <c r="F52" s="354"/>
      <c r="G52" s="354"/>
      <c r="H52" s="345"/>
    </row>
    <row r="53" spans="1:8" ht="12.75" customHeight="1" x14ac:dyDescent="0.4">
      <c r="A53" s="346"/>
      <c r="B53" s="346"/>
      <c r="C53" s="346"/>
      <c r="D53" s="354"/>
      <c r="E53" s="354"/>
      <c r="F53" s="354"/>
      <c r="G53" s="354"/>
      <c r="H53" s="345"/>
    </row>
    <row r="54" spans="1:8" ht="12.75" customHeight="1" x14ac:dyDescent="0.4">
      <c r="A54" s="346"/>
      <c r="B54" s="346"/>
      <c r="C54" s="346"/>
      <c r="D54" s="354"/>
      <c r="E54" s="354"/>
      <c r="F54" s="354"/>
      <c r="G54" s="354"/>
      <c r="H54" s="345"/>
    </row>
    <row r="55" spans="1:8" ht="12.75" customHeight="1" x14ac:dyDescent="0.4">
      <c r="A55" s="346"/>
      <c r="B55" s="346"/>
      <c r="C55" s="346"/>
      <c r="D55" s="354"/>
      <c r="E55" s="354"/>
      <c r="F55" s="354"/>
      <c r="G55" s="354"/>
      <c r="H55" s="345"/>
    </row>
    <row r="56" spans="1:8" ht="12.75" customHeight="1" x14ac:dyDescent="0.4">
      <c r="A56" s="346"/>
      <c r="B56" s="346"/>
      <c r="C56" s="346"/>
      <c r="D56" s="354"/>
      <c r="E56" s="354"/>
      <c r="F56" s="354"/>
      <c r="G56" s="354"/>
      <c r="H56" s="345"/>
    </row>
    <row r="57" spans="1:8" ht="12.75" customHeight="1" x14ac:dyDescent="0.4">
      <c r="A57" s="346"/>
      <c r="B57" s="346"/>
      <c r="C57" s="346"/>
      <c r="D57" s="354"/>
      <c r="E57" s="354"/>
      <c r="F57" s="354"/>
      <c r="G57" s="354"/>
      <c r="H57" s="345"/>
    </row>
    <row r="58" spans="1:8" ht="12.75" customHeight="1" x14ac:dyDescent="0.4">
      <c r="A58" s="346"/>
      <c r="B58" s="346"/>
      <c r="C58" s="346"/>
      <c r="D58" s="354"/>
      <c r="E58" s="354"/>
      <c r="F58" s="354"/>
      <c r="G58" s="354"/>
      <c r="H58" s="345"/>
    </row>
    <row r="59" spans="1:8" ht="12.75" customHeight="1" x14ac:dyDescent="0.4">
      <c r="A59" s="346"/>
      <c r="B59" s="346"/>
      <c r="C59" s="346"/>
      <c r="D59" s="354"/>
      <c r="E59" s="354"/>
      <c r="F59" s="354"/>
      <c r="G59" s="354"/>
      <c r="H59" s="345"/>
    </row>
    <row r="60" spans="1:8" ht="12.75" customHeight="1" x14ac:dyDescent="0.4">
      <c r="A60" s="346"/>
      <c r="B60" s="346"/>
      <c r="C60" s="346"/>
      <c r="D60" s="354"/>
      <c r="E60" s="354"/>
      <c r="F60" s="354"/>
      <c r="G60" s="354"/>
      <c r="H60" s="345"/>
    </row>
    <row r="61" spans="1:8" ht="12.75" customHeight="1" x14ac:dyDescent="0.4">
      <c r="A61" s="346"/>
      <c r="B61" s="346"/>
      <c r="C61" s="346"/>
      <c r="D61" s="354"/>
      <c r="E61" s="354"/>
      <c r="F61" s="354"/>
      <c r="G61" s="354"/>
      <c r="H61" s="345"/>
    </row>
    <row r="62" spans="1:8" ht="12.75" customHeight="1" x14ac:dyDescent="0.4">
      <c r="A62" s="346"/>
      <c r="B62" s="346"/>
      <c r="C62" s="346"/>
      <c r="D62" s="354"/>
      <c r="E62" s="354"/>
      <c r="F62" s="354"/>
      <c r="G62" s="354"/>
      <c r="H62" s="345"/>
    </row>
    <row r="63" spans="1:8" ht="12.75" customHeight="1" x14ac:dyDescent="0.4">
      <c r="A63" s="346"/>
      <c r="B63" s="346"/>
      <c r="C63" s="346"/>
      <c r="D63" s="354"/>
      <c r="E63" s="354"/>
      <c r="F63" s="354"/>
      <c r="G63" s="354"/>
      <c r="H63" s="345"/>
    </row>
    <row r="64" spans="1:8" ht="12.75" customHeight="1" x14ac:dyDescent="0.4">
      <c r="A64" s="346"/>
      <c r="B64" s="346"/>
      <c r="C64" s="346"/>
      <c r="D64" s="354"/>
      <c r="E64" s="354"/>
      <c r="F64" s="354"/>
      <c r="G64" s="354"/>
      <c r="H64" s="345"/>
    </row>
    <row r="65" spans="1:8" ht="12.75" customHeight="1" x14ac:dyDescent="0.4">
      <c r="A65" s="344"/>
      <c r="B65" s="344" t="s">
        <v>60</v>
      </c>
      <c r="C65" s="344"/>
      <c r="D65" s="353"/>
      <c r="E65" s="353"/>
      <c r="F65" s="353"/>
      <c r="G65" s="353"/>
      <c r="H65" s="345"/>
    </row>
    <row r="66" spans="1:8" ht="12.75" customHeight="1" x14ac:dyDescent="0.4">
      <c r="A66" s="346"/>
      <c r="B66" s="346"/>
      <c r="C66" s="346"/>
      <c r="D66" s="354"/>
      <c r="E66" s="354"/>
      <c r="F66" s="354"/>
      <c r="G66" s="354"/>
      <c r="H66" s="345"/>
    </row>
    <row r="67" spans="1:8" ht="12.75" customHeight="1" x14ac:dyDescent="0.4">
      <c r="A67" s="346" t="s">
        <v>2161</v>
      </c>
      <c r="B67" s="346"/>
      <c r="C67" s="346" t="s">
        <v>2164</v>
      </c>
      <c r="D67" s="354" t="s">
        <v>2165</v>
      </c>
      <c r="E67" s="354"/>
      <c r="F67" s="354"/>
      <c r="G67" s="354"/>
      <c r="H67" s="345"/>
    </row>
    <row r="68" spans="1:8" ht="12.75" customHeight="1" x14ac:dyDescent="0.4">
      <c r="A68" s="346" t="s">
        <v>2162</v>
      </c>
      <c r="B68" s="346"/>
      <c r="C68" s="346" t="s">
        <v>2166</v>
      </c>
      <c r="D68" s="354"/>
      <c r="E68" s="354"/>
      <c r="F68" s="354"/>
      <c r="G68" s="354"/>
      <c r="H68" s="345"/>
    </row>
    <row r="69" spans="1:8" ht="12.75" customHeight="1" x14ac:dyDescent="0.4">
      <c r="A69" s="346" t="s">
        <v>2163</v>
      </c>
      <c r="B69" s="346"/>
      <c r="C69" s="346" t="s">
        <v>2167</v>
      </c>
      <c r="D69" s="354"/>
      <c r="E69" s="354"/>
      <c r="F69" s="354"/>
      <c r="G69" s="354"/>
      <c r="H69" s="345"/>
    </row>
    <row r="70" spans="1:8" ht="12.75" customHeight="1" x14ac:dyDescent="0.4">
      <c r="A70" s="346"/>
      <c r="B70" s="346"/>
      <c r="C70" s="346"/>
      <c r="D70" s="354"/>
      <c r="E70" s="354"/>
      <c r="F70" s="354"/>
      <c r="G70" s="354"/>
      <c r="H70" s="345"/>
    </row>
    <row r="71" spans="1:8" ht="12.75" customHeight="1" x14ac:dyDescent="0.4">
      <c r="A71" s="346"/>
      <c r="B71" s="346"/>
      <c r="C71" s="346"/>
      <c r="D71" s="354"/>
      <c r="E71" s="354"/>
      <c r="F71" s="354"/>
      <c r="G71" s="354"/>
      <c r="H71" s="345"/>
    </row>
    <row r="72" spans="1:8" ht="12.75" customHeight="1" x14ac:dyDescent="0.4">
      <c r="A72" s="346"/>
      <c r="B72" s="346"/>
      <c r="C72" s="346"/>
      <c r="D72" s="354"/>
      <c r="E72" s="354"/>
      <c r="F72" s="354"/>
      <c r="G72" s="354"/>
      <c r="H72" s="345"/>
    </row>
    <row r="73" spans="1:8" ht="12.75" customHeight="1" x14ac:dyDescent="0.4">
      <c r="A73" s="346"/>
      <c r="B73" s="346"/>
      <c r="C73" s="346"/>
      <c r="D73" s="354"/>
      <c r="E73" s="354"/>
      <c r="F73" s="354"/>
      <c r="G73" s="354"/>
      <c r="H73" s="345"/>
    </row>
    <row r="74" spans="1:8" ht="12.75" customHeight="1" x14ac:dyDescent="0.4">
      <c r="A74" s="346"/>
      <c r="B74" s="346"/>
      <c r="C74" s="346"/>
      <c r="D74" s="354"/>
      <c r="E74" s="354"/>
      <c r="F74" s="354"/>
      <c r="G74" s="354"/>
      <c r="H74" s="345"/>
    </row>
    <row r="75" spans="1:8" ht="12.75" customHeight="1" x14ac:dyDescent="0.4">
      <c r="A75" s="346"/>
      <c r="B75" s="346"/>
      <c r="C75" s="346"/>
      <c r="D75" s="354"/>
      <c r="E75" s="354"/>
      <c r="F75" s="354"/>
      <c r="G75" s="354"/>
      <c r="H75" s="345"/>
    </row>
    <row r="76" spans="1:8" ht="12.75" customHeight="1" x14ac:dyDescent="0.4">
      <c r="A76" s="346"/>
      <c r="B76" s="346"/>
      <c r="C76" s="346"/>
      <c r="D76" s="354"/>
      <c r="E76" s="354"/>
      <c r="F76" s="354"/>
      <c r="G76" s="354"/>
      <c r="H76" s="345"/>
    </row>
    <row r="77" spans="1:8" ht="12.75" customHeight="1" x14ac:dyDescent="0.4">
      <c r="A77" s="346"/>
      <c r="B77" s="346"/>
      <c r="C77" s="346"/>
      <c r="D77" s="354"/>
      <c r="E77" s="354"/>
      <c r="F77" s="354"/>
      <c r="G77" s="354"/>
      <c r="H77" s="345"/>
    </row>
    <row r="78" spans="1:8" ht="12.75" customHeight="1" x14ac:dyDescent="0.4">
      <c r="A78" s="346"/>
      <c r="B78" s="346"/>
      <c r="C78" s="346"/>
      <c r="D78" s="354"/>
      <c r="E78" s="354"/>
      <c r="F78" s="354"/>
      <c r="G78" s="354"/>
      <c r="H78" s="345"/>
    </row>
    <row r="79" spans="1:8" ht="12.75" customHeight="1" x14ac:dyDescent="0.4">
      <c r="A79" s="346"/>
      <c r="B79" s="346"/>
      <c r="C79" s="346"/>
      <c r="D79" s="354"/>
      <c r="E79" s="354"/>
      <c r="F79" s="354"/>
      <c r="G79" s="354"/>
      <c r="H79" s="345"/>
    </row>
    <row r="80" spans="1:8" ht="12.75" customHeight="1" x14ac:dyDescent="0.4">
      <c r="A80" s="346"/>
      <c r="B80" s="346"/>
      <c r="C80" s="346"/>
      <c r="D80" s="354"/>
      <c r="E80" s="354"/>
      <c r="F80" s="354"/>
      <c r="G80" s="354"/>
      <c r="H80" s="345"/>
    </row>
    <row r="81" spans="1:8" ht="12.75" customHeight="1" x14ac:dyDescent="0.4">
      <c r="A81" s="346"/>
      <c r="B81" s="346"/>
      <c r="C81" s="346"/>
      <c r="D81" s="354"/>
      <c r="E81" s="354"/>
      <c r="F81" s="354"/>
      <c r="G81" s="354"/>
      <c r="H81" s="345"/>
    </row>
    <row r="82" spans="1:8" ht="12.75" customHeight="1" x14ac:dyDescent="0.4">
      <c r="A82" s="346"/>
      <c r="B82" s="346"/>
      <c r="C82" s="346"/>
      <c r="D82" s="354"/>
      <c r="E82" s="354"/>
      <c r="F82" s="354"/>
      <c r="G82" s="354"/>
      <c r="H82" s="345"/>
    </row>
    <row r="83" spans="1:8" ht="12.75" customHeight="1" x14ac:dyDescent="0.4">
      <c r="A83" s="346"/>
      <c r="B83" s="346"/>
      <c r="C83" s="346"/>
      <c r="D83" s="354"/>
      <c r="E83" s="354"/>
      <c r="F83" s="354"/>
      <c r="G83" s="354"/>
      <c r="H83" s="345"/>
    </row>
    <row r="84" spans="1:8" ht="12.75" customHeight="1" x14ac:dyDescent="0.4">
      <c r="A84" s="346"/>
      <c r="B84" s="346"/>
      <c r="C84" s="346"/>
      <c r="D84" s="354"/>
      <c r="E84" s="354"/>
      <c r="F84" s="354"/>
      <c r="G84" s="354"/>
      <c r="H84" s="345"/>
    </row>
    <row r="85" spans="1:8" ht="12.75" customHeight="1" x14ac:dyDescent="0.4">
      <c r="A85" s="346"/>
      <c r="B85" s="346"/>
      <c r="C85" s="346"/>
      <c r="D85" s="354"/>
      <c r="E85" s="354"/>
      <c r="F85" s="354"/>
      <c r="G85" s="354"/>
      <c r="H85" s="345"/>
    </row>
    <row r="86" spans="1:8" ht="12.75" customHeight="1" x14ac:dyDescent="0.4">
      <c r="A86" s="346"/>
      <c r="B86" s="346"/>
      <c r="C86" s="346"/>
      <c r="D86" s="354"/>
      <c r="E86" s="354"/>
      <c r="F86" s="354"/>
      <c r="G86" s="354"/>
      <c r="H86" s="345"/>
    </row>
    <row r="87" spans="1:8" ht="12.75" customHeight="1" x14ac:dyDescent="0.4">
      <c r="A87" s="346"/>
      <c r="B87" s="346"/>
      <c r="C87" s="346"/>
      <c r="D87" s="354"/>
      <c r="E87" s="354"/>
      <c r="F87" s="354"/>
      <c r="G87" s="354"/>
      <c r="H87" s="345"/>
    </row>
    <row r="88" spans="1:8" ht="12.75" customHeight="1" x14ac:dyDescent="0.4">
      <c r="A88" s="346"/>
      <c r="B88" s="346"/>
      <c r="C88" s="346"/>
      <c r="D88" s="354"/>
      <c r="E88" s="354"/>
      <c r="F88" s="354"/>
      <c r="G88" s="354"/>
      <c r="H88" s="345"/>
    </row>
    <row r="89" spans="1:8" ht="12.75" customHeight="1" x14ac:dyDescent="0.4">
      <c r="A89" s="346"/>
      <c r="B89" s="346"/>
      <c r="C89" s="346"/>
      <c r="D89" s="354"/>
      <c r="E89" s="354"/>
      <c r="F89" s="354"/>
      <c r="G89" s="354"/>
      <c r="H89" s="345"/>
    </row>
    <row r="90" spans="1:8" ht="12.75" customHeight="1" x14ac:dyDescent="0.4">
      <c r="A90" s="346"/>
      <c r="B90" s="346"/>
      <c r="C90" s="346"/>
      <c r="D90" s="354"/>
      <c r="E90" s="354"/>
      <c r="F90" s="354"/>
      <c r="G90" s="354"/>
      <c r="H90" s="345"/>
    </row>
    <row r="91" spans="1:8" ht="12.75" customHeight="1" x14ac:dyDescent="0.4">
      <c r="A91" s="346"/>
      <c r="B91" s="346"/>
      <c r="C91" s="346"/>
      <c r="D91" s="354"/>
      <c r="E91" s="354"/>
      <c r="F91" s="354"/>
      <c r="G91" s="354"/>
      <c r="H91" s="345"/>
    </row>
    <row r="92" spans="1:8" ht="12.75" customHeight="1" x14ac:dyDescent="0.4">
      <c r="A92" s="346"/>
      <c r="B92" s="346"/>
      <c r="C92" s="346"/>
      <c r="D92" s="354"/>
      <c r="E92" s="354"/>
      <c r="F92" s="354"/>
      <c r="G92" s="354"/>
      <c r="H92" s="345"/>
    </row>
    <row r="93" spans="1:8" ht="12.75" customHeight="1" x14ac:dyDescent="0.4">
      <c r="A93" s="346"/>
      <c r="B93" s="346"/>
      <c r="C93" s="346"/>
      <c r="D93" s="354"/>
      <c r="E93" s="354"/>
      <c r="F93" s="354"/>
      <c r="G93" s="354"/>
      <c r="H93" s="345"/>
    </row>
    <row r="94" spans="1:8" ht="12.75" customHeight="1" x14ac:dyDescent="0.4">
      <c r="A94" s="346"/>
      <c r="B94" s="346"/>
      <c r="C94" s="346"/>
      <c r="D94" s="354"/>
      <c r="E94" s="354"/>
      <c r="F94" s="354"/>
      <c r="G94" s="354"/>
      <c r="H94" s="345"/>
    </row>
    <row r="95" spans="1:8" ht="12.75" customHeight="1" x14ac:dyDescent="0.4">
      <c r="A95" s="346"/>
      <c r="B95" s="346"/>
      <c r="C95" s="346"/>
      <c r="D95" s="354"/>
      <c r="E95" s="354"/>
      <c r="F95" s="354"/>
      <c r="G95" s="354"/>
      <c r="H95" s="345"/>
    </row>
    <row r="96" spans="1:8" ht="12.75" customHeight="1" x14ac:dyDescent="0.4">
      <c r="A96" s="346"/>
      <c r="B96" s="346"/>
      <c r="C96" s="346"/>
      <c r="D96" s="354"/>
      <c r="E96" s="354"/>
      <c r="F96" s="354"/>
      <c r="G96" s="354"/>
      <c r="H96" s="345"/>
    </row>
    <row r="97" spans="1:8" ht="12.75" customHeight="1" x14ac:dyDescent="0.4">
      <c r="A97" s="346"/>
      <c r="B97" s="346"/>
      <c r="C97" s="346"/>
      <c r="D97" s="354"/>
      <c r="E97" s="354"/>
      <c r="F97" s="354"/>
      <c r="G97" s="354"/>
      <c r="H97" s="345"/>
    </row>
    <row r="98" spans="1:8" ht="12.75" customHeight="1" x14ac:dyDescent="0.4">
      <c r="A98" s="346"/>
      <c r="B98" s="346"/>
      <c r="C98" s="346"/>
      <c r="D98" s="354"/>
      <c r="E98" s="354"/>
      <c r="F98" s="354"/>
      <c r="G98" s="354"/>
      <c r="H98" s="345"/>
    </row>
    <row r="99" spans="1:8" ht="12.75" customHeight="1" x14ac:dyDescent="0.4">
      <c r="A99" s="346"/>
      <c r="B99" s="346"/>
      <c r="C99" s="346"/>
      <c r="D99" s="354"/>
      <c r="E99" s="354"/>
      <c r="F99" s="354"/>
      <c r="G99" s="354"/>
      <c r="H99" s="345"/>
    </row>
    <row r="100" spans="1:8" ht="12.75" customHeight="1" x14ac:dyDescent="0.4">
      <c r="A100" s="346"/>
      <c r="B100" s="346"/>
      <c r="C100" s="346"/>
      <c r="D100" s="354"/>
      <c r="E100" s="354"/>
      <c r="F100" s="354"/>
      <c r="G100" s="354"/>
      <c r="H100" s="345"/>
    </row>
    <row r="101" spans="1:8" ht="12.75" customHeight="1" x14ac:dyDescent="0.4">
      <c r="A101" s="344"/>
      <c r="B101" s="344" t="s">
        <v>64</v>
      </c>
      <c r="C101" s="344"/>
      <c r="D101" s="353"/>
      <c r="E101" s="353"/>
      <c r="F101" s="353"/>
      <c r="G101" s="353"/>
      <c r="H101" s="345"/>
    </row>
    <row r="102" spans="1:8" ht="12.75" customHeight="1" x14ac:dyDescent="0.4">
      <c r="A102" s="346"/>
      <c r="B102" s="346"/>
      <c r="C102" s="346"/>
      <c r="D102" s="354"/>
      <c r="E102" s="354"/>
      <c r="F102" s="354"/>
      <c r="G102" s="354"/>
      <c r="H102" s="345"/>
    </row>
    <row r="103" spans="1:8" ht="12.75" customHeight="1" x14ac:dyDescent="0.4">
      <c r="A103" s="346" t="s">
        <v>2168</v>
      </c>
      <c r="B103" s="346"/>
      <c r="C103" s="346" t="s">
        <v>2171</v>
      </c>
      <c r="D103" s="354"/>
      <c r="E103" s="354"/>
      <c r="F103" s="354"/>
      <c r="G103" s="354"/>
      <c r="H103" s="345"/>
    </row>
    <row r="104" spans="1:8" ht="12.75" customHeight="1" x14ac:dyDescent="0.4">
      <c r="A104" s="346" t="s">
        <v>2169</v>
      </c>
      <c r="B104" s="346"/>
      <c r="C104" s="346" t="s">
        <v>2172</v>
      </c>
      <c r="D104" s="354"/>
      <c r="E104" s="354"/>
      <c r="F104" s="354"/>
      <c r="G104" s="354"/>
      <c r="H104" s="345"/>
    </row>
    <row r="105" spans="1:8" ht="12.75" customHeight="1" x14ac:dyDescent="0.4">
      <c r="A105" s="346" t="s">
        <v>2170</v>
      </c>
      <c r="B105" s="346"/>
      <c r="C105" s="346" t="s">
        <v>2173</v>
      </c>
      <c r="D105" s="354" t="s">
        <v>1676</v>
      </c>
      <c r="E105" s="354"/>
      <c r="F105" s="354"/>
      <c r="G105" s="354"/>
      <c r="H105" s="345"/>
    </row>
    <row r="106" spans="1:8" ht="12.75" customHeight="1" x14ac:dyDescent="0.4">
      <c r="A106" s="346"/>
      <c r="B106" s="346"/>
      <c r="C106" s="346"/>
      <c r="D106" s="354"/>
      <c r="E106" s="354"/>
      <c r="F106" s="354"/>
      <c r="G106" s="354"/>
      <c r="H106" s="345"/>
    </row>
    <row r="107" spans="1:8" ht="12.75" customHeight="1" x14ac:dyDescent="0.4">
      <c r="A107" s="346"/>
      <c r="B107" s="346"/>
      <c r="C107" s="346"/>
      <c r="D107" s="354"/>
      <c r="E107" s="354"/>
      <c r="F107" s="354"/>
      <c r="G107" s="354"/>
      <c r="H107" s="345"/>
    </row>
    <row r="108" spans="1:8" ht="12.75" customHeight="1" x14ac:dyDescent="0.4">
      <c r="A108" s="346"/>
      <c r="B108" s="346"/>
      <c r="C108" s="346"/>
      <c r="D108" s="354"/>
      <c r="E108" s="354"/>
      <c r="F108" s="354"/>
      <c r="G108" s="354"/>
      <c r="H108" s="345"/>
    </row>
    <row r="109" spans="1:8" ht="12.75" customHeight="1" x14ac:dyDescent="0.4">
      <c r="A109" s="346"/>
      <c r="B109" s="346"/>
      <c r="C109" s="346"/>
      <c r="D109" s="354"/>
      <c r="E109" s="354"/>
      <c r="F109" s="354"/>
      <c r="G109" s="354"/>
      <c r="H109" s="345"/>
    </row>
    <row r="110" spans="1:8" ht="12.75" customHeight="1" x14ac:dyDescent="0.4">
      <c r="A110" s="346"/>
      <c r="B110" s="346"/>
      <c r="C110" s="346"/>
      <c r="D110" s="354"/>
      <c r="E110" s="354"/>
      <c r="F110" s="354"/>
      <c r="G110" s="354"/>
      <c r="H110" s="345"/>
    </row>
    <row r="111" spans="1:8" ht="12.75" customHeight="1" x14ac:dyDescent="0.4">
      <c r="A111" s="346"/>
      <c r="B111" s="346"/>
      <c r="C111" s="346"/>
      <c r="D111" s="354"/>
      <c r="E111" s="354"/>
      <c r="F111" s="354"/>
      <c r="G111" s="354"/>
      <c r="H111" s="345"/>
    </row>
    <row r="112" spans="1:8" ht="12.75" customHeight="1" x14ac:dyDescent="0.4">
      <c r="A112" s="346"/>
      <c r="B112" s="346"/>
      <c r="C112" s="346"/>
      <c r="D112" s="354"/>
      <c r="E112" s="354"/>
      <c r="F112" s="354"/>
      <c r="G112" s="354"/>
      <c r="H112" s="345"/>
    </row>
    <row r="113" spans="1:8" ht="12.75" customHeight="1" x14ac:dyDescent="0.4">
      <c r="A113" s="346"/>
      <c r="B113" s="346"/>
      <c r="C113" s="346"/>
      <c r="D113" s="354"/>
      <c r="E113" s="354"/>
      <c r="F113" s="354"/>
      <c r="G113" s="354"/>
      <c r="H113" s="345"/>
    </row>
    <row r="114" spans="1:8" ht="12.75" customHeight="1" x14ac:dyDescent="0.4">
      <c r="A114" s="346"/>
      <c r="B114" s="346"/>
      <c r="C114" s="346"/>
      <c r="D114" s="354"/>
      <c r="E114" s="354"/>
      <c r="F114" s="354"/>
      <c r="G114" s="354"/>
      <c r="H114" s="345"/>
    </row>
    <row r="115" spans="1:8" ht="12.75" customHeight="1" x14ac:dyDescent="0.4">
      <c r="A115" s="346"/>
      <c r="B115" s="346"/>
      <c r="C115" s="346"/>
      <c r="D115" s="354"/>
      <c r="E115" s="354"/>
      <c r="F115" s="354"/>
      <c r="G115" s="354"/>
      <c r="H115" s="345"/>
    </row>
    <row r="116" spans="1:8" ht="12.75" customHeight="1" x14ac:dyDescent="0.4">
      <c r="A116" s="346"/>
      <c r="B116" s="346"/>
      <c r="C116" s="346"/>
      <c r="D116" s="354"/>
      <c r="E116" s="354"/>
      <c r="F116" s="354"/>
      <c r="G116" s="354"/>
      <c r="H116" s="345"/>
    </row>
    <row r="117" spans="1:8" ht="12.75" customHeight="1" x14ac:dyDescent="0.4">
      <c r="A117" s="346"/>
      <c r="B117" s="346"/>
      <c r="C117" s="346"/>
      <c r="D117" s="354"/>
      <c r="E117" s="354"/>
      <c r="F117" s="354"/>
      <c r="G117" s="354"/>
      <c r="H117" s="345"/>
    </row>
    <row r="118" spans="1:8" ht="12.75" customHeight="1" x14ac:dyDescent="0.4">
      <c r="A118" s="346"/>
      <c r="B118" s="346"/>
      <c r="C118" s="346"/>
      <c r="D118" s="354"/>
      <c r="E118" s="354"/>
      <c r="F118" s="354"/>
      <c r="G118" s="354"/>
      <c r="H118" s="345"/>
    </row>
    <row r="119" spans="1:8" ht="12.75" customHeight="1" x14ac:dyDescent="0.4">
      <c r="A119" s="346"/>
      <c r="B119" s="346"/>
      <c r="C119" s="346"/>
      <c r="D119" s="354"/>
      <c r="E119" s="354"/>
      <c r="F119" s="354"/>
      <c r="G119" s="354"/>
      <c r="H119" s="345"/>
    </row>
    <row r="120" spans="1:8" ht="12.75" customHeight="1" x14ac:dyDescent="0.4">
      <c r="A120" s="346"/>
      <c r="B120" s="346"/>
      <c r="C120" s="346"/>
      <c r="D120" s="354"/>
      <c r="E120" s="354"/>
      <c r="F120" s="354"/>
      <c r="G120" s="354"/>
      <c r="H120" s="345"/>
    </row>
    <row r="121" spans="1:8" ht="12.75" customHeight="1" x14ac:dyDescent="0.4">
      <c r="A121" s="346"/>
      <c r="B121" s="346"/>
      <c r="C121" s="346"/>
      <c r="D121" s="354"/>
      <c r="E121" s="354"/>
      <c r="F121" s="354"/>
      <c r="G121" s="354"/>
      <c r="H121" s="345"/>
    </row>
    <row r="122" spans="1:8" ht="12.75" customHeight="1" x14ac:dyDescent="0.4">
      <c r="A122" s="346"/>
      <c r="B122" s="346"/>
      <c r="C122" s="346"/>
      <c r="D122" s="354"/>
      <c r="E122" s="354"/>
      <c r="F122" s="354"/>
      <c r="G122" s="354"/>
      <c r="H122" s="345"/>
    </row>
    <row r="123" spans="1:8" ht="12.75" customHeight="1" x14ac:dyDescent="0.4">
      <c r="A123" s="346"/>
      <c r="B123" s="346"/>
      <c r="C123" s="346"/>
      <c r="D123" s="354"/>
      <c r="E123" s="354"/>
      <c r="F123" s="354"/>
      <c r="G123" s="354"/>
      <c r="H123" s="345"/>
    </row>
    <row r="124" spans="1:8" ht="12.75" customHeight="1" x14ac:dyDescent="0.4">
      <c r="A124" s="346"/>
      <c r="B124" s="346"/>
      <c r="C124" s="346"/>
      <c r="D124" s="354"/>
      <c r="E124" s="354"/>
      <c r="F124" s="354"/>
      <c r="G124" s="354"/>
      <c r="H124" s="345"/>
    </row>
    <row r="125" spans="1:8" ht="12.75" customHeight="1" x14ac:dyDescent="0.4">
      <c r="A125" s="346"/>
      <c r="B125" s="346"/>
      <c r="C125" s="346"/>
      <c r="D125" s="354"/>
      <c r="E125" s="354"/>
      <c r="F125" s="354"/>
      <c r="G125" s="354"/>
      <c r="H125" s="345"/>
    </row>
    <row r="126" spans="1:8" ht="12.75" customHeight="1" x14ac:dyDescent="0.4">
      <c r="A126" s="346"/>
      <c r="B126" s="346"/>
      <c r="C126" s="346"/>
      <c r="D126" s="354"/>
      <c r="E126" s="354"/>
      <c r="F126" s="354"/>
      <c r="G126" s="354"/>
      <c r="H126" s="345"/>
    </row>
    <row r="127" spans="1:8" ht="12.75" customHeight="1" x14ac:dyDescent="0.4">
      <c r="A127" s="346"/>
      <c r="B127" s="346"/>
      <c r="C127" s="346"/>
      <c r="D127" s="354"/>
      <c r="E127" s="354"/>
      <c r="F127" s="354"/>
      <c r="G127" s="354"/>
      <c r="H127" s="345"/>
    </row>
    <row r="128" spans="1:8" ht="12.75" customHeight="1" x14ac:dyDescent="0.4">
      <c r="A128" s="346"/>
      <c r="B128" s="346"/>
      <c r="C128" s="346"/>
      <c r="D128" s="354"/>
      <c r="E128" s="354"/>
      <c r="F128" s="354"/>
      <c r="G128" s="354"/>
      <c r="H128" s="345"/>
    </row>
    <row r="129" spans="1:8" ht="12.75" customHeight="1" x14ac:dyDescent="0.4">
      <c r="A129" s="346"/>
      <c r="B129" s="346"/>
      <c r="C129" s="346"/>
      <c r="D129" s="354"/>
      <c r="E129" s="354"/>
      <c r="F129" s="354"/>
      <c r="G129" s="354"/>
      <c r="H129" s="345"/>
    </row>
    <row r="130" spans="1:8" ht="12.75" customHeight="1" x14ac:dyDescent="0.4">
      <c r="A130" s="346"/>
      <c r="B130" s="346"/>
      <c r="C130" s="346"/>
      <c r="D130" s="354"/>
      <c r="E130" s="354"/>
      <c r="F130" s="354"/>
      <c r="G130" s="354"/>
      <c r="H130" s="345"/>
    </row>
    <row r="131" spans="1:8" ht="12.75" customHeight="1" x14ac:dyDescent="0.4">
      <c r="A131" s="346"/>
      <c r="B131" s="346"/>
      <c r="C131" s="346"/>
      <c r="D131" s="354"/>
      <c r="E131" s="354"/>
      <c r="F131" s="354"/>
      <c r="G131" s="354"/>
      <c r="H131" s="345"/>
    </row>
    <row r="132" spans="1:8" ht="12.75" customHeight="1" x14ac:dyDescent="0.4">
      <c r="A132" s="346"/>
      <c r="B132" s="346"/>
      <c r="C132" s="346"/>
      <c r="D132" s="354"/>
      <c r="E132" s="354"/>
      <c r="F132" s="354"/>
      <c r="G132" s="354"/>
      <c r="H132" s="345"/>
    </row>
    <row r="133" spans="1:8" ht="12.75" customHeight="1" x14ac:dyDescent="0.4">
      <c r="A133" s="346"/>
      <c r="B133" s="346"/>
      <c r="C133" s="346"/>
      <c r="D133" s="354"/>
      <c r="E133" s="354"/>
      <c r="F133" s="354"/>
      <c r="G133" s="354"/>
      <c r="H133" s="345"/>
    </row>
    <row r="134" spans="1:8" ht="12.75" customHeight="1" x14ac:dyDescent="0.4">
      <c r="A134" s="346"/>
      <c r="B134" s="346"/>
      <c r="C134" s="346"/>
      <c r="D134" s="354"/>
      <c r="E134" s="354"/>
      <c r="F134" s="354"/>
      <c r="G134" s="354"/>
      <c r="H134" s="345"/>
    </row>
    <row r="135" spans="1:8" ht="12.75" customHeight="1" x14ac:dyDescent="0.4">
      <c r="A135" s="346"/>
      <c r="B135" s="346"/>
      <c r="C135" s="346"/>
      <c r="D135" s="354"/>
      <c r="E135" s="354"/>
      <c r="F135" s="354"/>
      <c r="G135" s="354"/>
      <c r="H135" s="345"/>
    </row>
    <row r="136" spans="1:8" ht="12.75" customHeight="1" x14ac:dyDescent="0.4">
      <c r="A136" s="346"/>
      <c r="B136" s="346"/>
      <c r="C136" s="346"/>
      <c r="D136" s="354"/>
      <c r="E136" s="354"/>
      <c r="F136" s="354"/>
      <c r="G136" s="354"/>
      <c r="H136" s="345"/>
    </row>
    <row r="137" spans="1:8" ht="12.75" customHeight="1" x14ac:dyDescent="0.4">
      <c r="A137" s="346"/>
      <c r="B137" s="346"/>
      <c r="C137" s="346"/>
      <c r="D137" s="354"/>
      <c r="E137" s="354"/>
      <c r="F137" s="354"/>
      <c r="G137" s="354"/>
      <c r="H137" s="345"/>
    </row>
    <row r="138" spans="1:8" ht="12.75" customHeight="1" x14ac:dyDescent="0.4">
      <c r="A138" s="346"/>
      <c r="B138" s="346"/>
      <c r="C138" s="346"/>
      <c r="D138" s="354"/>
      <c r="E138" s="354"/>
      <c r="F138" s="354"/>
      <c r="G138" s="354"/>
      <c r="H138" s="345"/>
    </row>
    <row r="139" spans="1:8" ht="12.75" customHeight="1" x14ac:dyDescent="0.4">
      <c r="A139" s="346"/>
      <c r="B139" s="346"/>
      <c r="C139" s="346"/>
      <c r="D139" s="354"/>
      <c r="E139" s="354"/>
      <c r="F139" s="354"/>
      <c r="G139" s="354"/>
      <c r="H139" s="345"/>
    </row>
    <row r="140" spans="1:8" ht="12.75" customHeight="1" x14ac:dyDescent="0.4">
      <c r="A140" s="346"/>
      <c r="B140" s="346"/>
      <c r="C140" s="346"/>
      <c r="D140" s="354"/>
      <c r="E140" s="354"/>
      <c r="F140" s="354"/>
      <c r="G140" s="354"/>
      <c r="H140" s="345"/>
    </row>
    <row r="141" spans="1:8" ht="12.75" customHeight="1" x14ac:dyDescent="0.4">
      <c r="A141" s="344"/>
      <c r="B141" s="344" t="s">
        <v>67</v>
      </c>
      <c r="C141" s="344"/>
      <c r="D141" s="353"/>
      <c r="E141" s="353"/>
      <c r="F141" s="353"/>
      <c r="G141" s="353"/>
      <c r="H141" s="345"/>
    </row>
    <row r="142" spans="1:8" ht="12.75" customHeight="1" x14ac:dyDescent="0.4">
      <c r="A142" s="346"/>
      <c r="B142" s="346"/>
      <c r="C142" s="346"/>
      <c r="D142" s="354"/>
      <c r="E142" s="354"/>
      <c r="F142" s="354"/>
      <c r="G142" s="354"/>
      <c r="H142" s="345"/>
    </row>
    <row r="143" spans="1:8" ht="12.75" customHeight="1" x14ac:dyDescent="0.4">
      <c r="A143" s="346"/>
      <c r="B143" s="346"/>
      <c r="C143" s="346"/>
      <c r="D143" s="354"/>
      <c r="E143" s="354"/>
      <c r="F143" s="354"/>
      <c r="G143" s="354"/>
      <c r="H143" s="345"/>
    </row>
    <row r="144" spans="1:8" ht="12.75" customHeight="1" x14ac:dyDescent="0.4">
      <c r="A144" s="346"/>
      <c r="B144" s="346"/>
      <c r="C144" s="346"/>
      <c r="D144" s="354"/>
      <c r="E144" s="354"/>
      <c r="F144" s="354"/>
      <c r="G144" s="354"/>
      <c r="H144" s="345"/>
    </row>
    <row r="145" spans="1:8" ht="12.75" customHeight="1" x14ac:dyDescent="0.4">
      <c r="A145" s="346"/>
      <c r="B145" s="346"/>
      <c r="C145" s="346"/>
      <c r="D145" s="354"/>
      <c r="E145" s="354"/>
      <c r="F145" s="354"/>
      <c r="G145" s="354"/>
      <c r="H145" s="345"/>
    </row>
    <row r="146" spans="1:8" ht="12.75" customHeight="1" x14ac:dyDescent="0.4">
      <c r="A146" s="346"/>
      <c r="B146" s="346"/>
      <c r="C146" s="346"/>
      <c r="D146" s="354"/>
      <c r="E146" s="354"/>
      <c r="F146" s="354"/>
      <c r="G146" s="354"/>
      <c r="H146" s="345"/>
    </row>
    <row r="147" spans="1:8" ht="12.75" customHeight="1" x14ac:dyDescent="0.4">
      <c r="A147" s="346"/>
      <c r="B147" s="346"/>
      <c r="C147" s="346"/>
      <c r="D147" s="354"/>
      <c r="E147" s="354"/>
      <c r="F147" s="354"/>
      <c r="G147" s="354"/>
      <c r="H147" s="345"/>
    </row>
    <row r="148" spans="1:8" ht="12.75" customHeight="1" x14ac:dyDescent="0.4">
      <c r="A148" s="346"/>
      <c r="B148" s="346"/>
      <c r="C148" s="346"/>
      <c r="D148" s="354"/>
      <c r="E148" s="354"/>
      <c r="F148" s="354"/>
      <c r="G148" s="354"/>
      <c r="H148" s="345"/>
    </row>
    <row r="149" spans="1:8" ht="12.75" customHeight="1" x14ac:dyDescent="0.4">
      <c r="A149" s="346"/>
      <c r="B149" s="346"/>
      <c r="C149" s="346"/>
      <c r="D149" s="354"/>
      <c r="E149" s="354"/>
      <c r="F149" s="354"/>
      <c r="G149" s="354"/>
      <c r="H149" s="345"/>
    </row>
    <row r="150" spans="1:8" ht="12.75" customHeight="1" x14ac:dyDescent="0.4">
      <c r="A150" s="346"/>
      <c r="B150" s="346"/>
      <c r="C150" s="346"/>
      <c r="D150" s="354"/>
      <c r="E150" s="354"/>
      <c r="F150" s="354"/>
      <c r="G150" s="354"/>
      <c r="H150" s="345"/>
    </row>
    <row r="151" spans="1:8" ht="12.75" customHeight="1" x14ac:dyDescent="0.4">
      <c r="A151" s="346"/>
      <c r="B151" s="346"/>
      <c r="C151" s="346"/>
      <c r="D151" s="354"/>
      <c r="E151" s="354"/>
      <c r="F151" s="354"/>
      <c r="G151" s="354"/>
      <c r="H151" s="345"/>
    </row>
    <row r="152" spans="1:8" ht="12.75" customHeight="1" x14ac:dyDescent="0.4">
      <c r="A152" s="346"/>
      <c r="B152" s="346"/>
      <c r="C152" s="346"/>
      <c r="D152" s="354"/>
      <c r="E152" s="354"/>
      <c r="F152" s="354"/>
      <c r="G152" s="354"/>
      <c r="H152" s="345"/>
    </row>
    <row r="153" spans="1:8" ht="12.75" customHeight="1" x14ac:dyDescent="0.4">
      <c r="A153" s="346"/>
      <c r="B153" s="346"/>
      <c r="C153" s="346"/>
      <c r="D153" s="354"/>
      <c r="E153" s="354"/>
      <c r="F153" s="354"/>
      <c r="G153" s="354"/>
      <c r="H153" s="345"/>
    </row>
    <row r="154" spans="1:8" ht="12.75" customHeight="1" x14ac:dyDescent="0.4">
      <c r="A154" s="346"/>
      <c r="B154" s="346"/>
      <c r="C154" s="346"/>
      <c r="D154" s="354"/>
      <c r="E154" s="354"/>
      <c r="F154" s="354"/>
      <c r="G154" s="354"/>
      <c r="H154" s="345"/>
    </row>
    <row r="155" spans="1:8" ht="12.75" customHeight="1" x14ac:dyDescent="0.4">
      <c r="A155" s="346"/>
      <c r="B155" s="346"/>
      <c r="C155" s="346"/>
      <c r="D155" s="354"/>
      <c r="E155" s="354"/>
      <c r="F155" s="354"/>
      <c r="G155" s="354"/>
      <c r="H155" s="345"/>
    </row>
    <row r="156" spans="1:8" ht="12.75" customHeight="1" x14ac:dyDescent="0.4">
      <c r="A156" s="346"/>
      <c r="B156" s="346"/>
      <c r="C156" s="346"/>
      <c r="D156" s="354"/>
      <c r="E156" s="354"/>
      <c r="F156" s="354"/>
      <c r="G156" s="354"/>
      <c r="H156" s="345"/>
    </row>
    <row r="157" spans="1:8" ht="12.75" customHeight="1" x14ac:dyDescent="0.4">
      <c r="A157" s="346"/>
      <c r="B157" s="346"/>
      <c r="C157" s="346"/>
      <c r="D157" s="354"/>
      <c r="E157" s="354"/>
      <c r="F157" s="354"/>
      <c r="G157" s="354"/>
      <c r="H157" s="345"/>
    </row>
    <row r="158" spans="1:8" ht="12.75" customHeight="1" x14ac:dyDescent="0.4">
      <c r="A158" s="346"/>
      <c r="B158" s="346"/>
      <c r="C158" s="346"/>
      <c r="D158" s="354"/>
      <c r="E158" s="354"/>
      <c r="F158" s="354"/>
      <c r="G158" s="354"/>
      <c r="H158" s="345"/>
    </row>
    <row r="159" spans="1:8" ht="12.75" customHeight="1" x14ac:dyDescent="0.4">
      <c r="A159" s="346"/>
      <c r="B159" s="346"/>
      <c r="C159" s="346"/>
      <c r="D159" s="354"/>
      <c r="E159" s="354"/>
      <c r="F159" s="354"/>
      <c r="G159" s="354"/>
      <c r="H159" s="345"/>
    </row>
    <row r="160" spans="1:8" ht="12.75" customHeight="1" x14ac:dyDescent="0.4">
      <c r="A160" s="346"/>
      <c r="B160" s="346"/>
      <c r="C160" s="346"/>
      <c r="D160" s="354"/>
      <c r="E160" s="354"/>
      <c r="F160" s="354"/>
      <c r="G160" s="354"/>
      <c r="H160" s="345"/>
    </row>
    <row r="161" spans="1:8" ht="12.75" customHeight="1" x14ac:dyDescent="0.4">
      <c r="A161" s="346"/>
      <c r="B161" s="346"/>
      <c r="C161" s="346"/>
      <c r="D161" s="354"/>
      <c r="E161" s="354"/>
      <c r="F161" s="354"/>
      <c r="G161" s="354"/>
      <c r="H161" s="345"/>
    </row>
    <row r="162" spans="1:8" ht="12.75" customHeight="1" x14ac:dyDescent="0.4">
      <c r="A162" s="346"/>
      <c r="B162" s="346"/>
      <c r="C162" s="346"/>
      <c r="D162" s="354"/>
      <c r="E162" s="354"/>
      <c r="F162" s="354"/>
      <c r="G162" s="354"/>
      <c r="H162" s="345"/>
    </row>
    <row r="163" spans="1:8" ht="12.75" customHeight="1" x14ac:dyDescent="0.4">
      <c r="A163" s="346"/>
      <c r="B163" s="346"/>
      <c r="C163" s="346"/>
      <c r="D163" s="354"/>
      <c r="E163" s="354"/>
      <c r="F163" s="354"/>
      <c r="G163" s="354"/>
      <c r="H163" s="345"/>
    </row>
    <row r="164" spans="1:8" ht="12.75" customHeight="1" x14ac:dyDescent="0.4">
      <c r="A164" s="346"/>
      <c r="B164" s="346"/>
      <c r="C164" s="346"/>
      <c r="D164" s="354"/>
      <c r="E164" s="354"/>
      <c r="F164" s="354"/>
      <c r="G164" s="354"/>
      <c r="H164" s="345"/>
    </row>
    <row r="165" spans="1:8" ht="12.75" customHeight="1" x14ac:dyDescent="0.4">
      <c r="A165" s="346"/>
      <c r="B165" s="346"/>
      <c r="C165" s="346"/>
      <c r="D165" s="354"/>
      <c r="E165" s="354"/>
      <c r="F165" s="354"/>
      <c r="G165" s="354"/>
      <c r="H165" s="345"/>
    </row>
    <row r="166" spans="1:8" ht="12.75" customHeight="1" x14ac:dyDescent="0.4">
      <c r="A166" s="346"/>
      <c r="B166" s="346"/>
      <c r="C166" s="346"/>
      <c r="D166" s="354"/>
      <c r="E166" s="354"/>
      <c r="F166" s="354"/>
      <c r="G166" s="354"/>
      <c r="H166" s="345"/>
    </row>
    <row r="167" spans="1:8" ht="12.75" customHeight="1" x14ac:dyDescent="0.4">
      <c r="A167" s="346"/>
      <c r="B167" s="346"/>
      <c r="C167" s="346"/>
      <c r="D167" s="354"/>
      <c r="E167" s="354"/>
      <c r="F167" s="354"/>
      <c r="G167" s="354"/>
      <c r="H167" s="345"/>
    </row>
    <row r="168" spans="1:8" ht="12.75" customHeight="1" x14ac:dyDescent="0.4">
      <c r="A168" s="346"/>
      <c r="B168" s="346"/>
      <c r="C168" s="346"/>
      <c r="D168" s="354"/>
      <c r="E168" s="354"/>
      <c r="F168" s="354"/>
      <c r="G168" s="354"/>
      <c r="H168" s="345"/>
    </row>
    <row r="169" spans="1:8" ht="12.75" customHeight="1" x14ac:dyDescent="0.4">
      <c r="A169" s="346"/>
      <c r="B169" s="346"/>
      <c r="C169" s="346"/>
      <c r="D169" s="354"/>
      <c r="E169" s="354"/>
      <c r="F169" s="354"/>
      <c r="G169" s="354"/>
      <c r="H169" s="345"/>
    </row>
    <row r="170" spans="1:8" ht="12.75" customHeight="1" x14ac:dyDescent="0.4">
      <c r="A170" s="346"/>
      <c r="B170" s="346"/>
      <c r="C170" s="346"/>
      <c r="D170" s="354"/>
      <c r="E170" s="354"/>
      <c r="F170" s="354"/>
      <c r="G170" s="354"/>
      <c r="H170" s="345"/>
    </row>
    <row r="171" spans="1:8" ht="12.75" customHeight="1" x14ac:dyDescent="0.4">
      <c r="A171" s="346"/>
      <c r="B171" s="346"/>
      <c r="C171" s="346"/>
      <c r="D171" s="354"/>
      <c r="E171" s="354"/>
      <c r="F171" s="354"/>
      <c r="G171" s="354"/>
      <c r="H171" s="345"/>
    </row>
    <row r="172" spans="1:8" ht="12.75" customHeight="1" x14ac:dyDescent="0.4">
      <c r="A172" s="346"/>
      <c r="B172" s="346"/>
      <c r="C172" s="346"/>
      <c r="D172" s="354"/>
      <c r="E172" s="354"/>
      <c r="F172" s="354"/>
      <c r="G172" s="354"/>
      <c r="H172" s="345"/>
    </row>
    <row r="173" spans="1:8" ht="12.75" customHeight="1" x14ac:dyDescent="0.4">
      <c r="A173" s="346"/>
      <c r="B173" s="346"/>
      <c r="C173" s="346"/>
      <c r="D173" s="354"/>
      <c r="E173" s="354"/>
      <c r="F173" s="354"/>
      <c r="G173" s="354"/>
      <c r="H173" s="345"/>
    </row>
    <row r="174" spans="1:8" ht="12.75" customHeight="1" x14ac:dyDescent="0.4">
      <c r="A174" s="346"/>
      <c r="B174" s="346"/>
      <c r="C174" s="346"/>
      <c r="D174" s="354"/>
      <c r="E174" s="354"/>
      <c r="F174" s="354"/>
      <c r="G174" s="354"/>
      <c r="H174" s="345"/>
    </row>
    <row r="175" spans="1:8" ht="12.75" customHeight="1" x14ac:dyDescent="0.4">
      <c r="A175" s="346"/>
      <c r="B175" s="346"/>
      <c r="C175" s="346"/>
      <c r="D175" s="354"/>
      <c r="E175" s="354"/>
      <c r="F175" s="354"/>
      <c r="G175" s="354"/>
      <c r="H175" s="345"/>
    </row>
    <row r="176" spans="1:8" ht="12.75" customHeight="1" x14ac:dyDescent="0.4">
      <c r="A176" s="346"/>
      <c r="B176" s="346"/>
      <c r="C176" s="346"/>
      <c r="D176" s="354"/>
      <c r="E176" s="354"/>
      <c r="F176" s="354"/>
      <c r="G176" s="354"/>
      <c r="H176" s="345"/>
    </row>
    <row r="177" spans="1:8" ht="12.75" customHeight="1" x14ac:dyDescent="0.4">
      <c r="A177" s="346"/>
      <c r="B177" s="346"/>
      <c r="C177" s="346"/>
      <c r="D177" s="354"/>
      <c r="E177" s="354"/>
      <c r="F177" s="354"/>
      <c r="G177" s="354"/>
      <c r="H177" s="345"/>
    </row>
    <row r="178" spans="1:8" ht="12.75" customHeight="1" x14ac:dyDescent="0.4">
      <c r="A178" s="346"/>
      <c r="B178" s="346"/>
      <c r="C178" s="346"/>
      <c r="D178" s="354"/>
      <c r="E178" s="354"/>
      <c r="F178" s="354"/>
      <c r="G178" s="354"/>
      <c r="H178" s="345"/>
    </row>
    <row r="179" spans="1:8" ht="12.75" customHeight="1" x14ac:dyDescent="0.4">
      <c r="A179" s="346"/>
      <c r="B179" s="346"/>
      <c r="C179" s="346"/>
      <c r="D179" s="354"/>
      <c r="E179" s="354"/>
      <c r="F179" s="354"/>
      <c r="G179" s="354"/>
      <c r="H179" s="345"/>
    </row>
    <row r="180" spans="1:8" ht="12.75" customHeight="1" x14ac:dyDescent="0.4">
      <c r="A180" s="346"/>
      <c r="B180" s="346"/>
      <c r="C180" s="346"/>
      <c r="D180" s="354"/>
      <c r="E180" s="354"/>
      <c r="F180" s="354"/>
      <c r="G180" s="354"/>
      <c r="H180" s="345"/>
    </row>
    <row r="181" spans="1:8" ht="12.75" customHeight="1" x14ac:dyDescent="0.4">
      <c r="A181" s="346"/>
      <c r="B181" s="346"/>
      <c r="C181" s="346"/>
      <c r="D181" s="354"/>
      <c r="E181" s="354"/>
      <c r="F181" s="354"/>
      <c r="G181" s="354"/>
      <c r="H181" s="345"/>
    </row>
    <row r="182" spans="1:8" ht="12.75" customHeight="1" x14ac:dyDescent="0.4">
      <c r="A182" s="346"/>
      <c r="B182" s="346"/>
      <c r="C182" s="346"/>
      <c r="D182" s="354"/>
      <c r="E182" s="354"/>
      <c r="F182" s="354"/>
      <c r="G182" s="354"/>
      <c r="H182" s="345"/>
    </row>
    <row r="183" spans="1:8" ht="12.75" customHeight="1" x14ac:dyDescent="0.4">
      <c r="A183" s="346"/>
      <c r="B183" s="346"/>
      <c r="C183" s="346"/>
      <c r="D183" s="354"/>
      <c r="E183" s="354"/>
      <c r="F183" s="354"/>
      <c r="G183" s="354"/>
      <c r="H183" s="345"/>
    </row>
    <row r="184" spans="1:8" ht="12.75" customHeight="1" x14ac:dyDescent="0.4">
      <c r="A184" s="346"/>
      <c r="B184" s="346"/>
      <c r="C184" s="346"/>
      <c r="D184" s="354"/>
      <c r="E184" s="354"/>
      <c r="F184" s="354"/>
      <c r="G184" s="354"/>
      <c r="H184" s="345"/>
    </row>
    <row r="185" spans="1:8" ht="12.75" customHeight="1" x14ac:dyDescent="0.4">
      <c r="A185" s="346"/>
      <c r="B185" s="346"/>
      <c r="C185" s="346"/>
      <c r="D185" s="354"/>
      <c r="E185" s="354"/>
      <c r="F185" s="354"/>
      <c r="G185" s="354"/>
      <c r="H185" s="345"/>
    </row>
    <row r="186" spans="1:8" ht="12.75" customHeight="1" x14ac:dyDescent="0.4">
      <c r="A186" s="346"/>
      <c r="B186" s="346"/>
      <c r="C186" s="346"/>
      <c r="D186" s="354"/>
      <c r="E186" s="354"/>
      <c r="F186" s="354"/>
      <c r="G186" s="354"/>
      <c r="H186" s="345"/>
    </row>
    <row r="187" spans="1:8" ht="12.75" customHeight="1" x14ac:dyDescent="0.4">
      <c r="A187" s="346"/>
      <c r="B187" s="346"/>
      <c r="C187" s="346"/>
      <c r="D187" s="354"/>
      <c r="E187" s="354"/>
      <c r="F187" s="354"/>
      <c r="G187" s="354"/>
      <c r="H187" s="345"/>
    </row>
    <row r="188" spans="1:8" ht="12.75" customHeight="1" x14ac:dyDescent="0.4">
      <c r="A188" s="346"/>
      <c r="B188" s="346"/>
      <c r="C188" s="346"/>
      <c r="D188" s="354"/>
      <c r="E188" s="354"/>
      <c r="F188" s="354"/>
      <c r="G188" s="354"/>
      <c r="H188" s="345"/>
    </row>
    <row r="189" spans="1:8" ht="12.75" customHeight="1" x14ac:dyDescent="0.4">
      <c r="A189" s="346"/>
      <c r="B189" s="346"/>
      <c r="C189" s="346"/>
      <c r="D189" s="354"/>
      <c r="E189" s="354"/>
      <c r="F189" s="354"/>
      <c r="G189" s="354"/>
      <c r="H189" s="345"/>
    </row>
    <row r="190" spans="1:8" ht="12.75" customHeight="1" x14ac:dyDescent="0.4">
      <c r="A190" s="346"/>
      <c r="B190" s="346"/>
      <c r="C190" s="346"/>
      <c r="D190" s="354"/>
      <c r="E190" s="354"/>
      <c r="F190" s="354"/>
      <c r="G190" s="354"/>
      <c r="H190" s="345"/>
    </row>
    <row r="191" spans="1:8" ht="12.75" customHeight="1" x14ac:dyDescent="0.4">
      <c r="A191" s="346"/>
      <c r="B191" s="346"/>
      <c r="C191" s="346"/>
      <c r="D191" s="354"/>
      <c r="E191" s="354"/>
      <c r="F191" s="354"/>
      <c r="G191" s="354"/>
      <c r="H191" s="345"/>
    </row>
    <row r="192" spans="1:8" ht="12.75" customHeight="1" x14ac:dyDescent="0.4">
      <c r="A192" s="346"/>
      <c r="B192" s="346"/>
      <c r="C192" s="346"/>
      <c r="D192" s="354"/>
      <c r="E192" s="354"/>
      <c r="F192" s="354"/>
      <c r="G192" s="354"/>
      <c r="H192" s="345"/>
    </row>
    <row r="193" spans="1:8" ht="12.75" customHeight="1" x14ac:dyDescent="0.4">
      <c r="A193" s="346"/>
      <c r="B193" s="346"/>
      <c r="C193" s="346"/>
      <c r="D193" s="354"/>
      <c r="E193" s="354"/>
      <c r="F193" s="354"/>
      <c r="G193" s="354"/>
      <c r="H193" s="345"/>
    </row>
    <row r="194" spans="1:8" ht="12.75" customHeight="1" x14ac:dyDescent="0.4">
      <c r="A194" s="346"/>
      <c r="B194" s="346"/>
      <c r="C194" s="346"/>
      <c r="D194" s="354"/>
      <c r="E194" s="354"/>
      <c r="F194" s="354"/>
      <c r="G194" s="354"/>
      <c r="H194" s="345"/>
    </row>
    <row r="195" spans="1:8" ht="12.75" customHeight="1" x14ac:dyDescent="0.4">
      <c r="A195" s="346"/>
      <c r="B195" s="346"/>
      <c r="C195" s="346"/>
      <c r="D195" s="354"/>
      <c r="E195" s="354"/>
      <c r="F195" s="354"/>
      <c r="G195" s="354"/>
      <c r="H195" s="345"/>
    </row>
    <row r="196" spans="1:8" ht="12.75" customHeight="1" x14ac:dyDescent="0.4">
      <c r="A196" s="346"/>
      <c r="B196" s="346"/>
      <c r="C196" s="346"/>
      <c r="D196" s="354"/>
      <c r="E196" s="354"/>
      <c r="F196" s="354"/>
      <c r="G196" s="354"/>
      <c r="H196" s="345"/>
    </row>
    <row r="197" spans="1:8" ht="12.75" customHeight="1" x14ac:dyDescent="0.4">
      <c r="A197" s="346"/>
      <c r="B197" s="346"/>
      <c r="C197" s="346"/>
      <c r="D197" s="354"/>
      <c r="E197" s="354"/>
      <c r="F197" s="354"/>
      <c r="G197" s="354"/>
      <c r="H197" s="345"/>
    </row>
    <row r="198" spans="1:8" ht="12.75" customHeight="1" x14ac:dyDescent="0.4">
      <c r="A198" s="346"/>
      <c r="B198" s="346"/>
      <c r="C198" s="346"/>
      <c r="D198" s="354"/>
      <c r="E198" s="354"/>
      <c r="F198" s="354"/>
      <c r="G198" s="354"/>
      <c r="H198" s="345"/>
    </row>
    <row r="199" spans="1:8" ht="12.75" customHeight="1" x14ac:dyDescent="0.4">
      <c r="A199" s="346"/>
      <c r="B199" s="346"/>
      <c r="C199" s="346"/>
      <c r="D199" s="354"/>
      <c r="E199" s="354"/>
      <c r="F199" s="354"/>
      <c r="G199" s="354"/>
      <c r="H199" s="345"/>
    </row>
    <row r="200" spans="1:8" ht="12.75" customHeight="1" x14ac:dyDescent="0.4">
      <c r="A200" s="346"/>
      <c r="B200" s="346"/>
      <c r="C200" s="346"/>
      <c r="D200" s="354"/>
      <c r="E200" s="354"/>
      <c r="F200" s="354"/>
      <c r="G200" s="354"/>
      <c r="H200" s="345"/>
    </row>
    <row r="201" spans="1:8" ht="12.75" customHeight="1" x14ac:dyDescent="0.4">
      <c r="A201" s="344"/>
      <c r="B201" s="344" t="s">
        <v>70</v>
      </c>
      <c r="C201" s="344"/>
      <c r="D201" s="353"/>
      <c r="E201" s="353"/>
      <c r="F201" s="353"/>
      <c r="G201" s="353"/>
      <c r="H201" s="345"/>
    </row>
    <row r="202" spans="1:8" ht="12.75" customHeight="1" x14ac:dyDescent="0.4">
      <c r="A202" s="346"/>
      <c r="B202" s="346"/>
      <c r="C202" s="346"/>
      <c r="D202" s="354"/>
      <c r="E202" s="354"/>
      <c r="F202" s="354"/>
      <c r="G202" s="354"/>
      <c r="H202" s="345"/>
    </row>
    <row r="203" spans="1:8" ht="12.75" customHeight="1" x14ac:dyDescent="0.4">
      <c r="A203" s="346" t="s">
        <v>2174</v>
      </c>
      <c r="B203" s="346"/>
      <c r="C203" s="346" t="s">
        <v>2176</v>
      </c>
      <c r="D203" s="354" t="s">
        <v>2177</v>
      </c>
      <c r="E203" s="354"/>
      <c r="F203" s="354"/>
      <c r="G203" s="354"/>
      <c r="H203" s="345"/>
    </row>
    <row r="204" spans="1:8" ht="12.75" customHeight="1" x14ac:dyDescent="0.4">
      <c r="A204" s="346" t="s">
        <v>2175</v>
      </c>
      <c r="B204" s="346"/>
      <c r="C204" s="346" t="s">
        <v>2178</v>
      </c>
      <c r="D204" s="354"/>
      <c r="E204" s="354"/>
      <c r="F204" s="354"/>
      <c r="G204" s="354"/>
      <c r="H204" s="345"/>
    </row>
    <row r="205" spans="1:8" ht="12.75" customHeight="1" x14ac:dyDescent="0.4">
      <c r="A205" s="346"/>
      <c r="B205" s="346"/>
      <c r="C205" s="346"/>
      <c r="D205" s="354"/>
      <c r="E205" s="354"/>
      <c r="F205" s="354"/>
      <c r="G205" s="354"/>
      <c r="H205" s="345"/>
    </row>
    <row r="206" spans="1:8" ht="12.75" customHeight="1" x14ac:dyDescent="0.4">
      <c r="A206" s="346"/>
      <c r="B206" s="346"/>
      <c r="C206" s="346"/>
      <c r="D206" s="354"/>
      <c r="E206" s="354"/>
      <c r="F206" s="354"/>
      <c r="G206" s="354"/>
      <c r="H206" s="345"/>
    </row>
    <row r="207" spans="1:8" ht="12.75" customHeight="1" x14ac:dyDescent="0.4">
      <c r="A207" s="346"/>
      <c r="B207" s="346"/>
      <c r="C207" s="346"/>
      <c r="D207" s="354"/>
      <c r="E207" s="354"/>
      <c r="F207" s="354"/>
      <c r="G207" s="354"/>
      <c r="H207" s="345"/>
    </row>
    <row r="208" spans="1:8" ht="12.75" customHeight="1" x14ac:dyDescent="0.4">
      <c r="A208" s="346"/>
      <c r="B208" s="346"/>
      <c r="C208" s="346"/>
      <c r="D208" s="354"/>
      <c r="E208" s="354"/>
      <c r="F208" s="354"/>
      <c r="G208" s="354"/>
      <c r="H208" s="345"/>
    </row>
    <row r="209" spans="1:8" ht="12.75" customHeight="1" x14ac:dyDescent="0.4">
      <c r="A209" s="346"/>
      <c r="B209" s="346"/>
      <c r="C209" s="346"/>
      <c r="D209" s="354"/>
      <c r="E209" s="354"/>
      <c r="F209" s="354"/>
      <c r="G209" s="354"/>
      <c r="H209" s="345"/>
    </row>
    <row r="210" spans="1:8" ht="12.75" customHeight="1" x14ac:dyDescent="0.4">
      <c r="A210" s="346"/>
      <c r="B210" s="346"/>
      <c r="C210" s="346"/>
      <c r="D210" s="354"/>
      <c r="E210" s="354"/>
      <c r="F210" s="354"/>
      <c r="G210" s="354"/>
      <c r="H210" s="345"/>
    </row>
    <row r="211" spans="1:8" ht="12.75" customHeight="1" x14ac:dyDescent="0.4">
      <c r="A211" s="346"/>
      <c r="B211" s="346"/>
      <c r="C211" s="346"/>
      <c r="D211" s="354"/>
      <c r="E211" s="354"/>
      <c r="F211" s="354"/>
      <c r="G211" s="354"/>
      <c r="H211" s="345"/>
    </row>
    <row r="212" spans="1:8" ht="12.75" customHeight="1" x14ac:dyDescent="0.4">
      <c r="A212" s="346"/>
      <c r="B212" s="346"/>
      <c r="C212" s="346"/>
      <c r="D212" s="354"/>
      <c r="E212" s="354"/>
      <c r="F212" s="354"/>
      <c r="G212" s="354"/>
      <c r="H212" s="345"/>
    </row>
    <row r="213" spans="1:8" ht="12.75" customHeight="1" x14ac:dyDescent="0.4">
      <c r="A213" s="346"/>
      <c r="B213" s="346"/>
      <c r="C213" s="346"/>
      <c r="D213" s="354"/>
      <c r="E213" s="354"/>
      <c r="F213" s="354"/>
      <c r="G213" s="354"/>
      <c r="H213" s="345"/>
    </row>
    <row r="214" spans="1:8" ht="12.75" customHeight="1" x14ac:dyDescent="0.4">
      <c r="A214" s="346"/>
      <c r="B214" s="346"/>
      <c r="C214" s="346"/>
      <c r="D214" s="354"/>
      <c r="E214" s="354"/>
      <c r="F214" s="354"/>
      <c r="G214" s="354"/>
      <c r="H214" s="345"/>
    </row>
    <row r="215" spans="1:8" ht="12.75" customHeight="1" x14ac:dyDescent="0.4">
      <c r="A215" s="346"/>
      <c r="B215" s="346"/>
      <c r="C215" s="346"/>
      <c r="D215" s="354"/>
      <c r="E215" s="354"/>
      <c r="F215" s="354"/>
      <c r="G215" s="354"/>
      <c r="H215" s="345"/>
    </row>
    <row r="216" spans="1:8" ht="12.75" customHeight="1" x14ac:dyDescent="0.4">
      <c r="A216" s="346"/>
      <c r="B216" s="346"/>
      <c r="C216" s="346"/>
      <c r="D216" s="354"/>
      <c r="E216" s="354"/>
      <c r="F216" s="354"/>
      <c r="G216" s="354"/>
      <c r="H216" s="345"/>
    </row>
    <row r="217" spans="1:8" ht="12.75" customHeight="1" x14ac:dyDescent="0.4">
      <c r="A217" s="346"/>
      <c r="B217" s="346"/>
      <c r="C217" s="346"/>
      <c r="D217" s="354"/>
      <c r="E217" s="354"/>
      <c r="F217" s="354"/>
      <c r="G217" s="354"/>
      <c r="H217" s="345"/>
    </row>
    <row r="218" spans="1:8" ht="12.75" customHeight="1" x14ac:dyDescent="0.4">
      <c r="A218" s="346"/>
      <c r="B218" s="346"/>
      <c r="C218" s="346"/>
      <c r="D218" s="354"/>
      <c r="E218" s="354"/>
      <c r="F218" s="354"/>
      <c r="G218" s="354"/>
      <c r="H218" s="345"/>
    </row>
    <row r="219" spans="1:8" ht="12.75" customHeight="1" x14ac:dyDescent="0.4">
      <c r="A219" s="346"/>
      <c r="B219" s="346"/>
      <c r="C219" s="346"/>
      <c r="D219" s="354"/>
      <c r="E219" s="354"/>
      <c r="F219" s="354"/>
      <c r="G219" s="354"/>
      <c r="H219" s="345"/>
    </row>
    <row r="220" spans="1:8" ht="12.75" customHeight="1" x14ac:dyDescent="0.4">
      <c r="A220" s="346"/>
      <c r="B220" s="346"/>
      <c r="C220" s="346"/>
      <c r="D220" s="354"/>
      <c r="E220" s="354"/>
      <c r="F220" s="354"/>
      <c r="G220" s="354"/>
      <c r="H220" s="345"/>
    </row>
    <row r="221" spans="1:8" ht="12.75" customHeight="1" x14ac:dyDescent="0.4">
      <c r="A221" s="346"/>
      <c r="B221" s="346"/>
      <c r="C221" s="346"/>
      <c r="D221" s="354"/>
      <c r="E221" s="354"/>
      <c r="F221" s="354"/>
      <c r="G221" s="354"/>
      <c r="H221" s="345"/>
    </row>
    <row r="222" spans="1:8" ht="12.75" customHeight="1" x14ac:dyDescent="0.4">
      <c r="A222" s="346"/>
      <c r="B222" s="346"/>
      <c r="C222" s="346"/>
      <c r="D222" s="354"/>
      <c r="E222" s="354"/>
      <c r="F222" s="354"/>
      <c r="G222" s="354"/>
      <c r="H222" s="345"/>
    </row>
    <row r="223" spans="1:8" ht="12.75" customHeight="1" x14ac:dyDescent="0.4">
      <c r="A223" s="346"/>
      <c r="B223" s="346"/>
      <c r="C223" s="346"/>
      <c r="D223" s="354"/>
      <c r="E223" s="354"/>
      <c r="F223" s="354"/>
      <c r="G223" s="354"/>
      <c r="H223" s="345"/>
    </row>
    <row r="224" spans="1:8" ht="12.75" customHeight="1" x14ac:dyDescent="0.4">
      <c r="A224" s="346"/>
      <c r="B224" s="346"/>
      <c r="C224" s="346"/>
      <c r="D224" s="354"/>
      <c r="E224" s="354"/>
      <c r="F224" s="354"/>
      <c r="G224" s="354"/>
      <c r="H224" s="345"/>
    </row>
    <row r="225" spans="1:8" ht="12.75" customHeight="1" x14ac:dyDescent="0.4">
      <c r="A225" s="346"/>
      <c r="B225" s="346"/>
      <c r="C225" s="346"/>
      <c r="D225" s="354"/>
      <c r="E225" s="354"/>
      <c r="F225" s="354"/>
      <c r="G225" s="354"/>
      <c r="H225" s="345"/>
    </row>
    <row r="226" spans="1:8" ht="12.75" customHeight="1" x14ac:dyDescent="0.4">
      <c r="A226" s="346"/>
      <c r="B226" s="346"/>
      <c r="C226" s="346"/>
      <c r="D226" s="354"/>
      <c r="E226" s="354"/>
      <c r="F226" s="354"/>
      <c r="G226" s="354"/>
      <c r="H226" s="345"/>
    </row>
    <row r="227" spans="1:8" ht="12.75" customHeight="1" x14ac:dyDescent="0.4">
      <c r="A227" s="346"/>
      <c r="B227" s="346"/>
      <c r="C227" s="346"/>
      <c r="D227" s="354"/>
      <c r="E227" s="354"/>
      <c r="F227" s="354"/>
      <c r="G227" s="354"/>
      <c r="H227" s="345"/>
    </row>
    <row r="228" spans="1:8" ht="12.75" customHeight="1" x14ac:dyDescent="0.4">
      <c r="A228" s="346"/>
      <c r="B228" s="346"/>
      <c r="C228" s="346"/>
      <c r="D228" s="354"/>
      <c r="E228" s="354"/>
      <c r="F228" s="354"/>
      <c r="G228" s="354"/>
      <c r="H228" s="345"/>
    </row>
    <row r="229" spans="1:8" ht="12.75" customHeight="1" x14ac:dyDescent="0.4">
      <c r="A229" s="346"/>
      <c r="B229" s="346"/>
      <c r="C229" s="346"/>
      <c r="D229" s="354"/>
      <c r="E229" s="354"/>
      <c r="F229" s="354"/>
      <c r="G229" s="354"/>
      <c r="H229" s="345"/>
    </row>
    <row r="230" spans="1:8" ht="12.75" customHeight="1" x14ac:dyDescent="0.4">
      <c r="A230" s="346"/>
      <c r="B230" s="346"/>
      <c r="C230" s="346"/>
      <c r="D230" s="354"/>
      <c r="E230" s="354"/>
      <c r="F230" s="354"/>
      <c r="G230" s="354"/>
      <c r="H230" s="345"/>
    </row>
    <row r="231" spans="1:8" ht="12.75" customHeight="1" x14ac:dyDescent="0.4">
      <c r="A231" s="344"/>
      <c r="B231" s="344" t="s">
        <v>73</v>
      </c>
      <c r="C231" s="344"/>
      <c r="D231" s="353"/>
      <c r="E231" s="353"/>
      <c r="F231" s="353"/>
      <c r="G231" s="353"/>
      <c r="H231" s="345"/>
    </row>
    <row r="232" spans="1:8" ht="12.75" customHeight="1" x14ac:dyDescent="0.4">
      <c r="A232" s="346"/>
      <c r="B232" s="346"/>
      <c r="C232" s="346"/>
      <c r="D232" s="354"/>
      <c r="E232" s="354"/>
      <c r="F232" s="354"/>
      <c r="G232" s="354"/>
      <c r="H232" s="345"/>
    </row>
    <row r="233" spans="1:8" ht="12.75" customHeight="1" x14ac:dyDescent="0.4">
      <c r="A233" s="346" t="s">
        <v>2179</v>
      </c>
      <c r="B233" s="346"/>
      <c r="C233" s="346" t="s">
        <v>2183</v>
      </c>
      <c r="D233" s="354" t="s">
        <v>2165</v>
      </c>
      <c r="E233" s="354"/>
      <c r="F233" s="354"/>
      <c r="G233" s="354"/>
      <c r="H233" s="345" t="s">
        <v>11</v>
      </c>
    </row>
    <row r="234" spans="1:8" ht="12.75" customHeight="1" x14ac:dyDescent="0.4">
      <c r="A234" s="346" t="s">
        <v>2180</v>
      </c>
      <c r="B234" s="346"/>
      <c r="C234" s="346" t="s">
        <v>2184</v>
      </c>
      <c r="D234" s="354" t="s">
        <v>2185</v>
      </c>
      <c r="E234" s="354"/>
      <c r="F234" s="354"/>
      <c r="G234" s="354"/>
      <c r="H234" s="345"/>
    </row>
    <row r="235" spans="1:8" ht="12.75" customHeight="1" x14ac:dyDescent="0.4">
      <c r="A235" s="346" t="s">
        <v>2181</v>
      </c>
      <c r="B235" s="346"/>
      <c r="C235" s="346" t="s">
        <v>2186</v>
      </c>
      <c r="D235" s="354"/>
      <c r="E235" s="354"/>
      <c r="F235" s="354"/>
      <c r="G235" s="354"/>
      <c r="H235" s="345"/>
    </row>
    <row r="236" spans="1:8" ht="12.75" customHeight="1" x14ac:dyDescent="0.4">
      <c r="A236" s="346" t="s">
        <v>2182</v>
      </c>
      <c r="B236" s="346"/>
      <c r="C236" s="346" t="s">
        <v>2187</v>
      </c>
      <c r="D236" s="354" t="s">
        <v>942</v>
      </c>
      <c r="E236" s="354"/>
      <c r="F236" s="354"/>
      <c r="G236" s="354"/>
      <c r="H236" s="345"/>
    </row>
    <row r="237" spans="1:8" ht="12.75" customHeight="1" x14ac:dyDescent="0.4">
      <c r="A237" s="346"/>
      <c r="B237" s="346"/>
      <c r="C237" s="346"/>
      <c r="D237" s="354"/>
      <c r="E237" s="354"/>
      <c r="F237" s="354"/>
      <c r="G237" s="354"/>
      <c r="H237" s="345"/>
    </row>
    <row r="238" spans="1:8" ht="12.75" customHeight="1" x14ac:dyDescent="0.4">
      <c r="A238" s="346"/>
      <c r="B238" s="346"/>
      <c r="C238" s="346"/>
      <c r="D238" s="354"/>
      <c r="E238" s="354"/>
      <c r="F238" s="354"/>
      <c r="G238" s="354"/>
      <c r="H238" s="345"/>
    </row>
    <row r="239" spans="1:8" ht="12.75" customHeight="1" x14ac:dyDescent="0.4">
      <c r="A239" s="346"/>
      <c r="B239" s="346"/>
      <c r="C239" s="346"/>
      <c r="D239" s="354"/>
      <c r="E239" s="354"/>
      <c r="F239" s="354"/>
      <c r="G239" s="354"/>
      <c r="H239" s="345"/>
    </row>
    <row r="240" spans="1:8" ht="12.75" customHeight="1" x14ac:dyDescent="0.4">
      <c r="A240" s="346"/>
      <c r="B240" s="346"/>
      <c r="C240" s="346"/>
      <c r="D240" s="354"/>
      <c r="E240" s="354"/>
      <c r="F240" s="354"/>
      <c r="G240" s="354"/>
      <c r="H240" s="345"/>
    </row>
    <row r="241" spans="1:8" ht="12.75" customHeight="1" x14ac:dyDescent="0.4">
      <c r="A241" s="346"/>
      <c r="B241" s="346"/>
      <c r="C241" s="346"/>
      <c r="D241" s="354"/>
      <c r="E241" s="354"/>
      <c r="F241" s="354"/>
      <c r="G241" s="354"/>
      <c r="H241" s="345"/>
    </row>
    <row r="242" spans="1:8" ht="12.75" customHeight="1" x14ac:dyDescent="0.4">
      <c r="A242" s="346"/>
      <c r="B242" s="346"/>
      <c r="C242" s="346"/>
      <c r="D242" s="354"/>
      <c r="E242" s="354"/>
      <c r="F242" s="354"/>
      <c r="G242" s="354"/>
      <c r="H242" s="345"/>
    </row>
    <row r="243" spans="1:8" ht="12.75" customHeight="1" x14ac:dyDescent="0.4">
      <c r="A243" s="346"/>
      <c r="B243" s="346"/>
      <c r="C243" s="346"/>
      <c r="D243" s="354"/>
      <c r="E243" s="354"/>
      <c r="F243" s="354"/>
      <c r="G243" s="354"/>
      <c r="H243" s="345"/>
    </row>
    <row r="244" spans="1:8" ht="12.75" customHeight="1" x14ac:dyDescent="0.4">
      <c r="A244" s="346"/>
      <c r="B244" s="346"/>
      <c r="C244" s="346"/>
      <c r="D244" s="354"/>
      <c r="E244" s="354"/>
      <c r="F244" s="354"/>
      <c r="G244" s="354"/>
      <c r="H244" s="345"/>
    </row>
    <row r="245" spans="1:8" ht="12.75" customHeight="1" x14ac:dyDescent="0.4">
      <c r="A245" s="346"/>
      <c r="B245" s="346"/>
      <c r="C245" s="346"/>
      <c r="D245" s="354"/>
      <c r="E245" s="354"/>
      <c r="F245" s="354"/>
      <c r="G245" s="354"/>
      <c r="H245" s="345"/>
    </row>
    <row r="246" spans="1:8" ht="12.75" customHeight="1" x14ac:dyDescent="0.4">
      <c r="A246" s="346"/>
      <c r="B246" s="346"/>
      <c r="C246" s="346"/>
      <c r="D246" s="354"/>
      <c r="E246" s="354"/>
      <c r="F246" s="354"/>
      <c r="G246" s="354"/>
      <c r="H246" s="345"/>
    </row>
    <row r="247" spans="1:8" ht="12.75" customHeight="1" x14ac:dyDescent="0.4">
      <c r="A247" s="346"/>
      <c r="B247" s="346"/>
      <c r="C247" s="346"/>
      <c r="D247" s="354"/>
      <c r="E247" s="354"/>
      <c r="F247" s="354"/>
      <c r="G247" s="354"/>
      <c r="H247" s="345"/>
    </row>
    <row r="248" spans="1:8" ht="12.75" customHeight="1" x14ac:dyDescent="0.4">
      <c r="A248" s="346"/>
      <c r="B248" s="346"/>
      <c r="C248" s="346"/>
      <c r="D248" s="354"/>
      <c r="E248" s="354"/>
      <c r="F248" s="354"/>
      <c r="G248" s="354"/>
      <c r="H248" s="345"/>
    </row>
    <row r="249" spans="1:8" ht="12.75" customHeight="1" x14ac:dyDescent="0.4">
      <c r="A249" s="346"/>
      <c r="B249" s="346"/>
      <c r="C249" s="346"/>
      <c r="D249" s="354"/>
      <c r="E249" s="354"/>
      <c r="F249" s="354"/>
      <c r="G249" s="354"/>
      <c r="H249" s="345"/>
    </row>
    <row r="250" spans="1:8" ht="12.75" customHeight="1" x14ac:dyDescent="0.4">
      <c r="A250" s="346"/>
      <c r="B250" s="346"/>
      <c r="C250" s="346"/>
      <c r="D250" s="354"/>
      <c r="E250" s="354"/>
      <c r="F250" s="354"/>
      <c r="G250" s="354"/>
      <c r="H250" s="345"/>
    </row>
    <row r="251" spans="1:8" ht="12.75" customHeight="1" x14ac:dyDescent="0.4">
      <c r="A251" s="346"/>
      <c r="B251" s="346"/>
      <c r="C251" s="346"/>
      <c r="D251" s="354"/>
      <c r="E251" s="354"/>
      <c r="F251" s="354"/>
      <c r="G251" s="354"/>
      <c r="H251" s="345"/>
    </row>
    <row r="252" spans="1:8" ht="12.75" customHeight="1" x14ac:dyDescent="0.4">
      <c r="A252" s="346"/>
      <c r="B252" s="346"/>
      <c r="C252" s="346"/>
      <c r="D252" s="354"/>
      <c r="E252" s="354"/>
      <c r="F252" s="354"/>
      <c r="G252" s="354"/>
      <c r="H252" s="345"/>
    </row>
    <row r="253" spans="1:8" ht="12.75" customHeight="1" x14ac:dyDescent="0.4">
      <c r="A253" s="346"/>
      <c r="B253" s="346"/>
      <c r="C253" s="346"/>
      <c r="D253" s="354"/>
      <c r="E253" s="354"/>
      <c r="F253" s="354"/>
      <c r="G253" s="354"/>
      <c r="H253" s="345"/>
    </row>
    <row r="254" spans="1:8" ht="12.75" customHeight="1" x14ac:dyDescent="0.4">
      <c r="A254" s="346"/>
      <c r="B254" s="346"/>
      <c r="C254" s="346"/>
      <c r="D254" s="354"/>
      <c r="E254" s="354"/>
      <c r="F254" s="354"/>
      <c r="G254" s="354"/>
      <c r="H254" s="345"/>
    </row>
    <row r="255" spans="1:8" ht="12.75" customHeight="1" x14ac:dyDescent="0.4">
      <c r="A255" s="346"/>
      <c r="B255" s="346"/>
      <c r="C255" s="346"/>
      <c r="D255" s="354"/>
      <c r="E255" s="354"/>
      <c r="F255" s="354"/>
      <c r="G255" s="354"/>
      <c r="H255" s="345"/>
    </row>
    <row r="256" spans="1:8" ht="12.75" customHeight="1" x14ac:dyDescent="0.4">
      <c r="A256" s="346"/>
      <c r="B256" s="346"/>
      <c r="C256" s="346"/>
      <c r="D256" s="354"/>
      <c r="E256" s="354"/>
      <c r="F256" s="354"/>
      <c r="G256" s="354"/>
      <c r="H256" s="345"/>
    </row>
    <row r="257" spans="1:8" ht="12.75" customHeight="1" x14ac:dyDescent="0.4">
      <c r="A257" s="346"/>
      <c r="B257" s="346"/>
      <c r="C257" s="346"/>
      <c r="D257" s="354"/>
      <c r="E257" s="354"/>
      <c r="F257" s="354"/>
      <c r="G257" s="354"/>
      <c r="H257" s="345"/>
    </row>
    <row r="258" spans="1:8" ht="12.75" customHeight="1" x14ac:dyDescent="0.4">
      <c r="A258" s="346"/>
      <c r="B258" s="346"/>
      <c r="C258" s="346"/>
      <c r="D258" s="354"/>
      <c r="E258" s="354"/>
      <c r="F258" s="354"/>
      <c r="G258" s="354"/>
      <c r="H258" s="345"/>
    </row>
    <row r="259" spans="1:8" ht="12.75" customHeight="1" x14ac:dyDescent="0.4">
      <c r="A259" s="346"/>
      <c r="B259" s="346"/>
      <c r="C259" s="346"/>
      <c r="D259" s="354"/>
      <c r="E259" s="354"/>
      <c r="F259" s="354"/>
      <c r="G259" s="354"/>
      <c r="H259" s="345"/>
    </row>
    <row r="260" spans="1:8" ht="12.75" customHeight="1" x14ac:dyDescent="0.4">
      <c r="A260" s="346"/>
      <c r="B260" s="346"/>
      <c r="C260" s="346"/>
      <c r="D260" s="354"/>
      <c r="E260" s="354"/>
      <c r="F260" s="354"/>
      <c r="G260" s="354"/>
      <c r="H260" s="345"/>
    </row>
    <row r="261" spans="1:8" ht="12.75" customHeight="1" x14ac:dyDescent="0.4">
      <c r="A261" s="346"/>
      <c r="B261" s="346"/>
      <c r="C261" s="346"/>
      <c r="D261" s="354"/>
      <c r="E261" s="354"/>
      <c r="F261" s="354"/>
      <c r="G261" s="354"/>
      <c r="H261" s="345"/>
    </row>
    <row r="262" spans="1:8" ht="12.75" customHeight="1" x14ac:dyDescent="0.4">
      <c r="A262" s="346"/>
      <c r="B262" s="346"/>
      <c r="C262" s="346"/>
      <c r="D262" s="354"/>
      <c r="E262" s="354"/>
      <c r="F262" s="354"/>
      <c r="G262" s="354"/>
      <c r="H262" s="345"/>
    </row>
    <row r="263" spans="1:8" ht="12.75" customHeight="1" x14ac:dyDescent="0.4">
      <c r="A263" s="346"/>
      <c r="B263" s="346"/>
      <c r="C263" s="346"/>
      <c r="D263" s="354"/>
      <c r="E263" s="354"/>
      <c r="F263" s="354"/>
      <c r="G263" s="354"/>
      <c r="H263" s="345"/>
    </row>
    <row r="264" spans="1:8" ht="12.75" customHeight="1" x14ac:dyDescent="0.4">
      <c r="A264" s="346"/>
      <c r="B264" s="346"/>
      <c r="C264" s="346"/>
      <c r="D264" s="354"/>
      <c r="E264" s="354"/>
      <c r="F264" s="354"/>
      <c r="G264" s="354"/>
      <c r="H264" s="345"/>
    </row>
    <row r="265" spans="1:8" ht="12.75" customHeight="1" x14ac:dyDescent="0.4">
      <c r="A265" s="346"/>
      <c r="B265" s="346"/>
      <c r="C265" s="346"/>
      <c r="D265" s="354"/>
      <c r="E265" s="354"/>
      <c r="F265" s="354"/>
      <c r="G265" s="354"/>
      <c r="H265" s="345"/>
    </row>
    <row r="266" spans="1:8" ht="12.75" customHeight="1" x14ac:dyDescent="0.4">
      <c r="A266" s="346"/>
      <c r="B266" s="346"/>
      <c r="C266" s="346"/>
      <c r="D266" s="354"/>
      <c r="E266" s="354"/>
      <c r="F266" s="354"/>
      <c r="G266" s="354"/>
      <c r="H266" s="345"/>
    </row>
    <row r="267" spans="1:8" ht="12.75" customHeight="1" x14ac:dyDescent="0.4">
      <c r="A267" s="346"/>
      <c r="B267" s="346"/>
      <c r="C267" s="346"/>
      <c r="D267" s="354"/>
      <c r="E267" s="354"/>
      <c r="F267" s="354"/>
      <c r="G267" s="354"/>
      <c r="H267" s="345"/>
    </row>
    <row r="268" spans="1:8" ht="12.75" customHeight="1" x14ac:dyDescent="0.4">
      <c r="A268" s="346"/>
      <c r="B268" s="346"/>
      <c r="C268" s="346"/>
      <c r="D268" s="354"/>
      <c r="E268" s="354"/>
      <c r="F268" s="354"/>
      <c r="G268" s="354"/>
      <c r="H268" s="345"/>
    </row>
    <row r="269" spans="1:8" ht="12.75" customHeight="1" x14ac:dyDescent="0.4">
      <c r="A269" s="346"/>
      <c r="B269" s="346"/>
      <c r="C269" s="346"/>
      <c r="D269" s="354"/>
      <c r="E269" s="354"/>
      <c r="F269" s="354"/>
      <c r="G269" s="354"/>
      <c r="H269" s="345"/>
    </row>
    <row r="270" spans="1:8" ht="12.75" customHeight="1" x14ac:dyDescent="0.4">
      <c r="A270" s="346"/>
      <c r="B270" s="346"/>
      <c r="C270" s="346"/>
      <c r="D270" s="354"/>
      <c r="E270" s="354"/>
      <c r="F270" s="354"/>
      <c r="G270" s="354"/>
      <c r="H270" s="345"/>
    </row>
    <row r="271" spans="1:8" ht="12.75" customHeight="1" x14ac:dyDescent="0.4">
      <c r="A271" s="346"/>
      <c r="B271" s="346"/>
      <c r="C271" s="346"/>
      <c r="D271" s="354"/>
      <c r="E271" s="354"/>
      <c r="F271" s="354"/>
      <c r="G271" s="354"/>
      <c r="H271" s="345"/>
    </row>
    <row r="272" spans="1:8" ht="12.75" customHeight="1" x14ac:dyDescent="0.4">
      <c r="A272" s="346"/>
      <c r="B272" s="346"/>
      <c r="C272" s="346"/>
      <c r="D272" s="354"/>
      <c r="E272" s="354"/>
      <c r="F272" s="354"/>
      <c r="G272" s="354"/>
      <c r="H272" s="345"/>
    </row>
    <row r="273" spans="1:8" ht="12.75" customHeight="1" x14ac:dyDescent="0.4">
      <c r="A273" s="346"/>
      <c r="B273" s="346"/>
      <c r="C273" s="346"/>
      <c r="D273" s="354"/>
      <c r="E273" s="354"/>
      <c r="F273" s="354"/>
      <c r="G273" s="354"/>
      <c r="H273" s="345"/>
    </row>
    <row r="274" spans="1:8" ht="12.75" customHeight="1" x14ac:dyDescent="0.4">
      <c r="A274" s="346"/>
      <c r="B274" s="346"/>
      <c r="C274" s="346"/>
      <c r="D274" s="354"/>
      <c r="E274" s="354"/>
      <c r="F274" s="354"/>
      <c r="G274" s="354"/>
      <c r="H274" s="345"/>
    </row>
    <row r="275" spans="1:8" ht="12.75" customHeight="1" x14ac:dyDescent="0.4">
      <c r="A275" s="346"/>
      <c r="B275" s="346"/>
      <c r="C275" s="346"/>
      <c r="D275" s="354"/>
      <c r="E275" s="354"/>
      <c r="F275" s="354"/>
      <c r="G275" s="354"/>
      <c r="H275" s="345"/>
    </row>
    <row r="276" spans="1:8" ht="12.75" customHeight="1" x14ac:dyDescent="0.4">
      <c r="A276" s="346"/>
      <c r="B276" s="346"/>
      <c r="C276" s="346"/>
      <c r="D276" s="354"/>
      <c r="E276" s="354"/>
      <c r="F276" s="354"/>
      <c r="G276" s="354"/>
      <c r="H276" s="345"/>
    </row>
    <row r="277" spans="1:8" ht="12.75" customHeight="1" x14ac:dyDescent="0.4">
      <c r="A277" s="346"/>
      <c r="B277" s="346"/>
      <c r="C277" s="346"/>
      <c r="D277" s="354"/>
      <c r="E277" s="354"/>
      <c r="F277" s="354"/>
      <c r="G277" s="354"/>
      <c r="H277" s="345"/>
    </row>
    <row r="278" spans="1:8" ht="12.75" customHeight="1" x14ac:dyDescent="0.4">
      <c r="A278" s="346"/>
      <c r="B278" s="346"/>
      <c r="C278" s="346"/>
      <c r="D278" s="354"/>
      <c r="E278" s="354"/>
      <c r="F278" s="354"/>
      <c r="G278" s="354"/>
      <c r="H278" s="345"/>
    </row>
    <row r="279" spans="1:8" ht="12.75" customHeight="1" x14ac:dyDescent="0.4">
      <c r="A279" s="346"/>
      <c r="B279" s="346"/>
      <c r="C279" s="346"/>
      <c r="D279" s="354"/>
      <c r="E279" s="354"/>
      <c r="F279" s="354"/>
      <c r="G279" s="354"/>
      <c r="H279" s="345"/>
    </row>
    <row r="280" spans="1:8" ht="12.75" customHeight="1" x14ac:dyDescent="0.4">
      <c r="A280" s="346"/>
      <c r="B280" s="346"/>
      <c r="C280" s="346"/>
      <c r="D280" s="354"/>
      <c r="E280" s="354"/>
      <c r="F280" s="354"/>
      <c r="G280" s="354"/>
      <c r="H280" s="345"/>
    </row>
    <row r="281" spans="1:8" ht="12.75" customHeight="1" x14ac:dyDescent="0.4">
      <c r="A281" s="346"/>
      <c r="B281" s="346"/>
      <c r="C281" s="346"/>
      <c r="D281" s="354"/>
      <c r="E281" s="354"/>
      <c r="F281" s="354"/>
      <c r="G281" s="354"/>
      <c r="H281" s="345"/>
    </row>
    <row r="282" spans="1:8" ht="12.75" customHeight="1" x14ac:dyDescent="0.4">
      <c r="A282" s="346"/>
      <c r="B282" s="346"/>
      <c r="C282" s="346"/>
      <c r="D282" s="354"/>
      <c r="E282" s="354"/>
      <c r="F282" s="354"/>
      <c r="G282" s="354"/>
      <c r="H282" s="345"/>
    </row>
    <row r="283" spans="1:8" ht="12.75" customHeight="1" x14ac:dyDescent="0.4">
      <c r="A283" s="346"/>
      <c r="B283" s="346"/>
      <c r="C283" s="346"/>
      <c r="D283" s="354"/>
      <c r="E283" s="354"/>
      <c r="F283" s="354"/>
      <c r="G283" s="354"/>
      <c r="H283" s="345"/>
    </row>
    <row r="284" spans="1:8" ht="12.75" customHeight="1" x14ac:dyDescent="0.4">
      <c r="A284" s="346"/>
      <c r="B284" s="346"/>
      <c r="C284" s="346"/>
      <c r="D284" s="354"/>
      <c r="E284" s="354"/>
      <c r="F284" s="354"/>
      <c r="G284" s="354"/>
      <c r="H284" s="345"/>
    </row>
    <row r="285" spans="1:8" ht="12.75" customHeight="1" x14ac:dyDescent="0.4">
      <c r="A285" s="346"/>
      <c r="B285" s="346"/>
      <c r="C285" s="346"/>
      <c r="D285" s="354"/>
      <c r="E285" s="354"/>
      <c r="F285" s="354"/>
      <c r="G285" s="354"/>
      <c r="H285" s="345"/>
    </row>
    <row r="286" spans="1:8" ht="12.75" customHeight="1" x14ac:dyDescent="0.4">
      <c r="A286" s="346"/>
      <c r="B286" s="346"/>
      <c r="C286" s="346"/>
      <c r="D286" s="354"/>
      <c r="E286" s="354"/>
      <c r="F286" s="354"/>
      <c r="G286" s="354"/>
      <c r="H286" s="345"/>
    </row>
    <row r="287" spans="1:8" ht="12.75" customHeight="1" x14ac:dyDescent="0.4">
      <c r="A287" s="346"/>
      <c r="B287" s="346"/>
      <c r="C287" s="346"/>
      <c r="D287" s="354"/>
      <c r="E287" s="354"/>
      <c r="F287" s="354"/>
      <c r="G287" s="354"/>
      <c r="H287" s="345"/>
    </row>
    <row r="288" spans="1:8" ht="12.75" customHeight="1" x14ac:dyDescent="0.4">
      <c r="A288" s="346"/>
      <c r="B288" s="346"/>
      <c r="C288" s="346"/>
      <c r="D288" s="354"/>
      <c r="E288" s="354"/>
      <c r="F288" s="354"/>
      <c r="G288" s="354"/>
      <c r="H288" s="345"/>
    </row>
    <row r="289" spans="1:8" ht="12.75" customHeight="1" x14ac:dyDescent="0.4">
      <c r="A289" s="344"/>
      <c r="B289" s="344" t="s">
        <v>77</v>
      </c>
      <c r="C289" s="344"/>
      <c r="D289" s="353"/>
      <c r="E289" s="353"/>
      <c r="F289" s="353"/>
      <c r="G289" s="353"/>
      <c r="H289" s="345"/>
    </row>
    <row r="290" spans="1:8" ht="12.75" customHeight="1" x14ac:dyDescent="0.4">
      <c r="A290" s="346"/>
      <c r="B290" s="346"/>
      <c r="C290" s="346"/>
      <c r="D290" s="354"/>
      <c r="E290" s="354"/>
      <c r="F290" s="354"/>
      <c r="G290" s="354"/>
      <c r="H290" s="345"/>
    </row>
    <row r="291" spans="1:8" ht="12.75" customHeight="1" x14ac:dyDescent="0.4">
      <c r="A291" s="346" t="s">
        <v>2188</v>
      </c>
      <c r="B291" s="346"/>
      <c r="C291" s="346" t="s">
        <v>2193</v>
      </c>
      <c r="D291" s="354"/>
      <c r="E291" s="354"/>
      <c r="F291" s="354"/>
      <c r="G291" s="354"/>
      <c r="H291" s="345"/>
    </row>
    <row r="292" spans="1:8" ht="12.75" customHeight="1" x14ac:dyDescent="0.4">
      <c r="A292" s="346" t="s">
        <v>2189</v>
      </c>
      <c r="B292" s="346"/>
      <c r="C292" s="346" t="s">
        <v>2194</v>
      </c>
      <c r="D292" s="354"/>
      <c r="E292" s="354"/>
      <c r="F292" s="354"/>
      <c r="G292" s="354"/>
      <c r="H292" s="345"/>
    </row>
    <row r="293" spans="1:8" ht="12.75" customHeight="1" x14ac:dyDescent="0.4">
      <c r="A293" s="346" t="s">
        <v>2190</v>
      </c>
      <c r="B293" s="346"/>
      <c r="C293" s="346" t="s">
        <v>2195</v>
      </c>
      <c r="D293" s="354" t="s">
        <v>2196</v>
      </c>
      <c r="E293" s="354"/>
      <c r="F293" s="354"/>
      <c r="G293" s="354"/>
      <c r="H293" s="345"/>
    </row>
    <row r="294" spans="1:8" ht="12.75" customHeight="1" x14ac:dyDescent="0.4">
      <c r="A294" s="346" t="s">
        <v>2191</v>
      </c>
      <c r="B294" s="346"/>
      <c r="C294" s="346" t="s">
        <v>2197</v>
      </c>
      <c r="D294" s="354" t="s">
        <v>2198</v>
      </c>
      <c r="E294" s="354"/>
      <c r="F294" s="354"/>
      <c r="G294" s="354"/>
      <c r="H294" s="345"/>
    </row>
    <row r="295" spans="1:8" ht="12.75" customHeight="1" x14ac:dyDescent="0.4">
      <c r="A295" s="346" t="s">
        <v>2192</v>
      </c>
      <c r="B295" s="346"/>
      <c r="C295" s="346" t="s">
        <v>2199</v>
      </c>
      <c r="D295" s="354" t="s">
        <v>2185</v>
      </c>
      <c r="E295" s="354"/>
      <c r="F295" s="354"/>
      <c r="G295" s="354"/>
      <c r="H295" s="345"/>
    </row>
    <row r="296" spans="1:8" ht="12.75" customHeight="1" x14ac:dyDescent="0.4">
      <c r="A296" s="346"/>
      <c r="B296" s="346"/>
      <c r="C296" s="346"/>
      <c r="D296" s="354"/>
      <c r="E296" s="354"/>
      <c r="F296" s="354"/>
      <c r="G296" s="354"/>
      <c r="H296" s="345"/>
    </row>
    <row r="297" spans="1:8" ht="12.75" customHeight="1" x14ac:dyDescent="0.4">
      <c r="A297" s="346"/>
      <c r="B297" s="346"/>
      <c r="C297" s="346"/>
      <c r="D297" s="354"/>
      <c r="E297" s="354"/>
      <c r="F297" s="354"/>
      <c r="G297" s="354"/>
      <c r="H297" s="345"/>
    </row>
    <row r="298" spans="1:8" ht="12.75" customHeight="1" x14ac:dyDescent="0.4">
      <c r="A298" s="346"/>
      <c r="B298" s="346"/>
      <c r="C298" s="346"/>
      <c r="D298" s="354"/>
      <c r="E298" s="354"/>
      <c r="F298" s="354"/>
      <c r="G298" s="354"/>
      <c r="H298" s="345"/>
    </row>
    <row r="299" spans="1:8" ht="12.75" customHeight="1" x14ac:dyDescent="0.4">
      <c r="A299" s="346"/>
      <c r="B299" s="346"/>
      <c r="C299" s="346"/>
      <c r="D299" s="354"/>
      <c r="E299" s="354"/>
      <c r="F299" s="354"/>
      <c r="G299" s="354"/>
      <c r="H299" s="345"/>
    </row>
    <row r="300" spans="1:8" ht="12.75" customHeight="1" x14ac:dyDescent="0.4">
      <c r="A300" s="346"/>
      <c r="B300" s="346"/>
      <c r="C300" s="346"/>
      <c r="D300" s="354"/>
      <c r="E300" s="354"/>
      <c r="F300" s="354"/>
      <c r="G300" s="354"/>
      <c r="H300" s="345"/>
    </row>
    <row r="301" spans="1:8" ht="12.75" customHeight="1" x14ac:dyDescent="0.4">
      <c r="A301" s="346"/>
      <c r="B301" s="346"/>
      <c r="C301" s="346"/>
      <c r="D301" s="354"/>
      <c r="E301" s="354"/>
      <c r="F301" s="354"/>
      <c r="G301" s="354"/>
      <c r="H301" s="345"/>
    </row>
    <row r="302" spans="1:8" ht="12.75" customHeight="1" x14ac:dyDescent="0.4">
      <c r="A302" s="346"/>
      <c r="B302" s="346"/>
      <c r="C302" s="346"/>
      <c r="D302" s="354"/>
      <c r="E302" s="354"/>
      <c r="F302" s="354"/>
      <c r="G302" s="354"/>
      <c r="H302" s="345"/>
    </row>
    <row r="303" spans="1:8" ht="12.75" customHeight="1" x14ac:dyDescent="0.4">
      <c r="A303" s="346"/>
      <c r="B303" s="346"/>
      <c r="C303" s="346"/>
      <c r="D303" s="354"/>
      <c r="E303" s="354"/>
      <c r="F303" s="354"/>
      <c r="G303" s="354"/>
      <c r="H303" s="345"/>
    </row>
    <row r="304" spans="1:8" ht="12.75" customHeight="1" x14ac:dyDescent="0.4">
      <c r="A304" s="346"/>
      <c r="B304" s="346"/>
      <c r="C304" s="346"/>
      <c r="D304" s="354"/>
      <c r="E304" s="354"/>
      <c r="F304" s="354"/>
      <c r="G304" s="354"/>
      <c r="H304" s="345"/>
    </row>
    <row r="305" spans="1:8" ht="12.75" customHeight="1" x14ac:dyDescent="0.4">
      <c r="A305" s="346"/>
      <c r="B305" s="346"/>
      <c r="C305" s="346"/>
      <c r="D305" s="354"/>
      <c r="E305" s="354"/>
      <c r="F305" s="354"/>
      <c r="G305" s="354"/>
      <c r="H305" s="345"/>
    </row>
    <row r="306" spans="1:8" ht="12.75" customHeight="1" x14ac:dyDescent="0.4">
      <c r="A306" s="346"/>
      <c r="B306" s="346"/>
      <c r="C306" s="346"/>
      <c r="D306" s="354"/>
      <c r="E306" s="354"/>
      <c r="F306" s="354"/>
      <c r="G306" s="354"/>
      <c r="H306" s="345"/>
    </row>
    <row r="307" spans="1:8" ht="12.75" customHeight="1" x14ac:dyDescent="0.4">
      <c r="A307" s="346"/>
      <c r="B307" s="346"/>
      <c r="C307" s="346"/>
      <c r="D307" s="354"/>
      <c r="E307" s="354"/>
      <c r="F307" s="354"/>
      <c r="G307" s="354"/>
      <c r="H307" s="345"/>
    </row>
    <row r="308" spans="1:8" ht="12.75" customHeight="1" x14ac:dyDescent="0.4">
      <c r="A308" s="346"/>
      <c r="B308" s="346"/>
      <c r="C308" s="346"/>
      <c r="D308" s="354"/>
      <c r="E308" s="354"/>
      <c r="F308" s="354"/>
      <c r="G308" s="354"/>
      <c r="H308" s="345"/>
    </row>
    <row r="309" spans="1:8" ht="12.75" customHeight="1" x14ac:dyDescent="0.4">
      <c r="A309" s="346"/>
      <c r="B309" s="346"/>
      <c r="C309" s="346"/>
      <c r="D309" s="354"/>
      <c r="E309" s="354"/>
      <c r="F309" s="354"/>
      <c r="G309" s="354"/>
      <c r="H309" s="345"/>
    </row>
    <row r="310" spans="1:8" ht="12.75" customHeight="1" x14ac:dyDescent="0.4">
      <c r="A310" s="346"/>
      <c r="B310" s="346"/>
      <c r="C310" s="346"/>
      <c r="D310" s="354"/>
      <c r="E310" s="354"/>
      <c r="F310" s="354"/>
      <c r="G310" s="354"/>
      <c r="H310" s="345"/>
    </row>
    <row r="311" spans="1:8" ht="12.75" customHeight="1" x14ac:dyDescent="0.4">
      <c r="A311" s="346"/>
      <c r="B311" s="346"/>
      <c r="C311" s="346"/>
      <c r="D311" s="354"/>
      <c r="E311" s="354"/>
      <c r="F311" s="354"/>
      <c r="G311" s="354"/>
      <c r="H311" s="345"/>
    </row>
    <row r="312" spans="1:8" ht="12.75" customHeight="1" x14ac:dyDescent="0.4">
      <c r="A312" s="346"/>
      <c r="B312" s="346"/>
      <c r="C312" s="346"/>
      <c r="D312" s="354"/>
      <c r="E312" s="354"/>
      <c r="F312" s="354"/>
      <c r="G312" s="354"/>
      <c r="H312" s="345"/>
    </row>
    <row r="313" spans="1:8" ht="12.75" customHeight="1" x14ac:dyDescent="0.4">
      <c r="A313" s="346"/>
      <c r="B313" s="346"/>
      <c r="C313" s="346"/>
      <c r="D313" s="354"/>
      <c r="E313" s="354"/>
      <c r="F313" s="354"/>
      <c r="G313" s="354"/>
      <c r="H313" s="345"/>
    </row>
    <row r="314" spans="1:8" ht="12.75" customHeight="1" x14ac:dyDescent="0.4">
      <c r="A314" s="346"/>
      <c r="B314" s="346"/>
      <c r="C314" s="346"/>
      <c r="D314" s="354"/>
      <c r="E314" s="354"/>
      <c r="F314" s="354"/>
      <c r="G314" s="354"/>
      <c r="H314" s="345"/>
    </row>
    <row r="315" spans="1:8" ht="12.75" customHeight="1" x14ac:dyDescent="0.4">
      <c r="A315" s="346"/>
      <c r="B315" s="346"/>
      <c r="C315" s="346"/>
      <c r="D315" s="354"/>
      <c r="E315" s="354"/>
      <c r="F315" s="354"/>
      <c r="G315" s="354"/>
      <c r="H315" s="345"/>
    </row>
    <row r="316" spans="1:8" ht="12.75" customHeight="1" x14ac:dyDescent="0.4">
      <c r="A316" s="346"/>
      <c r="B316" s="346"/>
      <c r="C316" s="346"/>
      <c r="D316" s="354"/>
      <c r="E316" s="354"/>
      <c r="F316" s="354"/>
      <c r="G316" s="354"/>
      <c r="H316" s="345"/>
    </row>
    <row r="317" spans="1:8" ht="12.75" customHeight="1" x14ac:dyDescent="0.4">
      <c r="A317" s="346"/>
      <c r="B317" s="346"/>
      <c r="C317" s="346"/>
      <c r="D317" s="354"/>
      <c r="E317" s="354"/>
      <c r="F317" s="354"/>
      <c r="G317" s="354"/>
      <c r="H317" s="345"/>
    </row>
    <row r="318" spans="1:8" ht="12.75" customHeight="1" x14ac:dyDescent="0.4">
      <c r="A318" s="346"/>
      <c r="B318" s="346"/>
      <c r="C318" s="346"/>
      <c r="D318" s="354"/>
      <c r="E318" s="354"/>
      <c r="F318" s="354"/>
      <c r="G318" s="354"/>
      <c r="H318" s="345"/>
    </row>
    <row r="319" spans="1:8" ht="12.75" customHeight="1" x14ac:dyDescent="0.4">
      <c r="A319" s="346"/>
      <c r="B319" s="346"/>
      <c r="C319" s="346"/>
      <c r="D319" s="354"/>
      <c r="E319" s="354"/>
      <c r="F319" s="354"/>
      <c r="G319" s="354"/>
      <c r="H319" s="345"/>
    </row>
    <row r="320" spans="1:8" ht="12.75" customHeight="1" x14ac:dyDescent="0.4">
      <c r="A320" s="346"/>
      <c r="B320" s="346"/>
      <c r="C320" s="346"/>
      <c r="D320" s="354"/>
      <c r="E320" s="354"/>
      <c r="F320" s="354"/>
      <c r="G320" s="354"/>
      <c r="H320" s="345"/>
    </row>
    <row r="321" spans="1:8" ht="12.75" customHeight="1" x14ac:dyDescent="0.4">
      <c r="A321" s="346"/>
      <c r="B321" s="346"/>
      <c r="C321" s="346"/>
      <c r="D321" s="354"/>
      <c r="E321" s="354"/>
      <c r="F321" s="354"/>
      <c r="G321" s="354"/>
      <c r="H321" s="345"/>
    </row>
    <row r="322" spans="1:8" ht="12.75" customHeight="1" x14ac:dyDescent="0.4">
      <c r="A322" s="344"/>
      <c r="B322" s="344" t="s">
        <v>80</v>
      </c>
      <c r="C322" s="344"/>
      <c r="D322" s="353"/>
      <c r="E322" s="353"/>
      <c r="F322" s="353"/>
      <c r="G322" s="353"/>
      <c r="H322" s="345"/>
    </row>
    <row r="323" spans="1:8" ht="12.75" customHeight="1" x14ac:dyDescent="0.4">
      <c r="A323" s="346"/>
      <c r="B323" s="346"/>
      <c r="C323" s="346"/>
      <c r="D323" s="354"/>
      <c r="E323" s="354"/>
      <c r="F323" s="354"/>
      <c r="G323" s="354"/>
      <c r="H323" s="345"/>
    </row>
    <row r="324" spans="1:8" ht="12.75" customHeight="1" x14ac:dyDescent="0.4">
      <c r="A324" s="346"/>
      <c r="B324" s="346"/>
      <c r="C324" s="346"/>
      <c r="D324" s="354"/>
      <c r="E324" s="354"/>
      <c r="F324" s="354"/>
      <c r="G324" s="354"/>
      <c r="H324" s="345"/>
    </row>
    <row r="325" spans="1:8" ht="12.75" customHeight="1" x14ac:dyDescent="0.4">
      <c r="A325" s="346"/>
      <c r="B325" s="346"/>
      <c r="C325" s="346"/>
      <c r="D325" s="354"/>
      <c r="E325" s="354"/>
      <c r="F325" s="354"/>
      <c r="G325" s="354"/>
      <c r="H325" s="345"/>
    </row>
    <row r="326" spans="1:8" ht="12.75" customHeight="1" x14ac:dyDescent="0.4">
      <c r="A326" s="346"/>
      <c r="B326" s="346"/>
      <c r="C326" s="346"/>
      <c r="D326" s="354"/>
      <c r="E326" s="354"/>
      <c r="F326" s="354"/>
      <c r="G326" s="354"/>
      <c r="H326" s="345"/>
    </row>
    <row r="327" spans="1:8" ht="12.75" customHeight="1" x14ac:dyDescent="0.4">
      <c r="A327" s="346"/>
      <c r="B327" s="346"/>
      <c r="C327" s="346"/>
      <c r="D327" s="354"/>
      <c r="E327" s="354"/>
      <c r="F327" s="354"/>
      <c r="G327" s="354"/>
      <c r="H327" s="345"/>
    </row>
    <row r="328" spans="1:8" ht="12.75" customHeight="1" x14ac:dyDescent="0.4">
      <c r="A328" s="346"/>
      <c r="B328" s="346"/>
      <c r="C328" s="346"/>
      <c r="D328" s="354"/>
      <c r="E328" s="354"/>
      <c r="F328" s="354"/>
      <c r="G328" s="354"/>
      <c r="H328" s="345"/>
    </row>
    <row r="329" spans="1:8" ht="12.75" customHeight="1" x14ac:dyDescent="0.4">
      <c r="A329" s="346"/>
      <c r="B329" s="346"/>
      <c r="C329" s="346"/>
      <c r="D329" s="354"/>
      <c r="E329" s="354"/>
      <c r="F329" s="354"/>
      <c r="G329" s="354"/>
      <c r="H329" s="345"/>
    </row>
    <row r="330" spans="1:8" ht="12.75" customHeight="1" x14ac:dyDescent="0.4">
      <c r="A330" s="346"/>
      <c r="B330" s="346"/>
      <c r="C330" s="346"/>
      <c r="D330" s="354"/>
      <c r="E330" s="354"/>
      <c r="F330" s="354"/>
      <c r="G330" s="354"/>
      <c r="H330" s="345"/>
    </row>
    <row r="331" spans="1:8" ht="12.75" customHeight="1" x14ac:dyDescent="0.4">
      <c r="A331" s="346"/>
      <c r="B331" s="346"/>
      <c r="C331" s="346"/>
      <c r="D331" s="354"/>
      <c r="E331" s="354"/>
      <c r="F331" s="354"/>
      <c r="G331" s="354"/>
      <c r="H331" s="345"/>
    </row>
    <row r="332" spans="1:8" ht="12.75" customHeight="1" x14ac:dyDescent="0.4">
      <c r="A332" s="346"/>
      <c r="B332" s="346"/>
      <c r="C332" s="346"/>
      <c r="D332" s="354"/>
      <c r="E332" s="354"/>
      <c r="F332" s="354"/>
      <c r="G332" s="354"/>
      <c r="H332" s="345"/>
    </row>
    <row r="333" spans="1:8" ht="12.75" customHeight="1" x14ac:dyDescent="0.4">
      <c r="A333" s="346"/>
      <c r="B333" s="346"/>
      <c r="C333" s="346"/>
      <c r="D333" s="354"/>
      <c r="E333" s="354"/>
      <c r="F333" s="354"/>
      <c r="G333" s="354"/>
      <c r="H333" s="345"/>
    </row>
    <row r="334" spans="1:8" ht="12.75" customHeight="1" x14ac:dyDescent="0.4">
      <c r="A334" s="346"/>
      <c r="B334" s="346"/>
      <c r="C334" s="346"/>
      <c r="D334" s="354"/>
      <c r="E334" s="354"/>
      <c r="F334" s="354"/>
      <c r="G334" s="354"/>
      <c r="H334" s="345"/>
    </row>
    <row r="335" spans="1:8" ht="12.75" customHeight="1" x14ac:dyDescent="0.4">
      <c r="A335" s="346"/>
      <c r="B335" s="346"/>
      <c r="C335" s="346"/>
      <c r="D335" s="354"/>
      <c r="E335" s="354"/>
      <c r="F335" s="354"/>
      <c r="G335" s="354"/>
      <c r="H335" s="345"/>
    </row>
    <row r="336" spans="1:8" ht="12.75" customHeight="1" x14ac:dyDescent="0.4">
      <c r="A336" s="346"/>
      <c r="B336" s="346"/>
      <c r="C336" s="346"/>
      <c r="D336" s="354"/>
      <c r="E336" s="354"/>
      <c r="F336" s="354"/>
      <c r="G336" s="354"/>
      <c r="H336" s="345"/>
    </row>
    <row r="337" spans="1:8" ht="12.75" customHeight="1" x14ac:dyDescent="0.4">
      <c r="A337" s="346"/>
      <c r="B337" s="346"/>
      <c r="C337" s="346"/>
      <c r="D337" s="354"/>
      <c r="E337" s="354"/>
      <c r="F337" s="354"/>
      <c r="G337" s="354"/>
      <c r="H337" s="345"/>
    </row>
    <row r="338" spans="1:8" ht="12.75" customHeight="1" x14ac:dyDescent="0.4">
      <c r="A338" s="346"/>
      <c r="B338" s="346"/>
      <c r="C338" s="346"/>
      <c r="D338" s="354"/>
      <c r="E338" s="354"/>
      <c r="F338" s="354"/>
      <c r="G338" s="354"/>
      <c r="H338" s="345"/>
    </row>
    <row r="339" spans="1:8" ht="12.75" customHeight="1" x14ac:dyDescent="0.4">
      <c r="A339" s="346"/>
      <c r="B339" s="346"/>
      <c r="C339" s="346"/>
      <c r="D339" s="354"/>
      <c r="E339" s="354"/>
      <c r="F339" s="354"/>
      <c r="G339" s="354"/>
      <c r="H339" s="345"/>
    </row>
    <row r="340" spans="1:8" ht="12.75" customHeight="1" x14ac:dyDescent="0.4">
      <c r="A340" s="346"/>
      <c r="B340" s="346"/>
      <c r="C340" s="346"/>
      <c r="D340" s="354"/>
      <c r="E340" s="354"/>
      <c r="F340" s="354"/>
      <c r="G340" s="354"/>
      <c r="H340" s="345"/>
    </row>
    <row r="341" spans="1:8" ht="12.75" customHeight="1" x14ac:dyDescent="0.4">
      <c r="A341" s="346"/>
      <c r="B341" s="346"/>
      <c r="C341" s="346"/>
      <c r="D341" s="354"/>
      <c r="E341" s="354"/>
      <c r="F341" s="354"/>
      <c r="G341" s="354"/>
      <c r="H341" s="345"/>
    </row>
    <row r="342" spans="1:8" ht="12.75" customHeight="1" x14ac:dyDescent="0.4">
      <c r="A342" s="346"/>
      <c r="B342" s="346"/>
      <c r="C342" s="346"/>
      <c r="D342" s="354"/>
      <c r="E342" s="354"/>
      <c r="F342" s="354"/>
      <c r="G342" s="354"/>
      <c r="H342" s="345"/>
    </row>
    <row r="343" spans="1:8" ht="12.75" customHeight="1" x14ac:dyDescent="0.4">
      <c r="A343" s="346"/>
      <c r="B343" s="346"/>
      <c r="C343" s="346"/>
      <c r="D343" s="354"/>
      <c r="E343" s="354"/>
      <c r="F343" s="354"/>
      <c r="G343" s="354"/>
      <c r="H343" s="345"/>
    </row>
    <row r="344" spans="1:8" ht="12.75" customHeight="1" x14ac:dyDescent="0.4">
      <c r="A344" s="346"/>
      <c r="B344" s="346"/>
      <c r="C344" s="346"/>
      <c r="D344" s="354"/>
      <c r="E344" s="354"/>
      <c r="F344" s="354"/>
      <c r="G344" s="354"/>
      <c r="H344" s="345"/>
    </row>
    <row r="345" spans="1:8" ht="12.75" customHeight="1" x14ac:dyDescent="0.4">
      <c r="A345" s="346"/>
      <c r="B345" s="346"/>
      <c r="C345" s="346"/>
      <c r="D345" s="354"/>
      <c r="E345" s="354"/>
      <c r="F345" s="354"/>
      <c r="G345" s="354"/>
      <c r="H345" s="345"/>
    </row>
    <row r="346" spans="1:8" ht="12.75" customHeight="1" x14ac:dyDescent="0.4">
      <c r="A346" s="346"/>
      <c r="B346" s="346"/>
      <c r="C346" s="346"/>
      <c r="D346" s="354"/>
      <c r="E346" s="354"/>
      <c r="F346" s="354"/>
      <c r="G346" s="354"/>
      <c r="H346" s="345"/>
    </row>
    <row r="347" spans="1:8" ht="12.75" customHeight="1" x14ac:dyDescent="0.4">
      <c r="A347" s="346"/>
      <c r="B347" s="346"/>
      <c r="C347" s="346"/>
      <c r="D347" s="354"/>
      <c r="E347" s="354"/>
      <c r="F347" s="354"/>
      <c r="G347" s="354"/>
      <c r="H347" s="345"/>
    </row>
    <row r="348" spans="1:8" ht="12.75" customHeight="1" x14ac:dyDescent="0.4">
      <c r="A348" s="346"/>
      <c r="B348" s="346"/>
      <c r="C348" s="346"/>
      <c r="D348" s="354"/>
      <c r="E348" s="354"/>
      <c r="F348" s="354"/>
      <c r="G348" s="354"/>
      <c r="H348" s="345"/>
    </row>
    <row r="349" spans="1:8" ht="12.75" customHeight="1" x14ac:dyDescent="0.4">
      <c r="A349" s="344"/>
      <c r="B349" s="344" t="s">
        <v>83</v>
      </c>
      <c r="C349" s="344"/>
      <c r="D349" s="353"/>
      <c r="E349" s="353"/>
      <c r="F349" s="353"/>
      <c r="G349" s="353"/>
      <c r="H349" s="345"/>
    </row>
    <row r="350" spans="1:8" ht="12.75" customHeight="1" x14ac:dyDescent="0.4">
      <c r="A350" s="346"/>
      <c r="B350" s="346"/>
      <c r="C350" s="346"/>
      <c r="D350" s="354"/>
      <c r="E350" s="354"/>
      <c r="F350" s="354"/>
      <c r="G350" s="354"/>
      <c r="H350" s="345"/>
    </row>
    <row r="351" spans="1:8" ht="12.75" customHeight="1" x14ac:dyDescent="0.4">
      <c r="A351" s="346"/>
      <c r="B351" s="346"/>
      <c r="C351" s="346"/>
      <c r="D351" s="354"/>
      <c r="E351" s="354"/>
      <c r="F351" s="354"/>
      <c r="G351" s="354"/>
      <c r="H351" s="345"/>
    </row>
    <row r="352" spans="1:8" ht="12.75" customHeight="1" x14ac:dyDescent="0.4">
      <c r="A352" s="346"/>
      <c r="B352" s="346"/>
      <c r="C352" s="346"/>
      <c r="D352" s="354"/>
      <c r="E352" s="354"/>
      <c r="F352" s="354"/>
      <c r="G352" s="354"/>
      <c r="H352" s="345"/>
    </row>
    <row r="353" spans="1:8" ht="12.75" customHeight="1" x14ac:dyDescent="0.4">
      <c r="A353" s="346"/>
      <c r="B353" s="346"/>
      <c r="C353" s="346"/>
      <c r="D353" s="354"/>
      <c r="E353" s="354"/>
      <c r="F353" s="354"/>
      <c r="G353" s="354"/>
      <c r="H353" s="345"/>
    </row>
    <row r="354" spans="1:8" ht="12.75" customHeight="1" x14ac:dyDescent="0.4">
      <c r="A354" s="346"/>
      <c r="B354" s="346"/>
      <c r="C354" s="346"/>
      <c r="D354" s="354"/>
      <c r="E354" s="354"/>
      <c r="F354" s="354"/>
      <c r="G354" s="354"/>
      <c r="H354" s="345"/>
    </row>
    <row r="355" spans="1:8" ht="12.75" customHeight="1" x14ac:dyDescent="0.4">
      <c r="A355" s="346"/>
      <c r="B355" s="346"/>
      <c r="C355" s="346"/>
      <c r="D355" s="354"/>
      <c r="E355" s="354"/>
      <c r="F355" s="354"/>
      <c r="G355" s="354"/>
      <c r="H355" s="345"/>
    </row>
    <row r="356" spans="1:8" ht="12.75" customHeight="1" x14ac:dyDescent="0.4">
      <c r="A356" s="346"/>
      <c r="B356" s="346"/>
      <c r="C356" s="346"/>
      <c r="D356" s="354"/>
      <c r="E356" s="354"/>
      <c r="F356" s="354"/>
      <c r="G356" s="354"/>
      <c r="H356" s="345"/>
    </row>
    <row r="357" spans="1:8" ht="12.75" customHeight="1" x14ac:dyDescent="0.4">
      <c r="A357" s="346"/>
      <c r="B357" s="346"/>
      <c r="C357" s="346"/>
      <c r="D357" s="354"/>
      <c r="E357" s="354"/>
      <c r="F357" s="354"/>
      <c r="G357" s="354"/>
      <c r="H357" s="345"/>
    </row>
    <row r="358" spans="1:8" ht="12.75" customHeight="1" x14ac:dyDescent="0.4">
      <c r="A358" s="346"/>
      <c r="B358" s="346"/>
      <c r="C358" s="346"/>
      <c r="D358" s="354"/>
      <c r="E358" s="354"/>
      <c r="F358" s="354"/>
      <c r="G358" s="354"/>
      <c r="H358" s="345"/>
    </row>
    <row r="359" spans="1:8" ht="12.75" customHeight="1" x14ac:dyDescent="0.4">
      <c r="A359" s="346"/>
      <c r="B359" s="346"/>
      <c r="C359" s="346"/>
      <c r="D359" s="354"/>
      <c r="E359" s="354"/>
      <c r="F359" s="354"/>
      <c r="G359" s="354"/>
      <c r="H359" s="345"/>
    </row>
    <row r="360" spans="1:8" ht="12.75" customHeight="1" x14ac:dyDescent="0.4">
      <c r="A360" s="346"/>
      <c r="B360" s="346"/>
      <c r="C360" s="346"/>
      <c r="D360" s="354"/>
      <c r="E360" s="354"/>
      <c r="F360" s="354"/>
      <c r="G360" s="354"/>
      <c r="H360" s="345"/>
    </row>
    <row r="361" spans="1:8" ht="12.75" customHeight="1" x14ac:dyDescent="0.4">
      <c r="A361" s="346"/>
      <c r="B361" s="346"/>
      <c r="C361" s="346"/>
      <c r="D361" s="354"/>
      <c r="E361" s="354"/>
      <c r="F361" s="354"/>
      <c r="G361" s="354"/>
      <c r="H361" s="345"/>
    </row>
    <row r="362" spans="1:8" ht="12.75" customHeight="1" x14ac:dyDescent="0.4">
      <c r="A362" s="346"/>
      <c r="B362" s="346"/>
      <c r="C362" s="346"/>
      <c r="D362" s="354"/>
      <c r="E362" s="354"/>
      <c r="F362" s="354"/>
      <c r="G362" s="354"/>
      <c r="H362" s="345"/>
    </row>
    <row r="363" spans="1:8" ht="12.75" customHeight="1" x14ac:dyDescent="0.4">
      <c r="A363" s="346"/>
      <c r="B363" s="346"/>
      <c r="C363" s="346"/>
      <c r="D363" s="354"/>
      <c r="E363" s="354"/>
      <c r="F363" s="354"/>
      <c r="G363" s="354"/>
      <c r="H363" s="345"/>
    </row>
    <row r="364" spans="1:8" ht="12.75" customHeight="1" x14ac:dyDescent="0.4">
      <c r="A364" s="346"/>
      <c r="B364" s="346"/>
      <c r="C364" s="346"/>
      <c r="D364" s="354"/>
      <c r="E364" s="354"/>
      <c r="F364" s="354"/>
      <c r="G364" s="354"/>
      <c r="H364" s="345"/>
    </row>
    <row r="365" spans="1:8" ht="12.75" customHeight="1" x14ac:dyDescent="0.4">
      <c r="A365" s="346"/>
      <c r="B365" s="346"/>
      <c r="C365" s="346"/>
      <c r="D365" s="354"/>
      <c r="E365" s="354"/>
      <c r="F365" s="354"/>
      <c r="G365" s="354"/>
      <c r="H365" s="345"/>
    </row>
    <row r="366" spans="1:8" ht="12.75" customHeight="1" x14ac:dyDescent="0.4">
      <c r="A366" s="346"/>
      <c r="B366" s="346"/>
      <c r="C366" s="346"/>
      <c r="D366" s="354"/>
      <c r="E366" s="354"/>
      <c r="F366" s="354"/>
      <c r="G366" s="354"/>
      <c r="H366" s="345"/>
    </row>
    <row r="367" spans="1:8" ht="12.75" customHeight="1" x14ac:dyDescent="0.4">
      <c r="A367" s="346"/>
      <c r="B367" s="346"/>
      <c r="C367" s="346"/>
      <c r="D367" s="354"/>
      <c r="E367" s="354"/>
      <c r="F367" s="354"/>
      <c r="G367" s="354"/>
      <c r="H367" s="345"/>
    </row>
    <row r="368" spans="1:8" ht="12.75" customHeight="1" x14ac:dyDescent="0.4">
      <c r="A368" s="346"/>
      <c r="B368" s="346"/>
      <c r="C368" s="346"/>
      <c r="D368" s="354"/>
      <c r="E368" s="354"/>
      <c r="F368" s="354"/>
      <c r="G368" s="354"/>
      <c r="H368" s="345"/>
    </row>
    <row r="369" spans="1:8" ht="12.75" customHeight="1" x14ac:dyDescent="0.4">
      <c r="A369" s="346"/>
      <c r="B369" s="346"/>
      <c r="C369" s="346"/>
      <c r="D369" s="354"/>
      <c r="E369" s="354"/>
      <c r="F369" s="354"/>
      <c r="G369" s="354"/>
      <c r="H369" s="345"/>
    </row>
    <row r="370" spans="1:8" ht="12.75" customHeight="1" x14ac:dyDescent="0.4">
      <c r="A370" s="346"/>
      <c r="B370" s="346"/>
      <c r="C370" s="346"/>
      <c r="D370" s="354"/>
      <c r="E370" s="354"/>
      <c r="F370" s="354"/>
      <c r="G370" s="354"/>
      <c r="H370" s="345"/>
    </row>
    <row r="371" spans="1:8" ht="12.75" customHeight="1" x14ac:dyDescent="0.4">
      <c r="A371" s="346"/>
      <c r="B371" s="346"/>
      <c r="C371" s="346"/>
      <c r="D371" s="354"/>
      <c r="E371" s="354"/>
      <c r="F371" s="354"/>
      <c r="G371" s="354"/>
      <c r="H371" s="345"/>
    </row>
    <row r="372" spans="1:8" ht="12.75" customHeight="1" x14ac:dyDescent="0.4">
      <c r="A372" s="346"/>
      <c r="B372" s="346"/>
      <c r="C372" s="346"/>
      <c r="D372" s="354"/>
      <c r="E372" s="354"/>
      <c r="F372" s="354"/>
      <c r="G372" s="354"/>
      <c r="H372" s="345"/>
    </row>
    <row r="373" spans="1:8" ht="12.75" customHeight="1" x14ac:dyDescent="0.4">
      <c r="A373" s="346"/>
      <c r="B373" s="346"/>
      <c r="C373" s="346"/>
      <c r="D373" s="354"/>
      <c r="E373" s="354"/>
      <c r="F373" s="354"/>
      <c r="G373" s="354"/>
      <c r="H373" s="345"/>
    </row>
    <row r="374" spans="1:8" ht="12.75" customHeight="1" x14ac:dyDescent="0.4">
      <c r="A374" s="346"/>
      <c r="B374" s="346"/>
      <c r="C374" s="346"/>
      <c r="D374" s="354"/>
      <c r="E374" s="354"/>
      <c r="F374" s="354"/>
      <c r="G374" s="354"/>
      <c r="H374" s="345"/>
    </row>
    <row r="375" spans="1:8" ht="12.75" customHeight="1" x14ac:dyDescent="0.4">
      <c r="A375" s="346"/>
      <c r="B375" s="346"/>
      <c r="C375" s="346"/>
      <c r="D375" s="354"/>
      <c r="E375" s="354"/>
      <c r="F375" s="354"/>
      <c r="G375" s="354"/>
      <c r="H375" s="345"/>
    </row>
    <row r="376" spans="1:8" ht="12.75" customHeight="1" x14ac:dyDescent="0.4">
      <c r="A376" s="346"/>
      <c r="B376" s="346"/>
      <c r="C376" s="346"/>
      <c r="D376" s="354"/>
      <c r="E376" s="354"/>
      <c r="F376" s="354"/>
      <c r="G376" s="354"/>
      <c r="H376" s="345"/>
    </row>
    <row r="377" spans="1:8" ht="12.75" customHeight="1" x14ac:dyDescent="0.4">
      <c r="A377" s="346"/>
      <c r="B377" s="346"/>
      <c r="C377" s="346"/>
      <c r="D377" s="354"/>
      <c r="E377" s="354"/>
      <c r="F377" s="354"/>
      <c r="G377" s="354"/>
      <c r="H377" s="345"/>
    </row>
    <row r="378" spans="1:8" ht="12.75" customHeight="1" x14ac:dyDescent="0.4">
      <c r="A378" s="346"/>
      <c r="B378" s="346"/>
      <c r="C378" s="346"/>
      <c r="D378" s="354"/>
      <c r="E378" s="354"/>
      <c r="F378" s="354"/>
      <c r="G378" s="354"/>
      <c r="H378" s="345"/>
    </row>
    <row r="379" spans="1:8" ht="12.75" customHeight="1" x14ac:dyDescent="0.4">
      <c r="A379" s="346"/>
      <c r="B379" s="346"/>
      <c r="C379" s="346"/>
      <c r="D379" s="354"/>
      <c r="E379" s="354"/>
      <c r="F379" s="354"/>
      <c r="G379" s="354"/>
      <c r="H379" s="345"/>
    </row>
    <row r="380" spans="1:8" ht="12.75" customHeight="1" x14ac:dyDescent="0.4">
      <c r="A380" s="346"/>
      <c r="B380" s="346"/>
      <c r="C380" s="346"/>
      <c r="D380" s="354"/>
      <c r="E380" s="354"/>
      <c r="F380" s="354"/>
      <c r="G380" s="354"/>
      <c r="H380" s="345"/>
    </row>
    <row r="381" spans="1:8" ht="12.75" customHeight="1" x14ac:dyDescent="0.4">
      <c r="A381" s="344"/>
      <c r="B381" s="344" t="s">
        <v>87</v>
      </c>
      <c r="C381" s="344"/>
      <c r="D381" s="353"/>
      <c r="E381" s="353"/>
      <c r="F381" s="353"/>
      <c r="G381" s="353"/>
      <c r="H381" s="345"/>
    </row>
    <row r="382" spans="1:8" ht="12.75" customHeight="1" x14ac:dyDescent="0.4">
      <c r="A382" s="346"/>
      <c r="B382" s="346"/>
      <c r="C382" s="346"/>
      <c r="D382" s="354"/>
      <c r="E382" s="354"/>
      <c r="F382" s="354"/>
      <c r="G382" s="354"/>
      <c r="H382" s="345"/>
    </row>
    <row r="383" spans="1:8" ht="12.75" customHeight="1" x14ac:dyDescent="0.4">
      <c r="A383" s="346"/>
      <c r="B383" s="346"/>
      <c r="C383" s="346"/>
      <c r="D383" s="354"/>
      <c r="E383" s="354"/>
      <c r="F383" s="354"/>
      <c r="G383" s="354"/>
      <c r="H383" s="345"/>
    </row>
    <row r="384" spans="1:8" ht="12.75" customHeight="1" x14ac:dyDescent="0.4">
      <c r="A384" s="346"/>
      <c r="B384" s="346"/>
      <c r="C384" s="346"/>
      <c r="D384" s="354"/>
      <c r="E384" s="354"/>
      <c r="F384" s="354"/>
      <c r="G384" s="354"/>
      <c r="H384" s="345"/>
    </row>
    <row r="385" spans="1:8" ht="12.75" customHeight="1" x14ac:dyDescent="0.4">
      <c r="A385" s="346"/>
      <c r="B385" s="346"/>
      <c r="C385" s="346"/>
      <c r="D385" s="354"/>
      <c r="E385" s="354"/>
      <c r="F385" s="354"/>
      <c r="G385" s="354"/>
      <c r="H385" s="345"/>
    </row>
    <row r="386" spans="1:8" ht="12.75" customHeight="1" x14ac:dyDescent="0.4">
      <c r="A386" s="346"/>
      <c r="B386" s="346"/>
      <c r="C386" s="346"/>
      <c r="D386" s="354"/>
      <c r="E386" s="354"/>
      <c r="F386" s="354"/>
      <c r="G386" s="354"/>
      <c r="H386" s="345"/>
    </row>
    <row r="387" spans="1:8" ht="12.75" customHeight="1" x14ac:dyDescent="0.4">
      <c r="A387" s="346"/>
      <c r="B387" s="346"/>
      <c r="C387" s="346"/>
      <c r="D387" s="354"/>
      <c r="E387" s="354"/>
      <c r="F387" s="354"/>
      <c r="G387" s="354"/>
      <c r="H387" s="345"/>
    </row>
    <row r="388" spans="1:8" ht="12.75" customHeight="1" x14ac:dyDescent="0.4">
      <c r="A388" s="346"/>
      <c r="B388" s="346"/>
      <c r="C388" s="346"/>
      <c r="D388" s="354"/>
      <c r="E388" s="354"/>
      <c r="F388" s="354"/>
      <c r="G388" s="354"/>
      <c r="H388" s="345"/>
    </row>
    <row r="389" spans="1:8" ht="12.75" customHeight="1" x14ac:dyDescent="0.4">
      <c r="A389" s="346"/>
      <c r="B389" s="346"/>
      <c r="C389" s="346"/>
      <c r="D389" s="354"/>
      <c r="E389" s="354"/>
      <c r="F389" s="354"/>
      <c r="G389" s="354"/>
      <c r="H389" s="345"/>
    </row>
    <row r="390" spans="1:8" ht="12.75" customHeight="1" x14ac:dyDescent="0.4">
      <c r="A390" s="346"/>
      <c r="B390" s="346"/>
      <c r="C390" s="346"/>
      <c r="D390" s="354"/>
      <c r="E390" s="354"/>
      <c r="F390" s="354"/>
      <c r="G390" s="354"/>
      <c r="H390" s="345"/>
    </row>
    <row r="391" spans="1:8" ht="12.75" customHeight="1" x14ac:dyDescent="0.4">
      <c r="A391" s="346"/>
      <c r="B391" s="346"/>
      <c r="C391" s="346"/>
      <c r="D391" s="354"/>
      <c r="E391" s="354"/>
      <c r="F391" s="354"/>
      <c r="G391" s="354"/>
      <c r="H391" s="345"/>
    </row>
    <row r="392" spans="1:8" ht="12.75" customHeight="1" x14ac:dyDescent="0.4">
      <c r="A392" s="346"/>
      <c r="B392" s="346"/>
      <c r="C392" s="346"/>
      <c r="D392" s="354"/>
      <c r="E392" s="354"/>
      <c r="F392" s="354"/>
      <c r="G392" s="354"/>
      <c r="H392" s="345"/>
    </row>
    <row r="393" spans="1:8" ht="12.75" customHeight="1" x14ac:dyDescent="0.4">
      <c r="A393" s="346"/>
      <c r="B393" s="346"/>
      <c r="C393" s="346"/>
      <c r="D393" s="354"/>
      <c r="E393" s="354"/>
      <c r="F393" s="354"/>
      <c r="G393" s="354"/>
      <c r="H393" s="345"/>
    </row>
    <row r="394" spans="1:8" ht="12.75" customHeight="1" x14ac:dyDescent="0.4">
      <c r="A394" s="346"/>
      <c r="B394" s="346"/>
      <c r="C394" s="346"/>
      <c r="D394" s="354"/>
      <c r="E394" s="354"/>
      <c r="F394" s="354"/>
      <c r="G394" s="354"/>
      <c r="H394" s="345"/>
    </row>
    <row r="395" spans="1:8" ht="12.75" customHeight="1" x14ac:dyDescent="0.4">
      <c r="A395" s="346"/>
      <c r="B395" s="346"/>
      <c r="C395" s="346"/>
      <c r="D395" s="354"/>
      <c r="E395" s="354"/>
      <c r="F395" s="354"/>
      <c r="G395" s="354"/>
      <c r="H395" s="345"/>
    </row>
    <row r="396" spans="1:8" ht="12.75" customHeight="1" x14ac:dyDescent="0.4">
      <c r="A396" s="346"/>
      <c r="B396" s="346"/>
      <c r="C396" s="346"/>
      <c r="D396" s="354"/>
      <c r="E396" s="354"/>
      <c r="F396" s="354"/>
      <c r="G396" s="354"/>
      <c r="H396" s="345"/>
    </row>
    <row r="397" spans="1:8" ht="12.75" customHeight="1" x14ac:dyDescent="0.4">
      <c r="A397" s="346"/>
      <c r="B397" s="346"/>
      <c r="C397" s="346"/>
      <c r="D397" s="354"/>
      <c r="E397" s="354"/>
      <c r="F397" s="354"/>
      <c r="G397" s="354"/>
      <c r="H397" s="345"/>
    </row>
    <row r="398" spans="1:8" ht="12.75" customHeight="1" x14ac:dyDescent="0.4">
      <c r="A398" s="346"/>
      <c r="B398" s="346"/>
      <c r="C398" s="346"/>
      <c r="D398" s="354"/>
      <c r="E398" s="354"/>
      <c r="F398" s="354"/>
      <c r="G398" s="354"/>
      <c r="H398" s="345"/>
    </row>
    <row r="399" spans="1:8" ht="12.75" customHeight="1" x14ac:dyDescent="0.4">
      <c r="A399" s="346"/>
      <c r="B399" s="346"/>
      <c r="C399" s="346"/>
      <c r="D399" s="354"/>
      <c r="E399" s="354"/>
      <c r="F399" s="354"/>
      <c r="G399" s="354"/>
      <c r="H399" s="345"/>
    </row>
    <row r="400" spans="1:8" ht="12.75" customHeight="1" x14ac:dyDescent="0.4">
      <c r="A400" s="346"/>
      <c r="B400" s="346"/>
      <c r="C400" s="346"/>
      <c r="D400" s="354"/>
      <c r="E400" s="354"/>
      <c r="F400" s="354"/>
      <c r="G400" s="354"/>
      <c r="H400" s="345"/>
    </row>
    <row r="401" spans="1:8" ht="12.75" customHeight="1" x14ac:dyDescent="0.4">
      <c r="A401" s="344"/>
      <c r="B401" s="344" t="s">
        <v>90</v>
      </c>
      <c r="C401" s="344"/>
      <c r="D401" s="353"/>
      <c r="E401" s="353"/>
      <c r="F401" s="353"/>
      <c r="G401" s="353"/>
      <c r="H401" s="345"/>
    </row>
    <row r="402" spans="1:8" ht="12.75" customHeight="1" x14ac:dyDescent="0.4">
      <c r="A402" s="346"/>
      <c r="B402" s="346"/>
      <c r="C402" s="346"/>
      <c r="D402" s="354"/>
      <c r="E402" s="354"/>
      <c r="F402" s="354"/>
      <c r="G402" s="354"/>
      <c r="H402" s="345"/>
    </row>
    <row r="403" spans="1:8" ht="12.75" customHeight="1" x14ac:dyDescent="0.4">
      <c r="A403" s="346"/>
      <c r="B403" s="346"/>
      <c r="C403" s="346"/>
      <c r="D403" s="354"/>
      <c r="E403" s="354"/>
      <c r="F403" s="354"/>
      <c r="G403" s="354"/>
      <c r="H403" s="345"/>
    </row>
    <row r="404" spans="1:8" ht="12.75" customHeight="1" x14ac:dyDescent="0.4">
      <c r="A404" s="346"/>
      <c r="B404" s="346"/>
      <c r="C404" s="346"/>
      <c r="D404" s="354"/>
      <c r="E404" s="354"/>
      <c r="F404" s="354"/>
      <c r="G404" s="354"/>
      <c r="H404" s="345"/>
    </row>
    <row r="405" spans="1:8" ht="12.75" customHeight="1" x14ac:dyDescent="0.4">
      <c r="A405" s="346"/>
      <c r="B405" s="346"/>
      <c r="C405" s="346"/>
      <c r="D405" s="354"/>
      <c r="E405" s="354"/>
      <c r="F405" s="354"/>
      <c r="G405" s="354"/>
      <c r="H405" s="345"/>
    </row>
    <row r="406" spans="1:8" ht="12.75" customHeight="1" x14ac:dyDescent="0.4">
      <c r="A406" s="346"/>
      <c r="B406" s="346"/>
      <c r="C406" s="346"/>
      <c r="D406" s="354"/>
      <c r="E406" s="354"/>
      <c r="F406" s="354"/>
      <c r="G406" s="354"/>
      <c r="H406" s="345"/>
    </row>
    <row r="407" spans="1:8" ht="12.75" customHeight="1" x14ac:dyDescent="0.4">
      <c r="A407" s="346"/>
      <c r="B407" s="346"/>
      <c r="C407" s="346"/>
      <c r="D407" s="354"/>
      <c r="E407" s="354"/>
      <c r="F407" s="354"/>
      <c r="G407" s="354"/>
      <c r="H407" s="345"/>
    </row>
    <row r="408" spans="1:8" ht="12.75" customHeight="1" x14ac:dyDescent="0.4">
      <c r="A408" s="346"/>
      <c r="B408" s="346"/>
      <c r="C408" s="346"/>
      <c r="D408" s="354"/>
      <c r="E408" s="354"/>
      <c r="F408" s="354"/>
      <c r="G408" s="354"/>
      <c r="H408" s="345"/>
    </row>
    <row r="409" spans="1:8" ht="12.75" customHeight="1" x14ac:dyDescent="0.4">
      <c r="A409" s="346"/>
      <c r="B409" s="346"/>
      <c r="C409" s="346"/>
      <c r="D409" s="354"/>
      <c r="E409" s="354"/>
      <c r="F409" s="354"/>
      <c r="G409" s="354"/>
      <c r="H409" s="345"/>
    </row>
    <row r="410" spans="1:8" ht="12.75" customHeight="1" x14ac:dyDescent="0.4">
      <c r="A410" s="346"/>
      <c r="B410" s="346"/>
      <c r="C410" s="346"/>
      <c r="D410" s="354"/>
      <c r="E410" s="354"/>
      <c r="F410" s="354"/>
      <c r="G410" s="354"/>
      <c r="H410" s="345"/>
    </row>
    <row r="411" spans="1:8" ht="12.75" customHeight="1" x14ac:dyDescent="0.4">
      <c r="A411" s="346"/>
      <c r="B411" s="346"/>
      <c r="C411" s="346"/>
      <c r="D411" s="354"/>
      <c r="E411" s="354"/>
      <c r="F411" s="354"/>
      <c r="G411" s="354"/>
      <c r="H411" s="345"/>
    </row>
    <row r="412" spans="1:8" ht="12.75" customHeight="1" x14ac:dyDescent="0.4">
      <c r="A412" s="346"/>
      <c r="B412" s="346"/>
      <c r="C412" s="346"/>
      <c r="D412" s="354"/>
      <c r="E412" s="354"/>
      <c r="F412" s="354"/>
      <c r="G412" s="354"/>
      <c r="H412" s="345"/>
    </row>
    <row r="413" spans="1:8" ht="12.75" customHeight="1" x14ac:dyDescent="0.4">
      <c r="A413" s="346"/>
      <c r="B413" s="346"/>
      <c r="C413" s="346"/>
      <c r="D413" s="354"/>
      <c r="E413" s="354"/>
      <c r="F413" s="354"/>
      <c r="G413" s="354"/>
      <c r="H413" s="345"/>
    </row>
    <row r="414" spans="1:8" ht="12.75" customHeight="1" x14ac:dyDescent="0.4">
      <c r="A414" s="346"/>
      <c r="B414" s="346"/>
      <c r="C414" s="346"/>
      <c r="D414" s="354"/>
      <c r="E414" s="354"/>
      <c r="F414" s="354"/>
      <c r="G414" s="354"/>
      <c r="H414" s="345"/>
    </row>
    <row r="415" spans="1:8" ht="12.75" customHeight="1" x14ac:dyDescent="0.4">
      <c r="A415" s="346"/>
      <c r="B415" s="346"/>
      <c r="C415" s="346"/>
      <c r="D415" s="354"/>
      <c r="E415" s="354"/>
      <c r="F415" s="354"/>
      <c r="G415" s="354"/>
      <c r="H415" s="345"/>
    </row>
    <row r="416" spans="1:8" ht="12.75" customHeight="1" x14ac:dyDescent="0.4">
      <c r="A416" s="346"/>
      <c r="B416" s="346"/>
      <c r="C416" s="346"/>
      <c r="D416" s="354"/>
      <c r="E416" s="354"/>
      <c r="F416" s="354"/>
      <c r="G416" s="354"/>
      <c r="H416" s="345"/>
    </row>
    <row r="417" spans="1:8" ht="12.75" customHeight="1" x14ac:dyDescent="0.4">
      <c r="A417" s="346"/>
      <c r="B417" s="346"/>
      <c r="C417" s="346"/>
      <c r="D417" s="354"/>
      <c r="E417" s="354"/>
      <c r="F417" s="354"/>
      <c r="G417" s="354"/>
      <c r="H417" s="345"/>
    </row>
    <row r="418" spans="1:8" ht="12.75" customHeight="1" x14ac:dyDescent="0.4">
      <c r="A418" s="346"/>
      <c r="B418" s="346"/>
      <c r="C418" s="346"/>
      <c r="D418" s="354"/>
      <c r="E418" s="354"/>
      <c r="F418" s="354"/>
      <c r="G418" s="354"/>
      <c r="H418" s="345"/>
    </row>
    <row r="419" spans="1:8" ht="12.75" customHeight="1" x14ac:dyDescent="0.4">
      <c r="A419" s="346"/>
      <c r="B419" s="346"/>
      <c r="C419" s="346"/>
      <c r="D419" s="354"/>
      <c r="E419" s="354"/>
      <c r="F419" s="354"/>
      <c r="G419" s="354"/>
      <c r="H419" s="345"/>
    </row>
    <row r="420" spans="1:8" ht="12.75" customHeight="1" x14ac:dyDescent="0.4">
      <c r="A420" s="346"/>
      <c r="B420" s="346"/>
      <c r="C420" s="346"/>
      <c r="D420" s="354"/>
      <c r="E420" s="354"/>
      <c r="F420" s="354"/>
      <c r="G420" s="354"/>
      <c r="H420" s="345"/>
    </row>
    <row r="421" spans="1:8" ht="12.75" customHeight="1" x14ac:dyDescent="0.4">
      <c r="A421" s="346"/>
      <c r="B421" s="346"/>
      <c r="C421" s="346"/>
      <c r="D421" s="354"/>
      <c r="E421" s="354"/>
      <c r="F421" s="354"/>
      <c r="G421" s="354"/>
      <c r="H421" s="345"/>
    </row>
    <row r="422" spans="1:8" ht="12.75" customHeight="1" x14ac:dyDescent="0.4">
      <c r="A422" s="346"/>
      <c r="B422" s="346"/>
      <c r="C422" s="346"/>
      <c r="D422" s="354"/>
      <c r="E422" s="354"/>
      <c r="F422" s="354"/>
      <c r="G422" s="354"/>
      <c r="H422" s="345"/>
    </row>
    <row r="423" spans="1:8" ht="12.75" customHeight="1" x14ac:dyDescent="0.4">
      <c r="A423" s="346"/>
      <c r="B423" s="346"/>
      <c r="C423" s="346"/>
      <c r="D423" s="354"/>
      <c r="E423" s="354"/>
      <c r="F423" s="354"/>
      <c r="G423" s="354"/>
      <c r="H423" s="345"/>
    </row>
    <row r="424" spans="1:8" ht="12.75" customHeight="1" x14ac:dyDescent="0.4">
      <c r="A424" s="346"/>
      <c r="B424" s="346"/>
      <c r="C424" s="346"/>
      <c r="D424" s="354"/>
      <c r="E424" s="354"/>
      <c r="F424" s="354"/>
      <c r="G424" s="354"/>
      <c r="H424" s="345"/>
    </row>
    <row r="425" spans="1:8" ht="12.75" customHeight="1" x14ac:dyDescent="0.4">
      <c r="A425" s="346"/>
      <c r="B425" s="346"/>
      <c r="C425" s="346"/>
      <c r="D425" s="354"/>
      <c r="E425" s="354"/>
      <c r="F425" s="354"/>
      <c r="G425" s="354"/>
      <c r="H425" s="345"/>
    </row>
    <row r="426" spans="1:8" ht="12.75" customHeight="1" x14ac:dyDescent="0.4">
      <c r="A426" s="346"/>
      <c r="B426" s="346"/>
      <c r="C426" s="346"/>
      <c r="D426" s="354"/>
      <c r="E426" s="354"/>
      <c r="F426" s="354"/>
      <c r="G426" s="354"/>
      <c r="H426" s="345"/>
    </row>
    <row r="427" spans="1:8" ht="12.75" customHeight="1" x14ac:dyDescent="0.4">
      <c r="A427" s="346"/>
      <c r="B427" s="346"/>
      <c r="C427" s="346"/>
      <c r="D427" s="354"/>
      <c r="E427" s="354"/>
      <c r="F427" s="354"/>
      <c r="G427" s="354"/>
      <c r="H427" s="345"/>
    </row>
    <row r="428" spans="1:8" ht="12.75" customHeight="1" x14ac:dyDescent="0.4">
      <c r="A428" s="346"/>
      <c r="B428" s="346"/>
      <c r="C428" s="346"/>
      <c r="D428" s="354"/>
      <c r="E428" s="354"/>
      <c r="F428" s="354"/>
      <c r="G428" s="354"/>
      <c r="H428" s="345"/>
    </row>
    <row r="429" spans="1:8" ht="12.75" customHeight="1" x14ac:dyDescent="0.4">
      <c r="A429" s="346"/>
      <c r="B429" s="346"/>
      <c r="C429" s="346"/>
      <c r="D429" s="354"/>
      <c r="E429" s="354"/>
      <c r="F429" s="354"/>
      <c r="G429" s="354"/>
      <c r="H429" s="345"/>
    </row>
    <row r="430" spans="1:8" ht="12.75" customHeight="1" x14ac:dyDescent="0.4">
      <c r="A430" s="346"/>
      <c r="B430" s="346"/>
      <c r="C430" s="346"/>
      <c r="D430" s="354"/>
      <c r="E430" s="354"/>
      <c r="F430" s="354"/>
      <c r="G430" s="354"/>
      <c r="H430" s="345"/>
    </row>
    <row r="431" spans="1:8" ht="12.75" customHeight="1" x14ac:dyDescent="0.4">
      <c r="A431" s="346"/>
      <c r="B431" s="346"/>
      <c r="C431" s="346"/>
      <c r="D431" s="354"/>
      <c r="E431" s="354"/>
      <c r="F431" s="354"/>
      <c r="G431" s="354"/>
      <c r="H431" s="345"/>
    </row>
    <row r="432" spans="1:8" ht="12.75" customHeight="1" x14ac:dyDescent="0.4">
      <c r="A432" s="346"/>
      <c r="B432" s="346"/>
      <c r="C432" s="346"/>
      <c r="D432" s="354"/>
      <c r="E432" s="354"/>
      <c r="F432" s="354"/>
      <c r="G432" s="354"/>
      <c r="H432" s="345"/>
    </row>
    <row r="433" spans="1:8" ht="12.75" customHeight="1" x14ac:dyDescent="0.4">
      <c r="A433" s="346"/>
      <c r="B433" s="346"/>
      <c r="C433" s="346"/>
      <c r="D433" s="354"/>
      <c r="E433" s="354"/>
      <c r="F433" s="354"/>
      <c r="G433" s="354"/>
      <c r="H433" s="345"/>
    </row>
    <row r="434" spans="1:8" ht="12.75" customHeight="1" x14ac:dyDescent="0.4">
      <c r="A434" s="346"/>
      <c r="B434" s="346"/>
      <c r="C434" s="346"/>
      <c r="D434" s="354"/>
      <c r="E434" s="354"/>
      <c r="F434" s="354"/>
      <c r="G434" s="354"/>
      <c r="H434" s="345"/>
    </row>
    <row r="435" spans="1:8" ht="12.75" customHeight="1" x14ac:dyDescent="0.4">
      <c r="A435" s="346"/>
      <c r="B435" s="346"/>
      <c r="C435" s="346"/>
      <c r="D435" s="354"/>
      <c r="E435" s="354"/>
      <c r="F435" s="354"/>
      <c r="G435" s="354"/>
      <c r="H435" s="345"/>
    </row>
    <row r="436" spans="1:8" ht="12.75" customHeight="1" x14ac:dyDescent="0.4">
      <c r="A436" s="346"/>
      <c r="B436" s="346"/>
      <c r="C436" s="346"/>
      <c r="D436" s="354"/>
      <c r="E436" s="354"/>
      <c r="F436" s="354"/>
      <c r="G436" s="354"/>
      <c r="H436" s="345"/>
    </row>
    <row r="437" spans="1:8" ht="12.75" customHeight="1" x14ac:dyDescent="0.4">
      <c r="A437" s="346"/>
      <c r="B437" s="346"/>
      <c r="C437" s="346"/>
      <c r="D437" s="354"/>
      <c r="E437" s="354"/>
      <c r="F437" s="354"/>
      <c r="G437" s="354"/>
      <c r="H437" s="345"/>
    </row>
    <row r="438" spans="1:8" ht="12.75" customHeight="1" x14ac:dyDescent="0.4">
      <c r="A438" s="346"/>
      <c r="B438" s="346"/>
      <c r="C438" s="346"/>
      <c r="D438" s="354"/>
      <c r="E438" s="354"/>
      <c r="F438" s="354"/>
      <c r="G438" s="354"/>
      <c r="H438" s="345"/>
    </row>
    <row r="439" spans="1:8" ht="12.75" customHeight="1" x14ac:dyDescent="0.4">
      <c r="A439" s="346"/>
      <c r="B439" s="346"/>
      <c r="C439" s="346"/>
      <c r="D439" s="354"/>
      <c r="E439" s="354"/>
      <c r="F439" s="354"/>
      <c r="G439" s="354"/>
      <c r="H439" s="345"/>
    </row>
    <row r="440" spans="1:8" ht="12.75" customHeight="1" x14ac:dyDescent="0.4">
      <c r="A440" s="346"/>
      <c r="B440" s="346"/>
      <c r="C440" s="346"/>
      <c r="D440" s="354"/>
      <c r="E440" s="354"/>
      <c r="F440" s="354"/>
      <c r="G440" s="354"/>
      <c r="H440" s="345"/>
    </row>
    <row r="441" spans="1:8" ht="12.75" customHeight="1" x14ac:dyDescent="0.4">
      <c r="A441" s="346"/>
      <c r="B441" s="346"/>
      <c r="C441" s="346"/>
      <c r="D441" s="354"/>
      <c r="E441" s="354"/>
      <c r="F441" s="354"/>
      <c r="G441" s="354"/>
      <c r="H441" s="345"/>
    </row>
    <row r="442" spans="1:8" ht="12.75" customHeight="1" x14ac:dyDescent="0.4">
      <c r="A442" s="346"/>
      <c r="B442" s="346"/>
      <c r="C442" s="346"/>
      <c r="D442" s="354"/>
      <c r="E442" s="354"/>
      <c r="F442" s="354"/>
      <c r="G442" s="354"/>
      <c r="H442" s="345"/>
    </row>
    <row r="443" spans="1:8" ht="12.75" customHeight="1" x14ac:dyDescent="0.4">
      <c r="A443" s="346"/>
      <c r="B443" s="346"/>
      <c r="C443" s="346"/>
      <c r="D443" s="354"/>
      <c r="E443" s="354"/>
      <c r="F443" s="354"/>
      <c r="G443" s="354"/>
      <c r="H443" s="345"/>
    </row>
    <row r="444" spans="1:8" ht="12.75" customHeight="1" x14ac:dyDescent="0.4">
      <c r="A444" s="346"/>
      <c r="B444" s="346"/>
      <c r="C444" s="346"/>
      <c r="D444" s="354"/>
      <c r="E444" s="354"/>
      <c r="F444" s="354"/>
      <c r="G444" s="354"/>
      <c r="H444" s="345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40</vt:i4>
      </vt:variant>
      <vt:variant>
        <vt:lpstr>名前付き一覧</vt:lpstr>
      </vt:variant>
      <vt:variant>
        <vt:i4>276</vt:i4>
      </vt:variant>
    </vt:vector>
  </HeadingPairs>
  <TitlesOfParts>
    <vt:vector size="316" baseType="lpstr">
      <vt:lpstr>工事カード</vt:lpstr>
      <vt:lpstr>入力フォーム</vt:lpstr>
      <vt:lpstr>見積書</vt:lpstr>
      <vt:lpstr>発注書</vt:lpstr>
      <vt:lpstr>工程表</vt:lpstr>
      <vt:lpstr>工事項目</vt:lpstr>
      <vt:lpstr>完了報告書</vt:lpstr>
      <vt:lpstr>業者請求テンプレート</vt:lpstr>
      <vt:lpstr>原価計算書</vt:lpstr>
      <vt:lpstr>仕様書CF裁断</vt:lpstr>
      <vt:lpstr>クロス計算</vt:lpstr>
      <vt:lpstr>床計算 </vt:lpstr>
      <vt:lpstr>単価表</vt:lpstr>
      <vt:lpstr>管理会社一覧</vt:lpstr>
      <vt:lpstr>協力業者</vt:lpstr>
      <vt:lpstr>業者単価</vt:lpstr>
      <vt:lpstr>マスター (2)</vt:lpstr>
      <vt:lpstr>株式会社ハウスメイトマネジメント_マスター</vt:lpstr>
      <vt:lpstr>株式会社第一住建_マスター</vt:lpstr>
      <vt:lpstr>株式会社LINE_マスター</vt:lpstr>
      <vt:lpstr>株式会社アプリーズ_マスター</vt:lpstr>
      <vt:lpstr>株式会社札幌ウィークリー_マスター</vt:lpstr>
      <vt:lpstr>株式会社ASSETIA_マスター</vt:lpstr>
      <vt:lpstr>株式会社サクシード_マスター</vt:lpstr>
      <vt:lpstr>株式会社アセットプランニング_マスター</vt:lpstr>
      <vt:lpstr>平野商会_マスター</vt:lpstr>
      <vt:lpstr>マスター</vt:lpstr>
      <vt:lpstr>株式会社鏑木石材建築_マスター</vt:lpstr>
      <vt:lpstr>株式会社二瓶不動産_マスター</vt:lpstr>
      <vt:lpstr>フラットホーム合同会社_マスター</vt:lpstr>
      <vt:lpstr>クロスコート合同会社_マスター</vt:lpstr>
      <vt:lpstr>株式会社リレイト_マスター</vt:lpstr>
      <vt:lpstr>合同会社REALHEAL_マスター</vt:lpstr>
      <vt:lpstr>合同会社Luca_マスター</vt:lpstr>
      <vt:lpstr>アークエステートグループ株式会社_マスター</vt:lpstr>
      <vt:lpstr>有限会社オフィススズキ_マスター</vt:lpstr>
      <vt:lpstr>地区マスター</vt:lpstr>
      <vt:lpstr>株式会社ヒルズ_マスター</vt:lpstr>
      <vt:lpstr>株式会社丸信ワタナベ_マスター</vt:lpstr>
      <vt:lpstr>株式会社NIPPO_COM_マスター</vt:lpstr>
      <vt:lpstr>ApamanProperty株式会社_北区</vt:lpstr>
      <vt:lpstr>NAKANO_単価</vt:lpstr>
      <vt:lpstr>完了報告書!Print_Area</vt:lpstr>
      <vt:lpstr>見積書!Print_Area</vt:lpstr>
      <vt:lpstr>原価計算書!Print_Area</vt:lpstr>
      <vt:lpstr>工程表!Print_Area</vt:lpstr>
      <vt:lpstr>仕様書CF裁断!Print_Area</vt:lpstr>
      <vt:lpstr>単価表!Print_Area</vt:lpstr>
      <vt:lpstr>発注書!Print_Area</vt:lpstr>
      <vt:lpstr>アークエステートグループ株式会社_厚別区</vt:lpstr>
      <vt:lpstr>アークエステートグループ株式会社_市街</vt:lpstr>
      <vt:lpstr>アークエステートグループ株式会社_手稲区</vt:lpstr>
      <vt:lpstr>アークエステートグループ株式会社_清田区</vt:lpstr>
      <vt:lpstr>アークエステートグループ株式会社_西区</vt:lpstr>
      <vt:lpstr>アークエステートグループ株式会社_中央区</vt:lpstr>
      <vt:lpstr>アークエステートグループ株式会社_東区</vt:lpstr>
      <vt:lpstr>アークエステートグループ株式会社_南区</vt:lpstr>
      <vt:lpstr>アークエステートグループ株式会社_白石区</vt:lpstr>
      <vt:lpstr>アークエステートグループ株式会社_豊平区</vt:lpstr>
      <vt:lpstr>アークエステートグループ株式会社_北区</vt:lpstr>
      <vt:lpstr>インテリアヒサスエ_単価</vt:lpstr>
      <vt:lpstr>ガラスフリーク_単価</vt:lpstr>
      <vt:lpstr>クロスコート合同会社_厚別区</vt:lpstr>
      <vt:lpstr>クロスコート合同会社_市街</vt:lpstr>
      <vt:lpstr>クロスコート合同会社_手稲区</vt:lpstr>
      <vt:lpstr>クロスコート合同会社_清田区</vt:lpstr>
      <vt:lpstr>クロスコート合同会社_西区</vt:lpstr>
      <vt:lpstr>クロスコート合同会社_中央区</vt:lpstr>
      <vt:lpstr>クロスコート合同会社_東区</vt:lpstr>
      <vt:lpstr>クロスコート合同会社_南区</vt:lpstr>
      <vt:lpstr>クロスコート合同会社_白石区</vt:lpstr>
      <vt:lpstr>クロスコート合同会社_豊平区</vt:lpstr>
      <vt:lpstr>クロスコート合同会社_北区</vt:lpstr>
      <vt:lpstr>シンコール_単価</vt:lpstr>
      <vt:lpstr>その他</vt:lpstr>
      <vt:lpstr>ドリームインテリア_単価</vt:lpstr>
      <vt:lpstr>フラットホーム合同会社_厚別区</vt:lpstr>
      <vt:lpstr>フラットホーム合同会社_市街</vt:lpstr>
      <vt:lpstr>フラットホーム合同会社_手稲区</vt:lpstr>
      <vt:lpstr>フラットホーム合同会社_清田区</vt:lpstr>
      <vt:lpstr>フラットホーム合同会社_西区</vt:lpstr>
      <vt:lpstr>フラットホーム合同会社_中央区</vt:lpstr>
      <vt:lpstr>フラットホーム合同会社_東区</vt:lpstr>
      <vt:lpstr>フラットホーム合同会社_南区</vt:lpstr>
      <vt:lpstr>フラットホーム合同会社_白石区</vt:lpstr>
      <vt:lpstr>フラットホーム合同会社_豊平区</vt:lpstr>
      <vt:lpstr>フラットホーム合同会社_北区</vt:lpstr>
      <vt:lpstr>衛生洗浄設備</vt:lpstr>
      <vt:lpstr>衛生洗浄設備_単価</vt:lpstr>
      <vt:lpstr>株式会社ASSETIA_厚別区</vt:lpstr>
      <vt:lpstr>株式会社ASSETIA_市街</vt:lpstr>
      <vt:lpstr>株式会社ASSETIA_手稲区</vt:lpstr>
      <vt:lpstr>株式会社ASSETIA_清田区</vt:lpstr>
      <vt:lpstr>株式会社ASSETIA_西区</vt:lpstr>
      <vt:lpstr>株式会社ASSETIA_中央区</vt:lpstr>
      <vt:lpstr>株式会社ASSETIA_東区</vt:lpstr>
      <vt:lpstr>株式会社ASSETIA_南区</vt:lpstr>
      <vt:lpstr>株式会社ASSETIA_白石区</vt:lpstr>
      <vt:lpstr>株式会社ASSETIA_豊平区</vt:lpstr>
      <vt:lpstr>株式会社ASSETIA_北区</vt:lpstr>
      <vt:lpstr>株式会社LINE_厚別区</vt:lpstr>
      <vt:lpstr>株式会社LINE_市街</vt:lpstr>
      <vt:lpstr>株式会社LINE_手稲区</vt:lpstr>
      <vt:lpstr>株式会社LINE_清田区</vt:lpstr>
      <vt:lpstr>株式会社LINE_西区</vt:lpstr>
      <vt:lpstr>株式会社LINE_中央区</vt:lpstr>
      <vt:lpstr>株式会社LINE_東区</vt:lpstr>
      <vt:lpstr>株式会社LINE_南区</vt:lpstr>
      <vt:lpstr>株式会社LINE_白石区</vt:lpstr>
      <vt:lpstr>株式会社LINE_豊平区</vt:lpstr>
      <vt:lpstr>株式会社LINE_北区</vt:lpstr>
      <vt:lpstr>株式会社NIPPO_COM_厚別区</vt:lpstr>
      <vt:lpstr>株式会社NIPPO_COM_市街</vt:lpstr>
      <vt:lpstr>株式会社NIPPO_COM_手稲区</vt:lpstr>
      <vt:lpstr>株式会社NIPPO_COM_清田区</vt:lpstr>
      <vt:lpstr>株式会社NIPPO_COM_西区</vt:lpstr>
      <vt:lpstr>株式会社NIPPO_COM_中央区</vt:lpstr>
      <vt:lpstr>株式会社NIPPO_COM_東区</vt:lpstr>
      <vt:lpstr>株式会社NIPPO_COM_南区</vt:lpstr>
      <vt:lpstr>株式会社NIPPO_COM_白石区</vt:lpstr>
      <vt:lpstr>株式会社NIPPO_COM_豊平区</vt:lpstr>
      <vt:lpstr>株式会社NIPPO_COM_北区</vt:lpstr>
      <vt:lpstr>株式会社アセットプランニング_厚別区</vt:lpstr>
      <vt:lpstr>株式会社アセットプランニング_市街</vt:lpstr>
      <vt:lpstr>株式会社アセットプランニング_手稲区</vt:lpstr>
      <vt:lpstr>株式会社アセットプランニング_清田区</vt:lpstr>
      <vt:lpstr>株式会社アセットプランニング_西区</vt:lpstr>
      <vt:lpstr>株式会社アセットプランニング_中央区</vt:lpstr>
      <vt:lpstr>株式会社アセットプランニング_東区</vt:lpstr>
      <vt:lpstr>株式会社アセットプランニング_南区</vt:lpstr>
      <vt:lpstr>株式会社アセットプランニング_白石区</vt:lpstr>
      <vt:lpstr>株式会社アセットプランニング_豊平区</vt:lpstr>
      <vt:lpstr>株式会社アセットプランニング_北区</vt:lpstr>
      <vt:lpstr>株式会社アプリーズ_厚別区</vt:lpstr>
      <vt:lpstr>株式会社アプリーズ_市街</vt:lpstr>
      <vt:lpstr>株式会社アプリーズ_手稲区</vt:lpstr>
      <vt:lpstr>株式会社アプリーズ_清田区</vt:lpstr>
      <vt:lpstr>株式会社アプリーズ_西区</vt:lpstr>
      <vt:lpstr>株式会社アプリーズ_中央区</vt:lpstr>
      <vt:lpstr>株式会社アプリーズ_東区</vt:lpstr>
      <vt:lpstr>株式会社アプリーズ_南区</vt:lpstr>
      <vt:lpstr>株式会社アプリーズ_白石区</vt:lpstr>
      <vt:lpstr>株式会社アプリーズ_豊平区</vt:lpstr>
      <vt:lpstr>株式会社アプリーズ_北区</vt:lpstr>
      <vt:lpstr>株式会社ガラスフリーク_単価</vt:lpstr>
      <vt:lpstr>株式会社サクシード_厚別区</vt:lpstr>
      <vt:lpstr>株式会社サクシード_手稲区</vt:lpstr>
      <vt:lpstr>株式会社サクシード_清田区</vt:lpstr>
      <vt:lpstr>株式会社サクシード_西区</vt:lpstr>
      <vt:lpstr>株式会社サクシード_中央区</vt:lpstr>
      <vt:lpstr>株式会社サクシード_東区</vt:lpstr>
      <vt:lpstr>株式会社サクシード_南区</vt:lpstr>
      <vt:lpstr>株式会社サクシード_白石区</vt:lpstr>
      <vt:lpstr>株式会社サクシード_豊平区</vt:lpstr>
      <vt:lpstr>株式会社サクシード_北区</vt:lpstr>
      <vt:lpstr>株式会社ハウスメイトマネジメント_厚別区</vt:lpstr>
      <vt:lpstr>株式会社ハウスメイトマネジメント_市街</vt:lpstr>
      <vt:lpstr>株式会社ハウスメイトマネジメント_手稲区</vt:lpstr>
      <vt:lpstr>株式会社ハウスメイトマネジメント_清田区</vt:lpstr>
      <vt:lpstr>株式会社ハウスメイトマネジメント_西区</vt:lpstr>
      <vt:lpstr>株式会社LINE_マスター!株式会社ハウスメイトマネジメント_地区</vt:lpstr>
      <vt:lpstr>株式会社第一住建_マスター!株式会社ハウスメイトマネジメント_地区</vt:lpstr>
      <vt:lpstr>株式会社ハウスメイトマネジメント_地区</vt:lpstr>
      <vt:lpstr>株式会社ハウスメイトマネジメント_中央区</vt:lpstr>
      <vt:lpstr>株式会社ハウスメイトマネジメント_東区</vt:lpstr>
      <vt:lpstr>株式会社ハウスメイトマネジメント_南区</vt:lpstr>
      <vt:lpstr>株式会社ハウスメイトマネジメント_白石区</vt:lpstr>
      <vt:lpstr>株式会社ハウスメイトマネジメント_豊平区</vt:lpstr>
      <vt:lpstr>株式会社ハウスメイトマネジメント_北区</vt:lpstr>
      <vt:lpstr>株式会社ヒルズ_厚別区</vt:lpstr>
      <vt:lpstr>株式会社ヒルズ_市街</vt:lpstr>
      <vt:lpstr>株式会社ヒルズ_手稲区</vt:lpstr>
      <vt:lpstr>株式会社ヒルズ_清田区</vt:lpstr>
      <vt:lpstr>株式会社ヒルズ_西区</vt:lpstr>
      <vt:lpstr>株式会社ヒルズ_中央区</vt:lpstr>
      <vt:lpstr>株式会社ヒルズ_東区</vt:lpstr>
      <vt:lpstr>株式会社ヒルズ_南区</vt:lpstr>
      <vt:lpstr>株式会社ヒルズ_白石区</vt:lpstr>
      <vt:lpstr>株式会社ヒルズ_豊平区</vt:lpstr>
      <vt:lpstr>株式会社ヒルズ_北区</vt:lpstr>
      <vt:lpstr>株式会社リレイト_厚別区</vt:lpstr>
      <vt:lpstr>株式会社リレイト_市街</vt:lpstr>
      <vt:lpstr>株式会社リレイト_手稲区</vt:lpstr>
      <vt:lpstr>株式会社リレイト_清田区</vt:lpstr>
      <vt:lpstr>株式会社リレイト_西区</vt:lpstr>
      <vt:lpstr>株式会社リレイト_中央区</vt:lpstr>
      <vt:lpstr>株式会社リレイト_東区</vt:lpstr>
      <vt:lpstr>株式会社リレイト_南区</vt:lpstr>
      <vt:lpstr>株式会社リレイト_白石区</vt:lpstr>
      <vt:lpstr>株式会社リレイト_豊平区</vt:lpstr>
      <vt:lpstr>株式会社リレイト_北区</vt:lpstr>
      <vt:lpstr>株式会社丸信ワタナベ_厚別区</vt:lpstr>
      <vt:lpstr>株式会社丸信ワタナベ_市街</vt:lpstr>
      <vt:lpstr>株式会社丸信ワタナベ_手稲区</vt:lpstr>
      <vt:lpstr>株式会社丸信ワタナベ_清田区</vt:lpstr>
      <vt:lpstr>株式会社丸信ワタナベ_西区</vt:lpstr>
      <vt:lpstr>株式会社丸信ワタナベ_中央区</vt:lpstr>
      <vt:lpstr>株式会社丸信ワタナベ_東区</vt:lpstr>
      <vt:lpstr>株式会社丸信ワタナベ_南区</vt:lpstr>
      <vt:lpstr>株式会社丸信ワタナベ_白石区</vt:lpstr>
      <vt:lpstr>株式会社丸信ワタナベ_豊平区</vt:lpstr>
      <vt:lpstr>株式会社丸信ワタナベ_北区</vt:lpstr>
      <vt:lpstr>株式会社札幌ウィークリー_厚別区</vt:lpstr>
      <vt:lpstr>株式会社札幌ウィークリー_市街</vt:lpstr>
      <vt:lpstr>株式会社札幌ウィークリー_手稲区</vt:lpstr>
      <vt:lpstr>株式会社札幌ウィークリー_清田区</vt:lpstr>
      <vt:lpstr>株式会社札幌ウィークリー_西区</vt:lpstr>
      <vt:lpstr>株式会社札幌ウィークリー_中央区</vt:lpstr>
      <vt:lpstr>株式会社札幌ウィークリー_東区</vt:lpstr>
      <vt:lpstr>株式会社札幌ウィークリー_南区</vt:lpstr>
      <vt:lpstr>株式会社札幌ウィークリー_白石区</vt:lpstr>
      <vt:lpstr>株式会社札幌ウィークリー_豊平区</vt:lpstr>
      <vt:lpstr>株式会社札幌ウィークリー_北区</vt:lpstr>
      <vt:lpstr>株式会社LINE_マスター!株式会社第一住建_厚別区</vt:lpstr>
      <vt:lpstr>株式会社第一住建_厚別区</vt:lpstr>
      <vt:lpstr>株式会社LINE_マスター!株式会社第一住建_市街</vt:lpstr>
      <vt:lpstr>株式会社第一住建_市街</vt:lpstr>
      <vt:lpstr>株式会社LINE_マスター!株式会社第一住建_手稲区</vt:lpstr>
      <vt:lpstr>株式会社第一住建_手稲区</vt:lpstr>
      <vt:lpstr>株式会社LINE_マスター!株式会社第一住建_清田区</vt:lpstr>
      <vt:lpstr>株式会社第一住建_清田区</vt:lpstr>
      <vt:lpstr>株式会社LINE_マスター!株式会社第一住建_西区</vt:lpstr>
      <vt:lpstr>株式会社第一住建_西区</vt:lpstr>
      <vt:lpstr>株式会社LINE_マスター!株式会社第一住建_地区</vt:lpstr>
      <vt:lpstr>株式会社第一住建_地区</vt:lpstr>
      <vt:lpstr>株式会社LINE_マスター!株式会社第一住建_中央区</vt:lpstr>
      <vt:lpstr>株式会社第一住建_中央区</vt:lpstr>
      <vt:lpstr>株式会社LINE_マスター!株式会社第一住建_東区</vt:lpstr>
      <vt:lpstr>株式会社第一住建_東区</vt:lpstr>
      <vt:lpstr>株式会社LINE_マスター!株式会社第一住建_南区</vt:lpstr>
      <vt:lpstr>株式会社第一住建_南区</vt:lpstr>
      <vt:lpstr>株式会社LINE_マスター!株式会社第一住建_白石区</vt:lpstr>
      <vt:lpstr>株式会社第一住建_白石区</vt:lpstr>
      <vt:lpstr>株式会社LINE_マスター!株式会社第一住建_豊平区</vt:lpstr>
      <vt:lpstr>株式会社第一住建_豊平区</vt:lpstr>
      <vt:lpstr>株式会社LINE_マスター!株式会社第一住建_北区</vt:lpstr>
      <vt:lpstr>株式会社第一住建_北区</vt:lpstr>
      <vt:lpstr>株式会社鏑木石材建築_厚別区</vt:lpstr>
      <vt:lpstr>株式会社鏑木石材建築_市街</vt:lpstr>
      <vt:lpstr>株式会社鏑木石材建築_手稲区</vt:lpstr>
      <vt:lpstr>株式会社鏑木石材建築_清田区</vt:lpstr>
      <vt:lpstr>株式会社鏑木石材建築_西区</vt:lpstr>
      <vt:lpstr>株式会社鏑木石材建築_中央区</vt:lpstr>
      <vt:lpstr>株式会社鏑木石材建築_東区</vt:lpstr>
      <vt:lpstr>株式会社鏑木石材建築_南区</vt:lpstr>
      <vt:lpstr>株式会社鏑木石材建築_白石区</vt:lpstr>
      <vt:lpstr>株式会社鏑木石材建築_豊平区</vt:lpstr>
      <vt:lpstr>株式会社鏑木石材建築_北区</vt:lpstr>
      <vt:lpstr>株式会社二瓶不動産_厚別区</vt:lpstr>
      <vt:lpstr>株式会社二瓶不動産_市街</vt:lpstr>
      <vt:lpstr>株式会社二瓶不動産_手稲区</vt:lpstr>
      <vt:lpstr>株式会社二瓶不動産_清田区</vt:lpstr>
      <vt:lpstr>株式会社二瓶不動産_西区</vt:lpstr>
      <vt:lpstr>株式会社二瓶不動産_中央区</vt:lpstr>
      <vt:lpstr>株式会社二瓶不動産_東区</vt:lpstr>
      <vt:lpstr>株式会社二瓶不動産_南区</vt:lpstr>
      <vt:lpstr>株式会社二瓶不動産_白石区</vt:lpstr>
      <vt:lpstr>株式会社二瓶不動産_豊平区</vt:lpstr>
      <vt:lpstr>株式会社二瓶不動産_北区</vt:lpstr>
      <vt:lpstr>管理会社一覧</vt:lpstr>
      <vt:lpstr>協力業者</vt:lpstr>
      <vt:lpstr>工藤畳商会_単価</vt:lpstr>
      <vt:lpstr>合同会社Luca_厚別区</vt:lpstr>
      <vt:lpstr>合同会社Luca_市街</vt:lpstr>
      <vt:lpstr>合同会社Luca_手稲区</vt:lpstr>
      <vt:lpstr>合同会社Luca_清田区</vt:lpstr>
      <vt:lpstr>合同会社Luca_西区</vt:lpstr>
      <vt:lpstr>合同会社Luca_中央区</vt:lpstr>
      <vt:lpstr>合同会社Luca_東区</vt:lpstr>
      <vt:lpstr>合同会社Luca_南区</vt:lpstr>
      <vt:lpstr>合同会社Luca_白石区</vt:lpstr>
      <vt:lpstr>合同会社Luca_豊平区</vt:lpstr>
      <vt:lpstr>合同会社Luca_北区</vt:lpstr>
      <vt:lpstr>合同会社REALHEAL_厚別区</vt:lpstr>
      <vt:lpstr>合同会社REALHEAL_市街</vt:lpstr>
      <vt:lpstr>合同会社REALHEAL_手稲区</vt:lpstr>
      <vt:lpstr>合同会社REALHEAL_清田区</vt:lpstr>
      <vt:lpstr>合同会社REALHEAL_西区</vt:lpstr>
      <vt:lpstr>合同会社REALHEAL_中央区</vt:lpstr>
      <vt:lpstr>合同会社REALHEAL_東区</vt:lpstr>
      <vt:lpstr>合同会社REALHEAL_南区</vt:lpstr>
      <vt:lpstr>合同会社REALHEAL_白石区</vt:lpstr>
      <vt:lpstr>合同会社REALHEAL_豊平区</vt:lpstr>
      <vt:lpstr>合同会社REALHEAL_北区</vt:lpstr>
      <vt:lpstr>合同会社東勝_単価</vt:lpstr>
      <vt:lpstr>札幌ベニヤ商会_単価</vt:lpstr>
      <vt:lpstr>山本内装_単価</vt:lpstr>
      <vt:lpstr>小倉クロス_単価</vt:lpstr>
      <vt:lpstr>上坂紙店_単価</vt:lpstr>
      <vt:lpstr>設備</vt:lpstr>
      <vt:lpstr>泰平建材_単価</vt:lpstr>
      <vt:lpstr>大工</vt:lpstr>
      <vt:lpstr>電器</vt:lpstr>
      <vt:lpstr>平野商会_厚別区</vt:lpstr>
      <vt:lpstr>平野商会_市街</vt:lpstr>
      <vt:lpstr>平野商会_手稲区</vt:lpstr>
      <vt:lpstr>平野商会_清田区</vt:lpstr>
      <vt:lpstr>平野商会_西区</vt:lpstr>
      <vt:lpstr>平野商会_中央区</vt:lpstr>
      <vt:lpstr>平野商会_東区</vt:lpstr>
      <vt:lpstr>平野商会_南区</vt:lpstr>
      <vt:lpstr>平野商会_白石区</vt:lpstr>
      <vt:lpstr>平野商会_豊平区</vt:lpstr>
      <vt:lpstr>平野商会_北区</vt:lpstr>
      <vt:lpstr>北川_単価</vt:lpstr>
      <vt:lpstr>有限会社オフィススズキ_厚別区</vt:lpstr>
      <vt:lpstr>有限会社オフィススズキ_市街</vt:lpstr>
      <vt:lpstr>有限会社オフィススズキ_手稲区</vt:lpstr>
      <vt:lpstr>有限会社オフィススズキ_清田区</vt:lpstr>
      <vt:lpstr>有限会社オフィススズキ_西区</vt:lpstr>
      <vt:lpstr>有限会社オフィススズキ_中央区</vt:lpstr>
      <vt:lpstr>有限会社オフィススズキ_東区</vt:lpstr>
      <vt:lpstr>有限会社オフィススズキ_南区</vt:lpstr>
      <vt:lpstr>有限会社オフィススズキ_白石区</vt:lpstr>
      <vt:lpstr>有限会社オフィススズキ_豊平区</vt:lpstr>
      <vt:lpstr>有限会社オフィススズキ_北区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junpei machida</dc:creator>
  <cp:lastModifiedBy>町田 準平</cp:lastModifiedBy>
  <cp:lastPrinted>2026-08-27T06:06:47Z</cp:lastPrinted>
  <dcterms:created xsi:type="dcterms:W3CDTF">2025-08-19T13:24:13Z</dcterms:created>
  <dcterms:modified xsi:type="dcterms:W3CDTF">2026-10-31T14:56:55Z</dcterms:modified>
</cp:coreProperties>
</file>